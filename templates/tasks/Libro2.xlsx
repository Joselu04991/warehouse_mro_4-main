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CASTI15\OneDrive - Gerdau\Escritorio\"/>
    </mc:Choice>
  </mc:AlternateContent>
  <bookViews>
    <workbookView xWindow="-110" yWindow="-110" windowWidth="23260" windowHeight="125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59" i="1" l="1"/>
  <c r="V2959" i="1"/>
  <c r="U2959" i="1"/>
  <c r="T2959" i="1"/>
  <c r="S2959" i="1"/>
  <c r="W2958" i="1"/>
  <c r="V2958" i="1"/>
  <c r="U2958" i="1"/>
  <c r="T2958" i="1"/>
  <c r="S2958" i="1"/>
  <c r="W2957" i="1"/>
  <c r="V2957" i="1"/>
  <c r="U2957" i="1"/>
  <c r="T2957" i="1"/>
  <c r="S2957" i="1"/>
  <c r="W2956" i="1"/>
  <c r="V2956" i="1"/>
  <c r="U2956" i="1"/>
  <c r="T2956" i="1"/>
  <c r="S2956" i="1"/>
  <c r="W2955" i="1"/>
  <c r="V2955" i="1"/>
  <c r="U2955" i="1"/>
  <c r="T2955" i="1"/>
  <c r="S2955" i="1"/>
  <c r="W2954" i="1"/>
  <c r="V2954" i="1"/>
  <c r="U2954" i="1"/>
  <c r="T2954" i="1"/>
  <c r="S2954" i="1"/>
  <c r="W2953" i="1"/>
  <c r="V2953" i="1"/>
  <c r="U2953" i="1"/>
  <c r="T2953" i="1"/>
  <c r="S2953" i="1"/>
  <c r="W2952" i="1"/>
  <c r="V2952" i="1"/>
  <c r="U2952" i="1"/>
  <c r="T2952" i="1"/>
  <c r="S2952" i="1"/>
  <c r="W2951" i="1"/>
  <c r="V2951" i="1"/>
  <c r="U2951" i="1"/>
  <c r="T2951" i="1"/>
  <c r="S2951" i="1"/>
  <c r="W2950" i="1"/>
  <c r="V2950" i="1"/>
  <c r="U2950" i="1"/>
  <c r="T2950" i="1"/>
  <c r="S2950" i="1"/>
  <c r="W2949" i="1"/>
  <c r="V2949" i="1"/>
  <c r="U2949" i="1"/>
  <c r="T2949" i="1"/>
  <c r="S2949" i="1"/>
  <c r="W2948" i="1"/>
  <c r="V2948" i="1"/>
  <c r="U2948" i="1"/>
  <c r="T2948" i="1"/>
  <c r="S2948" i="1"/>
  <c r="W2947" i="1"/>
  <c r="V2947" i="1"/>
  <c r="U2947" i="1"/>
  <c r="T2947" i="1"/>
  <c r="S2947" i="1"/>
  <c r="W2946" i="1"/>
  <c r="V2946" i="1"/>
  <c r="U2946" i="1"/>
  <c r="T2946" i="1"/>
  <c r="S2946" i="1"/>
  <c r="W2945" i="1"/>
  <c r="V2945" i="1"/>
  <c r="U2945" i="1"/>
  <c r="T2945" i="1"/>
  <c r="S2945" i="1"/>
  <c r="W2944" i="1"/>
  <c r="V2944" i="1"/>
  <c r="U2944" i="1"/>
  <c r="T2944" i="1"/>
  <c r="S2944" i="1"/>
  <c r="W2943" i="1"/>
  <c r="V2943" i="1"/>
  <c r="U2943" i="1"/>
  <c r="T2943" i="1"/>
  <c r="S2943" i="1"/>
  <c r="W2942" i="1"/>
  <c r="V2942" i="1"/>
  <c r="U2942" i="1"/>
  <c r="T2942" i="1"/>
  <c r="S2942" i="1"/>
  <c r="W2941" i="1"/>
  <c r="V2941" i="1"/>
  <c r="U2941" i="1"/>
  <c r="T2941" i="1"/>
  <c r="S2941" i="1"/>
  <c r="W2940" i="1"/>
  <c r="V2940" i="1"/>
  <c r="U2940" i="1"/>
  <c r="T2940" i="1"/>
  <c r="S2940" i="1"/>
  <c r="W2939" i="1"/>
  <c r="V2939" i="1"/>
  <c r="U2939" i="1"/>
  <c r="T2939" i="1"/>
  <c r="S2939" i="1"/>
  <c r="W2938" i="1"/>
  <c r="V2938" i="1"/>
  <c r="U2938" i="1"/>
  <c r="T2938" i="1"/>
  <c r="S2938" i="1"/>
  <c r="W2937" i="1"/>
  <c r="V2937" i="1"/>
  <c r="U2937" i="1"/>
  <c r="T2937" i="1"/>
  <c r="S2937" i="1"/>
  <c r="W2936" i="1"/>
  <c r="V2936" i="1"/>
  <c r="U2936" i="1"/>
  <c r="T2936" i="1"/>
  <c r="S2936" i="1"/>
  <c r="W2935" i="1"/>
  <c r="V2935" i="1"/>
  <c r="U2935" i="1"/>
  <c r="T2935" i="1"/>
  <c r="S2935" i="1"/>
  <c r="W2934" i="1"/>
  <c r="V2934" i="1"/>
  <c r="U2934" i="1"/>
  <c r="T2934" i="1"/>
  <c r="S2934" i="1"/>
  <c r="W2933" i="1"/>
  <c r="V2933" i="1"/>
  <c r="U2933" i="1"/>
  <c r="T2933" i="1"/>
  <c r="S2933" i="1"/>
  <c r="W2932" i="1"/>
  <c r="V2932" i="1"/>
  <c r="U2932" i="1"/>
  <c r="T2932" i="1"/>
  <c r="S2932" i="1"/>
  <c r="W2931" i="1"/>
  <c r="V2931" i="1"/>
  <c r="U2931" i="1"/>
  <c r="T2931" i="1"/>
  <c r="S2931" i="1"/>
  <c r="W2930" i="1"/>
  <c r="V2930" i="1"/>
  <c r="U2930" i="1"/>
  <c r="T2930" i="1"/>
  <c r="S2930" i="1"/>
  <c r="W2929" i="1"/>
  <c r="V2929" i="1"/>
  <c r="U2929" i="1"/>
  <c r="T2929" i="1"/>
  <c r="S2929" i="1"/>
  <c r="W2928" i="1"/>
  <c r="V2928" i="1"/>
  <c r="U2928" i="1"/>
  <c r="T2928" i="1"/>
  <c r="S2928" i="1"/>
  <c r="W2927" i="1"/>
  <c r="V2927" i="1"/>
  <c r="U2927" i="1"/>
  <c r="T2927" i="1"/>
  <c r="S2927" i="1"/>
  <c r="W2926" i="1"/>
  <c r="V2926" i="1"/>
  <c r="U2926" i="1"/>
  <c r="T2926" i="1"/>
  <c r="S2926" i="1"/>
  <c r="W2925" i="1"/>
  <c r="V2925" i="1"/>
  <c r="U2925" i="1"/>
  <c r="T2925" i="1"/>
  <c r="S2925" i="1"/>
  <c r="W2924" i="1"/>
  <c r="V2924" i="1"/>
  <c r="U2924" i="1"/>
  <c r="T2924" i="1"/>
  <c r="S2924" i="1"/>
  <c r="W2923" i="1"/>
  <c r="V2923" i="1"/>
  <c r="U2923" i="1"/>
  <c r="T2923" i="1"/>
  <c r="S2923" i="1"/>
  <c r="W2922" i="1"/>
  <c r="V2922" i="1"/>
  <c r="U2922" i="1"/>
  <c r="T2922" i="1"/>
  <c r="S2922" i="1"/>
  <c r="W2921" i="1"/>
  <c r="V2921" i="1"/>
  <c r="U2921" i="1"/>
  <c r="T2921" i="1"/>
  <c r="S2921" i="1"/>
  <c r="W2920" i="1"/>
  <c r="V2920" i="1"/>
  <c r="U2920" i="1"/>
  <c r="T2920" i="1"/>
  <c r="S2920" i="1"/>
  <c r="W2919" i="1"/>
  <c r="V2919" i="1"/>
  <c r="U2919" i="1"/>
  <c r="T2919" i="1"/>
  <c r="S2919" i="1"/>
  <c r="W2918" i="1"/>
  <c r="V2918" i="1"/>
  <c r="U2918" i="1"/>
  <c r="T2918" i="1"/>
  <c r="S2918" i="1"/>
  <c r="W2917" i="1"/>
  <c r="V2917" i="1"/>
  <c r="U2917" i="1"/>
  <c r="T2917" i="1"/>
  <c r="S2917" i="1"/>
  <c r="W2916" i="1"/>
  <c r="V2916" i="1"/>
  <c r="U2916" i="1"/>
  <c r="T2916" i="1"/>
  <c r="S2916" i="1"/>
  <c r="W2915" i="1"/>
  <c r="V2915" i="1"/>
  <c r="U2915" i="1"/>
  <c r="T2915" i="1"/>
  <c r="S2915" i="1"/>
  <c r="W2914" i="1"/>
  <c r="V2914" i="1"/>
  <c r="U2914" i="1"/>
  <c r="T2914" i="1"/>
  <c r="S2914" i="1"/>
  <c r="W2913" i="1"/>
  <c r="V2913" i="1"/>
  <c r="U2913" i="1"/>
  <c r="T2913" i="1"/>
  <c r="S2913" i="1"/>
  <c r="W2912" i="1"/>
  <c r="V2912" i="1"/>
  <c r="U2912" i="1"/>
  <c r="T2912" i="1"/>
  <c r="S2912" i="1"/>
  <c r="W2911" i="1"/>
  <c r="V2911" i="1"/>
  <c r="U2911" i="1"/>
  <c r="T2911" i="1"/>
  <c r="S2911" i="1"/>
  <c r="W2910" i="1"/>
  <c r="V2910" i="1"/>
  <c r="U2910" i="1"/>
  <c r="T2910" i="1"/>
  <c r="S2910" i="1"/>
  <c r="W2909" i="1"/>
  <c r="V2909" i="1"/>
  <c r="U2909" i="1"/>
  <c r="T2909" i="1"/>
  <c r="S2909" i="1"/>
  <c r="W2908" i="1"/>
  <c r="V2908" i="1"/>
  <c r="U2908" i="1"/>
  <c r="T2908" i="1"/>
  <c r="S2908" i="1"/>
  <c r="W2907" i="1"/>
  <c r="V2907" i="1"/>
  <c r="U2907" i="1"/>
  <c r="T2907" i="1"/>
  <c r="S2907" i="1"/>
  <c r="W2906" i="1"/>
  <c r="V2906" i="1"/>
  <c r="U2906" i="1"/>
  <c r="T2906" i="1"/>
  <c r="S2906" i="1"/>
  <c r="W2905" i="1"/>
  <c r="V2905" i="1"/>
  <c r="U2905" i="1"/>
  <c r="T2905" i="1"/>
  <c r="S2905" i="1"/>
  <c r="W2904" i="1"/>
  <c r="V2904" i="1"/>
  <c r="U2904" i="1"/>
  <c r="T2904" i="1"/>
  <c r="S2904" i="1"/>
  <c r="W2903" i="1"/>
  <c r="V2903" i="1"/>
  <c r="U2903" i="1"/>
  <c r="T2903" i="1"/>
  <c r="S2903" i="1"/>
  <c r="W2902" i="1"/>
  <c r="V2902" i="1"/>
  <c r="U2902" i="1"/>
  <c r="T2902" i="1"/>
  <c r="S2902" i="1"/>
  <c r="W2901" i="1"/>
  <c r="V2901" i="1"/>
  <c r="U2901" i="1"/>
  <c r="T2901" i="1"/>
  <c r="S2901" i="1"/>
  <c r="W2900" i="1"/>
  <c r="V2900" i="1"/>
  <c r="U2900" i="1"/>
  <c r="T2900" i="1"/>
  <c r="S2900" i="1"/>
  <c r="W2899" i="1"/>
  <c r="V2899" i="1"/>
  <c r="U2899" i="1"/>
  <c r="T2899" i="1"/>
  <c r="S2899" i="1"/>
  <c r="W2898" i="1"/>
  <c r="V2898" i="1"/>
  <c r="U2898" i="1"/>
  <c r="T2898" i="1"/>
  <c r="S2898" i="1"/>
  <c r="W2897" i="1"/>
  <c r="V2897" i="1"/>
  <c r="U2897" i="1"/>
  <c r="T2897" i="1"/>
  <c r="S2897" i="1"/>
  <c r="W2896" i="1"/>
  <c r="V2896" i="1"/>
  <c r="U2896" i="1"/>
  <c r="T2896" i="1"/>
  <c r="S2896" i="1"/>
  <c r="W2895" i="1"/>
  <c r="V2895" i="1"/>
  <c r="U2895" i="1"/>
  <c r="T2895" i="1"/>
  <c r="S2895" i="1"/>
  <c r="W2894" i="1"/>
  <c r="V2894" i="1"/>
  <c r="U2894" i="1"/>
  <c r="T2894" i="1"/>
  <c r="S2894" i="1"/>
  <c r="W2893" i="1"/>
  <c r="V2893" i="1"/>
  <c r="U2893" i="1"/>
  <c r="T2893" i="1"/>
  <c r="S2893" i="1"/>
  <c r="W2892" i="1"/>
  <c r="V2892" i="1"/>
  <c r="U2892" i="1"/>
  <c r="T2892" i="1"/>
  <c r="S2892" i="1"/>
  <c r="W2891" i="1"/>
  <c r="V2891" i="1"/>
  <c r="U2891" i="1"/>
  <c r="T2891" i="1"/>
  <c r="S2891" i="1"/>
  <c r="W2890" i="1"/>
  <c r="V2890" i="1"/>
  <c r="U2890" i="1"/>
  <c r="T2890" i="1"/>
  <c r="S2890" i="1"/>
  <c r="W2889" i="1"/>
  <c r="V2889" i="1"/>
  <c r="U2889" i="1"/>
  <c r="T2889" i="1"/>
  <c r="S2889" i="1"/>
  <c r="W2888" i="1"/>
  <c r="V2888" i="1"/>
  <c r="U2888" i="1"/>
  <c r="T2888" i="1"/>
  <c r="S2888" i="1"/>
  <c r="W2887" i="1"/>
  <c r="V2887" i="1"/>
  <c r="U2887" i="1"/>
  <c r="T2887" i="1"/>
  <c r="S2887" i="1"/>
  <c r="W2886" i="1"/>
  <c r="V2886" i="1"/>
  <c r="U2886" i="1"/>
  <c r="T2886" i="1"/>
  <c r="S2886" i="1"/>
  <c r="W2885" i="1"/>
  <c r="V2885" i="1"/>
  <c r="U2885" i="1"/>
  <c r="T2885" i="1"/>
  <c r="S2885" i="1"/>
  <c r="W2884" i="1"/>
  <c r="V2884" i="1"/>
  <c r="U2884" i="1"/>
  <c r="T2884" i="1"/>
  <c r="S2884" i="1"/>
  <c r="W2883" i="1"/>
  <c r="V2883" i="1"/>
  <c r="U2883" i="1"/>
  <c r="T2883" i="1"/>
  <c r="S2883" i="1"/>
  <c r="W2882" i="1"/>
  <c r="V2882" i="1"/>
  <c r="U2882" i="1"/>
  <c r="T2882" i="1"/>
  <c r="S2882" i="1"/>
  <c r="W2881" i="1"/>
  <c r="V2881" i="1"/>
  <c r="U2881" i="1"/>
  <c r="T2881" i="1"/>
  <c r="S2881" i="1"/>
  <c r="W2880" i="1"/>
  <c r="V2880" i="1"/>
  <c r="U2880" i="1"/>
  <c r="T2880" i="1"/>
  <c r="S2880" i="1"/>
  <c r="W2879" i="1"/>
  <c r="V2879" i="1"/>
  <c r="U2879" i="1"/>
  <c r="T2879" i="1"/>
  <c r="S2879" i="1"/>
  <c r="W2878" i="1"/>
  <c r="V2878" i="1"/>
  <c r="U2878" i="1"/>
  <c r="T2878" i="1"/>
  <c r="S2878" i="1"/>
  <c r="W2877" i="1"/>
  <c r="V2877" i="1"/>
  <c r="U2877" i="1"/>
  <c r="T2877" i="1"/>
  <c r="S2877" i="1"/>
  <c r="W2876" i="1"/>
  <c r="V2876" i="1"/>
  <c r="U2876" i="1"/>
  <c r="T2876" i="1"/>
  <c r="S2876" i="1"/>
  <c r="W2875" i="1"/>
  <c r="V2875" i="1"/>
  <c r="U2875" i="1"/>
  <c r="T2875" i="1"/>
  <c r="S2875" i="1"/>
  <c r="W2874" i="1"/>
  <c r="V2874" i="1"/>
  <c r="U2874" i="1"/>
  <c r="T2874" i="1"/>
  <c r="S2874" i="1"/>
  <c r="W2873" i="1"/>
  <c r="V2873" i="1"/>
  <c r="U2873" i="1"/>
  <c r="T2873" i="1"/>
  <c r="S2873" i="1"/>
  <c r="W2872" i="1"/>
  <c r="V2872" i="1"/>
  <c r="U2872" i="1"/>
  <c r="T2872" i="1"/>
  <c r="S2872" i="1"/>
  <c r="W2871" i="1"/>
  <c r="V2871" i="1"/>
  <c r="U2871" i="1"/>
  <c r="T2871" i="1"/>
  <c r="S2871" i="1"/>
  <c r="W2870" i="1"/>
  <c r="V2870" i="1"/>
  <c r="U2870" i="1"/>
  <c r="T2870" i="1"/>
  <c r="S2870" i="1"/>
  <c r="W2869" i="1"/>
  <c r="V2869" i="1"/>
  <c r="U2869" i="1"/>
  <c r="T2869" i="1"/>
  <c r="S2869" i="1"/>
  <c r="W2868" i="1"/>
  <c r="V2868" i="1"/>
  <c r="U2868" i="1"/>
  <c r="T2868" i="1"/>
  <c r="S2868" i="1"/>
  <c r="W2867" i="1"/>
  <c r="V2867" i="1"/>
  <c r="U2867" i="1"/>
  <c r="T2867" i="1"/>
  <c r="S2867" i="1"/>
  <c r="W2866" i="1"/>
  <c r="V2866" i="1"/>
  <c r="U2866" i="1"/>
  <c r="T2866" i="1"/>
  <c r="S2866" i="1"/>
  <c r="W2865" i="1"/>
  <c r="V2865" i="1"/>
  <c r="U2865" i="1"/>
  <c r="T2865" i="1"/>
  <c r="S2865" i="1"/>
  <c r="W2864" i="1"/>
  <c r="V2864" i="1"/>
  <c r="U2864" i="1"/>
  <c r="T2864" i="1"/>
  <c r="S2864" i="1"/>
  <c r="W2863" i="1"/>
  <c r="V2863" i="1"/>
  <c r="U2863" i="1"/>
  <c r="T2863" i="1"/>
  <c r="S2863" i="1"/>
  <c r="W2862" i="1"/>
  <c r="V2862" i="1"/>
  <c r="U2862" i="1"/>
  <c r="T2862" i="1"/>
  <c r="S2862" i="1"/>
  <c r="W2861" i="1"/>
  <c r="V2861" i="1"/>
  <c r="U2861" i="1"/>
  <c r="T2861" i="1"/>
  <c r="S2861" i="1"/>
  <c r="W2860" i="1"/>
  <c r="V2860" i="1"/>
  <c r="U2860" i="1"/>
  <c r="T2860" i="1"/>
  <c r="S2860" i="1"/>
  <c r="W2859" i="1"/>
  <c r="V2859" i="1"/>
  <c r="U2859" i="1"/>
  <c r="T2859" i="1"/>
  <c r="S2859" i="1"/>
  <c r="W2858" i="1"/>
  <c r="V2858" i="1"/>
  <c r="U2858" i="1"/>
  <c r="T2858" i="1"/>
  <c r="S2858" i="1"/>
  <c r="W2857" i="1"/>
  <c r="V2857" i="1"/>
  <c r="U2857" i="1"/>
  <c r="T2857" i="1"/>
  <c r="S2857" i="1"/>
  <c r="W2856" i="1"/>
  <c r="V2856" i="1"/>
  <c r="U2856" i="1"/>
  <c r="T2856" i="1"/>
  <c r="S2856" i="1"/>
  <c r="W2855" i="1"/>
  <c r="V2855" i="1"/>
  <c r="U2855" i="1"/>
  <c r="T2855" i="1"/>
  <c r="S2855" i="1"/>
  <c r="W2854" i="1"/>
  <c r="V2854" i="1"/>
  <c r="U2854" i="1"/>
  <c r="T2854" i="1"/>
  <c r="S2854" i="1"/>
  <c r="W2853" i="1"/>
  <c r="V2853" i="1"/>
  <c r="U2853" i="1"/>
  <c r="T2853" i="1"/>
  <c r="S2853" i="1"/>
  <c r="W2852" i="1"/>
  <c r="V2852" i="1"/>
  <c r="U2852" i="1"/>
  <c r="T2852" i="1"/>
  <c r="S2852" i="1"/>
  <c r="W2851" i="1"/>
  <c r="V2851" i="1"/>
  <c r="U2851" i="1"/>
  <c r="T2851" i="1"/>
  <c r="S2851" i="1"/>
  <c r="W2850" i="1"/>
  <c r="V2850" i="1"/>
  <c r="U2850" i="1"/>
  <c r="T2850" i="1"/>
  <c r="S2850" i="1"/>
  <c r="W2849" i="1"/>
  <c r="V2849" i="1"/>
  <c r="U2849" i="1"/>
  <c r="T2849" i="1"/>
  <c r="S2849" i="1"/>
  <c r="W2848" i="1"/>
  <c r="V2848" i="1"/>
  <c r="U2848" i="1"/>
  <c r="T2848" i="1"/>
  <c r="S2848" i="1"/>
  <c r="W2847" i="1"/>
  <c r="V2847" i="1"/>
  <c r="U2847" i="1"/>
  <c r="T2847" i="1"/>
  <c r="S2847" i="1"/>
  <c r="W2846" i="1"/>
  <c r="V2846" i="1"/>
  <c r="U2846" i="1"/>
  <c r="T2846" i="1"/>
  <c r="S2846" i="1"/>
  <c r="W2845" i="1"/>
  <c r="V2845" i="1"/>
  <c r="U2845" i="1"/>
  <c r="T2845" i="1"/>
  <c r="S2845" i="1"/>
  <c r="W2844" i="1"/>
  <c r="V2844" i="1"/>
  <c r="U2844" i="1"/>
  <c r="T2844" i="1"/>
  <c r="S2844" i="1"/>
  <c r="W2843" i="1"/>
  <c r="V2843" i="1"/>
  <c r="U2843" i="1"/>
  <c r="T2843" i="1"/>
  <c r="S2843" i="1"/>
  <c r="W2842" i="1"/>
  <c r="V2842" i="1"/>
  <c r="U2842" i="1"/>
  <c r="T2842" i="1"/>
  <c r="S2842" i="1"/>
  <c r="W2841" i="1"/>
  <c r="V2841" i="1"/>
  <c r="U2841" i="1"/>
  <c r="T2841" i="1"/>
  <c r="S2841" i="1"/>
  <c r="W2840" i="1"/>
  <c r="V2840" i="1"/>
  <c r="U2840" i="1"/>
  <c r="T2840" i="1"/>
  <c r="S2840" i="1"/>
  <c r="W2839" i="1"/>
  <c r="V2839" i="1"/>
  <c r="U2839" i="1"/>
  <c r="T2839" i="1"/>
  <c r="S2839" i="1"/>
  <c r="W2838" i="1"/>
  <c r="V2838" i="1"/>
  <c r="U2838" i="1"/>
  <c r="T2838" i="1"/>
  <c r="S2838" i="1"/>
  <c r="W2837" i="1"/>
  <c r="V2837" i="1"/>
  <c r="U2837" i="1"/>
  <c r="T2837" i="1"/>
  <c r="S2837" i="1"/>
  <c r="W2836" i="1"/>
  <c r="V2836" i="1"/>
  <c r="U2836" i="1"/>
  <c r="T2836" i="1"/>
  <c r="S2836" i="1"/>
  <c r="W2835" i="1"/>
  <c r="V2835" i="1"/>
  <c r="U2835" i="1"/>
  <c r="T2835" i="1"/>
  <c r="S2835" i="1"/>
  <c r="W2834" i="1"/>
  <c r="V2834" i="1"/>
  <c r="U2834" i="1"/>
  <c r="T2834" i="1"/>
  <c r="S2834" i="1"/>
  <c r="W2833" i="1"/>
  <c r="V2833" i="1"/>
  <c r="U2833" i="1"/>
  <c r="T2833" i="1"/>
  <c r="S2833" i="1"/>
  <c r="W2832" i="1"/>
  <c r="V2832" i="1"/>
  <c r="U2832" i="1"/>
  <c r="T2832" i="1"/>
  <c r="S2832" i="1"/>
  <c r="W2831" i="1"/>
  <c r="V2831" i="1"/>
  <c r="U2831" i="1"/>
  <c r="T2831" i="1"/>
  <c r="S2831" i="1"/>
  <c r="W2830" i="1"/>
  <c r="V2830" i="1"/>
  <c r="U2830" i="1"/>
  <c r="T2830" i="1"/>
  <c r="S2830" i="1"/>
  <c r="W2829" i="1"/>
  <c r="V2829" i="1"/>
  <c r="U2829" i="1"/>
  <c r="T2829" i="1"/>
  <c r="S2829" i="1"/>
  <c r="W2828" i="1"/>
  <c r="V2828" i="1"/>
  <c r="U2828" i="1"/>
  <c r="T2828" i="1"/>
  <c r="S2828" i="1"/>
  <c r="W2827" i="1"/>
  <c r="V2827" i="1"/>
  <c r="U2827" i="1"/>
  <c r="T2827" i="1"/>
  <c r="S2827" i="1"/>
  <c r="W2826" i="1"/>
  <c r="V2826" i="1"/>
  <c r="U2826" i="1"/>
  <c r="T2826" i="1"/>
  <c r="S2826" i="1"/>
  <c r="W2825" i="1"/>
  <c r="V2825" i="1"/>
  <c r="U2825" i="1"/>
  <c r="T2825" i="1"/>
  <c r="S2825" i="1"/>
  <c r="W2824" i="1"/>
  <c r="V2824" i="1"/>
  <c r="U2824" i="1"/>
  <c r="T2824" i="1"/>
  <c r="S2824" i="1"/>
  <c r="W2823" i="1"/>
  <c r="V2823" i="1"/>
  <c r="U2823" i="1"/>
  <c r="T2823" i="1"/>
  <c r="S2823" i="1"/>
  <c r="W2822" i="1"/>
  <c r="V2822" i="1"/>
  <c r="U2822" i="1"/>
  <c r="T2822" i="1"/>
  <c r="S2822" i="1"/>
  <c r="W2821" i="1"/>
  <c r="V2821" i="1"/>
  <c r="U2821" i="1"/>
  <c r="T2821" i="1"/>
  <c r="S2821" i="1"/>
  <c r="W2820" i="1"/>
  <c r="V2820" i="1"/>
  <c r="U2820" i="1"/>
  <c r="T2820" i="1"/>
  <c r="S2820" i="1"/>
  <c r="W2819" i="1"/>
  <c r="V2819" i="1"/>
  <c r="U2819" i="1"/>
  <c r="T2819" i="1"/>
  <c r="S2819" i="1"/>
  <c r="W2818" i="1"/>
  <c r="V2818" i="1"/>
  <c r="U2818" i="1"/>
  <c r="T2818" i="1"/>
  <c r="S2818" i="1"/>
  <c r="W2817" i="1"/>
  <c r="V2817" i="1"/>
  <c r="U2817" i="1"/>
  <c r="T2817" i="1"/>
  <c r="S2817" i="1"/>
  <c r="W2816" i="1"/>
  <c r="V2816" i="1"/>
  <c r="U2816" i="1"/>
  <c r="T2816" i="1"/>
  <c r="S2816" i="1"/>
  <c r="W2815" i="1"/>
  <c r="V2815" i="1"/>
  <c r="U2815" i="1"/>
  <c r="T2815" i="1"/>
  <c r="S2815" i="1"/>
  <c r="W2814" i="1"/>
  <c r="V2814" i="1"/>
  <c r="U2814" i="1"/>
  <c r="T2814" i="1"/>
  <c r="S2814" i="1"/>
  <c r="W2813" i="1"/>
  <c r="V2813" i="1"/>
  <c r="U2813" i="1"/>
  <c r="T2813" i="1"/>
  <c r="S2813" i="1"/>
  <c r="W2812" i="1"/>
  <c r="V2812" i="1"/>
  <c r="U2812" i="1"/>
  <c r="T2812" i="1"/>
  <c r="S2812" i="1"/>
  <c r="W2811" i="1"/>
  <c r="V2811" i="1"/>
  <c r="U2811" i="1"/>
  <c r="T2811" i="1"/>
  <c r="S2811" i="1"/>
  <c r="W2810" i="1"/>
  <c r="V2810" i="1"/>
  <c r="U2810" i="1"/>
  <c r="T2810" i="1"/>
  <c r="S2810" i="1"/>
  <c r="W2809" i="1"/>
  <c r="V2809" i="1"/>
  <c r="U2809" i="1"/>
  <c r="T2809" i="1"/>
  <c r="S2809" i="1"/>
  <c r="W2808" i="1"/>
  <c r="V2808" i="1"/>
  <c r="U2808" i="1"/>
  <c r="T2808" i="1"/>
  <c r="S2808" i="1"/>
  <c r="W2807" i="1"/>
  <c r="V2807" i="1"/>
  <c r="U2807" i="1"/>
  <c r="T2807" i="1"/>
  <c r="S2807" i="1"/>
  <c r="W2806" i="1"/>
  <c r="V2806" i="1"/>
  <c r="U2806" i="1"/>
  <c r="T2806" i="1"/>
  <c r="S2806" i="1"/>
  <c r="W2805" i="1"/>
  <c r="V2805" i="1"/>
  <c r="U2805" i="1"/>
  <c r="T2805" i="1"/>
  <c r="S2805" i="1"/>
  <c r="W2804" i="1"/>
  <c r="V2804" i="1"/>
  <c r="U2804" i="1"/>
  <c r="T2804" i="1"/>
  <c r="S2804" i="1"/>
  <c r="W2803" i="1"/>
  <c r="V2803" i="1"/>
  <c r="U2803" i="1"/>
  <c r="T2803" i="1"/>
  <c r="S2803" i="1"/>
  <c r="W2802" i="1"/>
  <c r="V2802" i="1"/>
  <c r="U2802" i="1"/>
  <c r="T2802" i="1"/>
  <c r="S2802" i="1"/>
  <c r="W2801" i="1"/>
  <c r="V2801" i="1"/>
  <c r="U2801" i="1"/>
  <c r="T2801" i="1"/>
  <c r="S2801" i="1"/>
  <c r="W2800" i="1"/>
  <c r="V2800" i="1"/>
  <c r="U2800" i="1"/>
  <c r="T2800" i="1"/>
  <c r="S2800" i="1"/>
  <c r="W2799" i="1"/>
  <c r="V2799" i="1"/>
  <c r="U2799" i="1"/>
  <c r="T2799" i="1"/>
  <c r="S2799" i="1"/>
  <c r="W2798" i="1"/>
  <c r="V2798" i="1"/>
  <c r="U2798" i="1"/>
  <c r="T2798" i="1"/>
  <c r="S2798" i="1"/>
  <c r="W2797" i="1"/>
  <c r="V2797" i="1"/>
  <c r="U2797" i="1"/>
  <c r="T2797" i="1"/>
  <c r="S2797" i="1"/>
  <c r="W2796" i="1"/>
  <c r="V2796" i="1"/>
  <c r="U2796" i="1"/>
  <c r="T2796" i="1"/>
  <c r="S2796" i="1"/>
  <c r="W2795" i="1"/>
  <c r="V2795" i="1"/>
  <c r="U2795" i="1"/>
  <c r="T2795" i="1"/>
  <c r="S2795" i="1"/>
  <c r="W2794" i="1"/>
  <c r="V2794" i="1"/>
  <c r="U2794" i="1"/>
  <c r="T2794" i="1"/>
  <c r="S2794" i="1"/>
  <c r="W2793" i="1"/>
  <c r="V2793" i="1"/>
  <c r="U2793" i="1"/>
  <c r="T2793" i="1"/>
  <c r="S2793" i="1"/>
  <c r="W2792" i="1"/>
  <c r="V2792" i="1"/>
  <c r="U2792" i="1"/>
  <c r="T2792" i="1"/>
  <c r="S2792" i="1"/>
  <c r="W2791" i="1"/>
  <c r="V2791" i="1"/>
  <c r="U2791" i="1"/>
  <c r="T2791" i="1"/>
  <c r="S2791" i="1"/>
  <c r="W2790" i="1"/>
  <c r="V2790" i="1"/>
  <c r="U2790" i="1"/>
  <c r="T2790" i="1"/>
  <c r="S2790" i="1"/>
  <c r="W2789" i="1"/>
  <c r="V2789" i="1"/>
  <c r="U2789" i="1"/>
  <c r="T2789" i="1"/>
  <c r="S2789" i="1"/>
  <c r="W2788" i="1"/>
  <c r="V2788" i="1"/>
  <c r="U2788" i="1"/>
  <c r="T2788" i="1"/>
  <c r="S2788" i="1"/>
  <c r="W2787" i="1"/>
  <c r="V2787" i="1"/>
  <c r="U2787" i="1"/>
  <c r="T2787" i="1"/>
  <c r="S2787" i="1"/>
  <c r="W2786" i="1"/>
  <c r="V2786" i="1"/>
  <c r="U2786" i="1"/>
  <c r="T2786" i="1"/>
  <c r="S2786" i="1"/>
  <c r="W2785" i="1"/>
  <c r="V2785" i="1"/>
  <c r="U2785" i="1"/>
  <c r="T2785" i="1"/>
  <c r="S2785" i="1"/>
  <c r="W2784" i="1"/>
  <c r="V2784" i="1"/>
  <c r="U2784" i="1"/>
  <c r="T2784" i="1"/>
  <c r="S2784" i="1"/>
  <c r="W2783" i="1"/>
  <c r="V2783" i="1"/>
  <c r="U2783" i="1"/>
  <c r="T2783" i="1"/>
  <c r="S2783" i="1"/>
  <c r="W2782" i="1"/>
  <c r="V2782" i="1"/>
  <c r="U2782" i="1"/>
  <c r="T2782" i="1"/>
  <c r="S2782" i="1"/>
  <c r="W2781" i="1"/>
  <c r="V2781" i="1"/>
  <c r="U2781" i="1"/>
  <c r="T2781" i="1"/>
  <c r="S2781" i="1"/>
  <c r="W2780" i="1"/>
  <c r="V2780" i="1"/>
  <c r="U2780" i="1"/>
  <c r="T2780" i="1"/>
  <c r="S2780" i="1"/>
  <c r="W2779" i="1"/>
  <c r="V2779" i="1"/>
  <c r="U2779" i="1"/>
  <c r="T2779" i="1"/>
  <c r="S2779" i="1"/>
  <c r="W2778" i="1"/>
  <c r="V2778" i="1"/>
  <c r="U2778" i="1"/>
  <c r="T2778" i="1"/>
  <c r="S2778" i="1"/>
  <c r="W2777" i="1"/>
  <c r="V2777" i="1"/>
  <c r="U2777" i="1"/>
  <c r="T2777" i="1"/>
  <c r="S2777" i="1"/>
  <c r="W2776" i="1"/>
  <c r="V2776" i="1"/>
  <c r="U2776" i="1"/>
  <c r="T2776" i="1"/>
  <c r="S2776" i="1"/>
  <c r="W2775" i="1"/>
  <c r="V2775" i="1"/>
  <c r="U2775" i="1"/>
  <c r="T2775" i="1"/>
  <c r="S2775" i="1"/>
  <c r="W2774" i="1"/>
  <c r="V2774" i="1"/>
  <c r="U2774" i="1"/>
  <c r="T2774" i="1"/>
  <c r="S2774" i="1"/>
  <c r="W2773" i="1"/>
  <c r="V2773" i="1"/>
  <c r="U2773" i="1"/>
  <c r="T2773" i="1"/>
  <c r="S2773" i="1"/>
  <c r="W2772" i="1"/>
  <c r="V2772" i="1"/>
  <c r="U2772" i="1"/>
  <c r="T2772" i="1"/>
  <c r="S2772" i="1"/>
  <c r="W2771" i="1"/>
  <c r="V2771" i="1"/>
  <c r="U2771" i="1"/>
  <c r="T2771" i="1"/>
  <c r="S2771" i="1"/>
  <c r="W2770" i="1"/>
  <c r="V2770" i="1"/>
  <c r="U2770" i="1"/>
  <c r="T2770" i="1"/>
  <c r="S2770" i="1"/>
  <c r="W2769" i="1"/>
  <c r="V2769" i="1"/>
  <c r="U2769" i="1"/>
  <c r="T2769" i="1"/>
  <c r="S2769" i="1"/>
  <c r="W2768" i="1"/>
  <c r="V2768" i="1"/>
  <c r="U2768" i="1"/>
  <c r="T2768" i="1"/>
  <c r="S2768" i="1"/>
  <c r="W2767" i="1"/>
  <c r="V2767" i="1"/>
  <c r="U2767" i="1"/>
  <c r="T2767" i="1"/>
  <c r="S2767" i="1"/>
  <c r="W2766" i="1"/>
  <c r="V2766" i="1"/>
  <c r="U2766" i="1"/>
  <c r="T2766" i="1"/>
  <c r="S2766" i="1"/>
  <c r="W2765" i="1"/>
  <c r="V2765" i="1"/>
  <c r="U2765" i="1"/>
  <c r="T2765" i="1"/>
  <c r="S2765" i="1"/>
  <c r="W2764" i="1"/>
  <c r="V2764" i="1"/>
  <c r="U2764" i="1"/>
  <c r="T2764" i="1"/>
  <c r="S2764" i="1"/>
  <c r="W2763" i="1"/>
  <c r="V2763" i="1"/>
  <c r="U2763" i="1"/>
  <c r="T2763" i="1"/>
  <c r="S2763" i="1"/>
  <c r="W2762" i="1"/>
  <c r="V2762" i="1"/>
  <c r="U2762" i="1"/>
  <c r="T2762" i="1"/>
  <c r="S2762" i="1"/>
  <c r="W2761" i="1"/>
  <c r="V2761" i="1"/>
  <c r="U2761" i="1"/>
  <c r="T2761" i="1"/>
  <c r="S2761" i="1"/>
  <c r="W2760" i="1"/>
  <c r="V2760" i="1"/>
  <c r="U2760" i="1"/>
  <c r="T2760" i="1"/>
  <c r="S2760" i="1"/>
  <c r="W2759" i="1"/>
  <c r="V2759" i="1"/>
  <c r="U2759" i="1"/>
  <c r="T2759" i="1"/>
  <c r="S2759" i="1"/>
  <c r="W2758" i="1"/>
  <c r="V2758" i="1"/>
  <c r="U2758" i="1"/>
  <c r="T2758" i="1"/>
  <c r="S2758" i="1"/>
  <c r="W2757" i="1"/>
  <c r="V2757" i="1"/>
  <c r="U2757" i="1"/>
  <c r="T2757" i="1"/>
  <c r="S2757" i="1"/>
  <c r="W2756" i="1"/>
  <c r="V2756" i="1"/>
  <c r="U2756" i="1"/>
  <c r="T2756" i="1"/>
  <c r="S2756" i="1"/>
  <c r="W2755" i="1"/>
  <c r="V2755" i="1"/>
  <c r="U2755" i="1"/>
  <c r="T2755" i="1"/>
  <c r="S2755" i="1"/>
  <c r="W2754" i="1"/>
  <c r="V2754" i="1"/>
  <c r="U2754" i="1"/>
  <c r="T2754" i="1"/>
  <c r="S2754" i="1"/>
  <c r="W2753" i="1"/>
  <c r="V2753" i="1"/>
  <c r="U2753" i="1"/>
  <c r="T2753" i="1"/>
  <c r="S2753" i="1"/>
  <c r="W2752" i="1"/>
  <c r="V2752" i="1"/>
  <c r="U2752" i="1"/>
  <c r="T2752" i="1"/>
  <c r="S2752" i="1"/>
  <c r="W2751" i="1"/>
  <c r="V2751" i="1"/>
  <c r="U2751" i="1"/>
  <c r="T2751" i="1"/>
  <c r="S2751" i="1"/>
  <c r="W2750" i="1"/>
  <c r="V2750" i="1"/>
  <c r="U2750" i="1"/>
  <c r="T2750" i="1"/>
  <c r="S2750" i="1"/>
  <c r="W2749" i="1"/>
  <c r="V2749" i="1"/>
  <c r="U2749" i="1"/>
  <c r="T2749" i="1"/>
  <c r="S2749" i="1"/>
  <c r="W2748" i="1"/>
  <c r="V2748" i="1"/>
  <c r="U2748" i="1"/>
  <c r="T2748" i="1"/>
  <c r="S2748" i="1"/>
  <c r="W2747" i="1"/>
  <c r="V2747" i="1"/>
  <c r="U2747" i="1"/>
  <c r="T2747" i="1"/>
  <c r="S2747" i="1"/>
  <c r="W2746" i="1"/>
  <c r="V2746" i="1"/>
  <c r="U2746" i="1"/>
  <c r="T2746" i="1"/>
  <c r="S2746" i="1"/>
  <c r="W2745" i="1"/>
  <c r="V2745" i="1"/>
  <c r="U2745" i="1"/>
  <c r="T2745" i="1"/>
  <c r="S2745" i="1"/>
  <c r="W2744" i="1"/>
  <c r="V2744" i="1"/>
  <c r="U2744" i="1"/>
  <c r="T2744" i="1"/>
  <c r="S2744" i="1"/>
  <c r="W2743" i="1"/>
  <c r="V2743" i="1"/>
  <c r="U2743" i="1"/>
  <c r="T2743" i="1"/>
  <c r="S2743" i="1"/>
  <c r="W2742" i="1"/>
  <c r="V2742" i="1"/>
  <c r="U2742" i="1"/>
  <c r="T2742" i="1"/>
  <c r="S2742" i="1"/>
  <c r="W2741" i="1"/>
  <c r="V2741" i="1"/>
  <c r="U2741" i="1"/>
  <c r="T2741" i="1"/>
  <c r="S2741" i="1"/>
  <c r="W2740" i="1"/>
  <c r="V2740" i="1"/>
  <c r="U2740" i="1"/>
  <c r="T2740" i="1"/>
  <c r="S2740" i="1"/>
  <c r="W2739" i="1"/>
  <c r="V2739" i="1"/>
  <c r="U2739" i="1"/>
  <c r="T2739" i="1"/>
  <c r="S2739" i="1"/>
  <c r="W2738" i="1"/>
  <c r="V2738" i="1"/>
  <c r="U2738" i="1"/>
  <c r="T2738" i="1"/>
  <c r="S2738" i="1"/>
  <c r="W2737" i="1"/>
  <c r="V2737" i="1"/>
  <c r="U2737" i="1"/>
  <c r="T2737" i="1"/>
  <c r="S2737" i="1"/>
  <c r="W2736" i="1"/>
  <c r="V2736" i="1"/>
  <c r="U2736" i="1"/>
  <c r="T2736" i="1"/>
  <c r="S2736" i="1"/>
  <c r="W2735" i="1"/>
  <c r="V2735" i="1"/>
  <c r="U2735" i="1"/>
  <c r="T2735" i="1"/>
  <c r="S2735" i="1"/>
  <c r="W2734" i="1"/>
  <c r="V2734" i="1"/>
  <c r="U2734" i="1"/>
  <c r="T2734" i="1"/>
  <c r="S2734" i="1"/>
  <c r="W2733" i="1"/>
  <c r="V2733" i="1"/>
  <c r="U2733" i="1"/>
  <c r="T2733" i="1"/>
  <c r="S2733" i="1"/>
  <c r="W2732" i="1"/>
  <c r="V2732" i="1"/>
  <c r="U2732" i="1"/>
  <c r="T2732" i="1"/>
  <c r="S2732" i="1"/>
  <c r="W2731" i="1"/>
  <c r="V2731" i="1"/>
  <c r="U2731" i="1"/>
  <c r="T2731" i="1"/>
  <c r="S2731" i="1"/>
  <c r="W2730" i="1"/>
  <c r="V2730" i="1"/>
  <c r="U2730" i="1"/>
  <c r="T2730" i="1"/>
  <c r="S2730" i="1"/>
  <c r="W2729" i="1"/>
  <c r="V2729" i="1"/>
  <c r="U2729" i="1"/>
  <c r="T2729" i="1"/>
  <c r="S2729" i="1"/>
  <c r="W2728" i="1"/>
  <c r="V2728" i="1"/>
  <c r="U2728" i="1"/>
  <c r="T2728" i="1"/>
  <c r="S2728" i="1"/>
  <c r="W2727" i="1"/>
  <c r="V2727" i="1"/>
  <c r="U2727" i="1"/>
  <c r="T2727" i="1"/>
  <c r="S2727" i="1"/>
  <c r="W2726" i="1"/>
  <c r="V2726" i="1"/>
  <c r="U2726" i="1"/>
  <c r="T2726" i="1"/>
  <c r="S2726" i="1"/>
  <c r="W2725" i="1"/>
  <c r="V2725" i="1"/>
  <c r="U2725" i="1"/>
  <c r="T2725" i="1"/>
  <c r="S2725" i="1"/>
  <c r="W2724" i="1"/>
  <c r="V2724" i="1"/>
  <c r="U2724" i="1"/>
  <c r="T2724" i="1"/>
  <c r="S2724" i="1"/>
  <c r="W2723" i="1"/>
  <c r="V2723" i="1"/>
  <c r="U2723" i="1"/>
  <c r="T2723" i="1"/>
  <c r="S2723" i="1"/>
  <c r="W2722" i="1"/>
  <c r="V2722" i="1"/>
  <c r="U2722" i="1"/>
  <c r="T2722" i="1"/>
  <c r="S2722" i="1"/>
  <c r="W2721" i="1"/>
  <c r="V2721" i="1"/>
  <c r="U2721" i="1"/>
  <c r="T2721" i="1"/>
  <c r="S2721" i="1"/>
  <c r="W2720" i="1"/>
  <c r="V2720" i="1"/>
  <c r="U2720" i="1"/>
  <c r="T2720" i="1"/>
  <c r="S2720" i="1"/>
  <c r="W2719" i="1"/>
  <c r="V2719" i="1"/>
  <c r="U2719" i="1"/>
  <c r="T2719" i="1"/>
  <c r="S2719" i="1"/>
  <c r="W2718" i="1"/>
  <c r="V2718" i="1"/>
  <c r="U2718" i="1"/>
  <c r="T2718" i="1"/>
  <c r="S2718" i="1"/>
  <c r="W2717" i="1"/>
  <c r="V2717" i="1"/>
  <c r="U2717" i="1"/>
  <c r="T2717" i="1"/>
  <c r="S2717" i="1"/>
  <c r="W2716" i="1"/>
  <c r="V2716" i="1"/>
  <c r="U2716" i="1"/>
  <c r="T2716" i="1"/>
  <c r="S2716" i="1"/>
  <c r="W2715" i="1"/>
  <c r="V2715" i="1"/>
  <c r="U2715" i="1"/>
  <c r="T2715" i="1"/>
  <c r="S2715" i="1"/>
  <c r="W2714" i="1"/>
  <c r="V2714" i="1"/>
  <c r="U2714" i="1"/>
  <c r="T2714" i="1"/>
  <c r="S2714" i="1"/>
  <c r="W2713" i="1"/>
  <c r="V2713" i="1"/>
  <c r="U2713" i="1"/>
  <c r="T2713" i="1"/>
  <c r="S2713" i="1"/>
  <c r="W2712" i="1"/>
  <c r="V2712" i="1"/>
  <c r="U2712" i="1"/>
  <c r="T2712" i="1"/>
  <c r="S2712" i="1"/>
  <c r="W2711" i="1"/>
  <c r="V2711" i="1"/>
  <c r="U2711" i="1"/>
  <c r="T2711" i="1"/>
  <c r="S2711" i="1"/>
  <c r="W2710" i="1"/>
  <c r="V2710" i="1"/>
  <c r="U2710" i="1"/>
  <c r="T2710" i="1"/>
  <c r="S2710" i="1"/>
  <c r="W2709" i="1"/>
  <c r="V2709" i="1"/>
  <c r="U2709" i="1"/>
  <c r="T2709" i="1"/>
  <c r="S2709" i="1"/>
  <c r="W2708" i="1"/>
  <c r="V2708" i="1"/>
  <c r="U2708" i="1"/>
  <c r="T2708" i="1"/>
  <c r="S2708" i="1"/>
  <c r="W2707" i="1"/>
  <c r="V2707" i="1"/>
  <c r="U2707" i="1"/>
  <c r="T2707" i="1"/>
  <c r="S2707" i="1"/>
  <c r="W2706" i="1"/>
  <c r="V2706" i="1"/>
  <c r="U2706" i="1"/>
  <c r="T2706" i="1"/>
  <c r="S2706" i="1"/>
  <c r="W2705" i="1"/>
  <c r="V2705" i="1"/>
  <c r="U2705" i="1"/>
  <c r="T2705" i="1"/>
  <c r="S2705" i="1"/>
  <c r="W2704" i="1"/>
  <c r="V2704" i="1"/>
  <c r="U2704" i="1"/>
  <c r="T2704" i="1"/>
  <c r="S2704" i="1"/>
  <c r="W2703" i="1"/>
  <c r="V2703" i="1"/>
  <c r="U2703" i="1"/>
  <c r="T2703" i="1"/>
  <c r="S2703" i="1"/>
  <c r="W2702" i="1"/>
  <c r="V2702" i="1"/>
  <c r="U2702" i="1"/>
  <c r="T2702" i="1"/>
  <c r="S2702" i="1"/>
  <c r="W2701" i="1"/>
  <c r="V2701" i="1"/>
  <c r="U2701" i="1"/>
  <c r="T2701" i="1"/>
  <c r="S2701" i="1"/>
  <c r="W2700" i="1"/>
  <c r="V2700" i="1"/>
  <c r="U2700" i="1"/>
  <c r="T2700" i="1"/>
  <c r="S2700" i="1"/>
  <c r="W2699" i="1"/>
  <c r="V2699" i="1"/>
  <c r="U2699" i="1"/>
  <c r="T2699" i="1"/>
  <c r="S2699" i="1"/>
  <c r="W2698" i="1"/>
  <c r="V2698" i="1"/>
  <c r="U2698" i="1"/>
  <c r="T2698" i="1"/>
  <c r="S2698" i="1"/>
  <c r="W2697" i="1"/>
  <c r="V2697" i="1"/>
  <c r="U2697" i="1"/>
  <c r="T2697" i="1"/>
  <c r="S2697" i="1"/>
  <c r="W2696" i="1"/>
  <c r="V2696" i="1"/>
  <c r="U2696" i="1"/>
  <c r="T2696" i="1"/>
  <c r="S2696" i="1"/>
  <c r="W2695" i="1"/>
  <c r="V2695" i="1"/>
  <c r="U2695" i="1"/>
  <c r="T2695" i="1"/>
  <c r="S2695" i="1"/>
  <c r="W2694" i="1"/>
  <c r="V2694" i="1"/>
  <c r="U2694" i="1"/>
  <c r="T2694" i="1"/>
  <c r="S2694" i="1"/>
  <c r="W2693" i="1"/>
  <c r="V2693" i="1"/>
  <c r="U2693" i="1"/>
  <c r="T2693" i="1"/>
  <c r="S2693" i="1"/>
  <c r="W2692" i="1"/>
  <c r="V2692" i="1"/>
  <c r="U2692" i="1"/>
  <c r="T2692" i="1"/>
  <c r="S2692" i="1"/>
  <c r="W2691" i="1"/>
  <c r="V2691" i="1"/>
  <c r="U2691" i="1"/>
  <c r="T2691" i="1"/>
  <c r="S2691" i="1"/>
  <c r="W2690" i="1"/>
  <c r="V2690" i="1"/>
  <c r="U2690" i="1"/>
  <c r="T2690" i="1"/>
  <c r="S2690" i="1"/>
  <c r="W2689" i="1"/>
  <c r="V2689" i="1"/>
  <c r="U2689" i="1"/>
  <c r="T2689" i="1"/>
  <c r="S2689" i="1"/>
  <c r="W2688" i="1"/>
  <c r="V2688" i="1"/>
  <c r="U2688" i="1"/>
  <c r="T2688" i="1"/>
  <c r="S2688" i="1"/>
  <c r="W2687" i="1"/>
  <c r="V2687" i="1"/>
  <c r="U2687" i="1"/>
  <c r="T2687" i="1"/>
  <c r="S2687" i="1"/>
  <c r="W2686" i="1"/>
  <c r="V2686" i="1"/>
  <c r="U2686" i="1"/>
  <c r="T2686" i="1"/>
  <c r="S2686" i="1"/>
  <c r="W2685" i="1"/>
  <c r="V2685" i="1"/>
  <c r="U2685" i="1"/>
  <c r="T2685" i="1"/>
  <c r="S2685" i="1"/>
  <c r="W2684" i="1"/>
  <c r="V2684" i="1"/>
  <c r="U2684" i="1"/>
  <c r="T2684" i="1"/>
  <c r="S2684" i="1"/>
  <c r="W2683" i="1"/>
  <c r="V2683" i="1"/>
  <c r="U2683" i="1"/>
  <c r="T2683" i="1"/>
  <c r="S2683" i="1"/>
  <c r="W2682" i="1"/>
  <c r="V2682" i="1"/>
  <c r="U2682" i="1"/>
  <c r="T2682" i="1"/>
  <c r="S2682" i="1"/>
  <c r="W2681" i="1"/>
  <c r="V2681" i="1"/>
  <c r="U2681" i="1"/>
  <c r="T2681" i="1"/>
  <c r="S2681" i="1"/>
  <c r="W2680" i="1"/>
  <c r="V2680" i="1"/>
  <c r="U2680" i="1"/>
  <c r="T2680" i="1"/>
  <c r="S2680" i="1"/>
  <c r="W2679" i="1"/>
  <c r="V2679" i="1"/>
  <c r="U2679" i="1"/>
  <c r="T2679" i="1"/>
  <c r="S2679" i="1"/>
  <c r="W2678" i="1"/>
  <c r="V2678" i="1"/>
  <c r="U2678" i="1"/>
  <c r="T2678" i="1"/>
  <c r="S2678" i="1"/>
  <c r="W2677" i="1"/>
  <c r="V2677" i="1"/>
  <c r="U2677" i="1"/>
  <c r="T2677" i="1"/>
  <c r="S2677" i="1"/>
  <c r="W2676" i="1"/>
  <c r="V2676" i="1"/>
  <c r="U2676" i="1"/>
  <c r="T2676" i="1"/>
  <c r="S2676" i="1"/>
  <c r="W2675" i="1"/>
  <c r="V2675" i="1"/>
  <c r="U2675" i="1"/>
  <c r="T2675" i="1"/>
  <c r="S2675" i="1"/>
  <c r="W2674" i="1"/>
  <c r="V2674" i="1"/>
  <c r="U2674" i="1"/>
  <c r="T2674" i="1"/>
  <c r="S2674" i="1"/>
  <c r="W2673" i="1"/>
  <c r="V2673" i="1"/>
  <c r="U2673" i="1"/>
  <c r="T2673" i="1"/>
  <c r="S2673" i="1"/>
  <c r="W2672" i="1"/>
  <c r="V2672" i="1"/>
  <c r="U2672" i="1"/>
  <c r="T2672" i="1"/>
  <c r="S2672" i="1"/>
  <c r="W2671" i="1"/>
  <c r="V2671" i="1"/>
  <c r="U2671" i="1"/>
  <c r="T2671" i="1"/>
  <c r="S2671" i="1"/>
  <c r="W2670" i="1"/>
  <c r="V2670" i="1"/>
  <c r="U2670" i="1"/>
  <c r="T2670" i="1"/>
  <c r="S2670" i="1"/>
  <c r="W2669" i="1"/>
  <c r="V2669" i="1"/>
  <c r="U2669" i="1"/>
  <c r="T2669" i="1"/>
  <c r="S2669" i="1"/>
  <c r="W2668" i="1"/>
  <c r="V2668" i="1"/>
  <c r="U2668" i="1"/>
  <c r="T2668" i="1"/>
  <c r="S2668" i="1"/>
  <c r="W2667" i="1"/>
  <c r="V2667" i="1"/>
  <c r="U2667" i="1"/>
  <c r="T2667" i="1"/>
  <c r="S2667" i="1"/>
  <c r="W2666" i="1"/>
  <c r="V2666" i="1"/>
  <c r="U2666" i="1"/>
  <c r="T2666" i="1"/>
  <c r="S2666" i="1"/>
  <c r="W2665" i="1"/>
  <c r="V2665" i="1"/>
  <c r="U2665" i="1"/>
  <c r="T2665" i="1"/>
  <c r="S2665" i="1"/>
  <c r="W2664" i="1"/>
  <c r="V2664" i="1"/>
  <c r="U2664" i="1"/>
  <c r="T2664" i="1"/>
  <c r="S2664" i="1"/>
  <c r="W2663" i="1"/>
  <c r="V2663" i="1"/>
  <c r="U2663" i="1"/>
  <c r="T2663" i="1"/>
  <c r="S2663" i="1"/>
  <c r="W2662" i="1"/>
  <c r="V2662" i="1"/>
  <c r="U2662" i="1"/>
  <c r="T2662" i="1"/>
  <c r="S2662" i="1"/>
  <c r="W2661" i="1"/>
  <c r="V2661" i="1"/>
  <c r="U2661" i="1"/>
  <c r="T2661" i="1"/>
  <c r="S2661" i="1"/>
  <c r="W2660" i="1"/>
  <c r="V2660" i="1"/>
  <c r="U2660" i="1"/>
  <c r="T2660" i="1"/>
  <c r="S2660" i="1"/>
  <c r="W2659" i="1"/>
  <c r="V2659" i="1"/>
  <c r="U2659" i="1"/>
  <c r="T2659" i="1"/>
  <c r="S2659" i="1"/>
  <c r="W2658" i="1"/>
  <c r="V2658" i="1"/>
  <c r="U2658" i="1"/>
  <c r="T2658" i="1"/>
  <c r="S2658" i="1"/>
  <c r="W2657" i="1"/>
  <c r="V2657" i="1"/>
  <c r="U2657" i="1"/>
  <c r="T2657" i="1"/>
  <c r="S2657" i="1"/>
  <c r="W2656" i="1"/>
  <c r="V2656" i="1"/>
  <c r="U2656" i="1"/>
  <c r="T2656" i="1"/>
  <c r="S2656" i="1"/>
  <c r="W2655" i="1"/>
  <c r="V2655" i="1"/>
  <c r="U2655" i="1"/>
  <c r="T2655" i="1"/>
  <c r="S2655" i="1"/>
  <c r="W2654" i="1"/>
  <c r="V2654" i="1"/>
  <c r="U2654" i="1"/>
  <c r="T2654" i="1"/>
  <c r="S2654" i="1"/>
  <c r="W2653" i="1"/>
  <c r="V2653" i="1"/>
  <c r="U2653" i="1"/>
  <c r="T2653" i="1"/>
  <c r="S2653" i="1"/>
  <c r="W2652" i="1"/>
  <c r="V2652" i="1"/>
  <c r="U2652" i="1"/>
  <c r="T2652" i="1"/>
  <c r="S2652" i="1"/>
  <c r="W2651" i="1"/>
  <c r="V2651" i="1"/>
  <c r="U2651" i="1"/>
  <c r="T2651" i="1"/>
  <c r="S2651" i="1"/>
  <c r="W2650" i="1"/>
  <c r="V2650" i="1"/>
  <c r="U2650" i="1"/>
  <c r="T2650" i="1"/>
  <c r="S2650" i="1"/>
  <c r="W2649" i="1"/>
  <c r="V2649" i="1"/>
  <c r="U2649" i="1"/>
  <c r="T2649" i="1"/>
  <c r="S2649" i="1"/>
  <c r="W2648" i="1"/>
  <c r="V2648" i="1"/>
  <c r="U2648" i="1"/>
  <c r="T2648" i="1"/>
  <c r="S2648" i="1"/>
  <c r="W2647" i="1"/>
  <c r="V2647" i="1"/>
  <c r="U2647" i="1"/>
  <c r="T2647" i="1"/>
  <c r="S2647" i="1"/>
  <c r="W2646" i="1"/>
  <c r="V2646" i="1"/>
  <c r="U2646" i="1"/>
  <c r="T2646" i="1"/>
  <c r="S2646" i="1"/>
  <c r="W2645" i="1"/>
  <c r="V2645" i="1"/>
  <c r="U2645" i="1"/>
  <c r="T2645" i="1"/>
  <c r="S2645" i="1"/>
  <c r="W2644" i="1"/>
  <c r="V2644" i="1"/>
  <c r="U2644" i="1"/>
  <c r="T2644" i="1"/>
  <c r="S2644" i="1"/>
  <c r="W2643" i="1"/>
  <c r="V2643" i="1"/>
  <c r="U2643" i="1"/>
  <c r="T2643" i="1"/>
  <c r="S2643" i="1"/>
  <c r="W2642" i="1"/>
  <c r="V2642" i="1"/>
  <c r="U2642" i="1"/>
  <c r="T2642" i="1"/>
  <c r="S2642" i="1"/>
  <c r="W2641" i="1"/>
  <c r="V2641" i="1"/>
  <c r="U2641" i="1"/>
  <c r="T2641" i="1"/>
  <c r="S2641" i="1"/>
  <c r="W2640" i="1"/>
  <c r="V2640" i="1"/>
  <c r="U2640" i="1"/>
  <c r="T2640" i="1"/>
  <c r="S2640" i="1"/>
  <c r="W2639" i="1"/>
  <c r="V2639" i="1"/>
  <c r="U2639" i="1"/>
  <c r="T2639" i="1"/>
  <c r="S2639" i="1"/>
  <c r="W2638" i="1"/>
  <c r="V2638" i="1"/>
  <c r="U2638" i="1"/>
  <c r="T2638" i="1"/>
  <c r="S2638" i="1"/>
  <c r="W2637" i="1"/>
  <c r="V2637" i="1"/>
  <c r="U2637" i="1"/>
  <c r="T2637" i="1"/>
  <c r="S2637" i="1"/>
  <c r="W2636" i="1"/>
  <c r="V2636" i="1"/>
  <c r="U2636" i="1"/>
  <c r="T2636" i="1"/>
  <c r="S2636" i="1"/>
  <c r="W2635" i="1"/>
  <c r="V2635" i="1"/>
  <c r="U2635" i="1"/>
  <c r="T2635" i="1"/>
  <c r="S2635" i="1"/>
  <c r="W2634" i="1"/>
  <c r="V2634" i="1"/>
  <c r="U2634" i="1"/>
  <c r="T2634" i="1"/>
  <c r="S2634" i="1"/>
  <c r="W2633" i="1"/>
  <c r="V2633" i="1"/>
  <c r="U2633" i="1"/>
  <c r="T2633" i="1"/>
  <c r="S2633" i="1"/>
  <c r="W2632" i="1"/>
  <c r="V2632" i="1"/>
  <c r="U2632" i="1"/>
  <c r="T2632" i="1"/>
  <c r="S2632" i="1"/>
  <c r="W2631" i="1"/>
  <c r="V2631" i="1"/>
  <c r="U2631" i="1"/>
  <c r="T2631" i="1"/>
  <c r="S2631" i="1"/>
  <c r="W2630" i="1"/>
  <c r="V2630" i="1"/>
  <c r="U2630" i="1"/>
  <c r="T2630" i="1"/>
  <c r="S2630" i="1"/>
  <c r="W2629" i="1"/>
  <c r="V2629" i="1"/>
  <c r="U2629" i="1"/>
  <c r="T2629" i="1"/>
  <c r="S2629" i="1"/>
  <c r="W2628" i="1"/>
  <c r="V2628" i="1"/>
  <c r="U2628" i="1"/>
  <c r="T2628" i="1"/>
  <c r="S2628" i="1"/>
  <c r="W2627" i="1"/>
  <c r="V2627" i="1"/>
  <c r="U2627" i="1"/>
  <c r="T2627" i="1"/>
  <c r="S2627" i="1"/>
  <c r="W2626" i="1"/>
  <c r="V2626" i="1"/>
  <c r="U2626" i="1"/>
  <c r="T2626" i="1"/>
  <c r="S2626" i="1"/>
  <c r="W2625" i="1"/>
  <c r="V2625" i="1"/>
  <c r="U2625" i="1"/>
  <c r="T2625" i="1"/>
  <c r="S2625" i="1"/>
  <c r="W2624" i="1"/>
  <c r="V2624" i="1"/>
  <c r="U2624" i="1"/>
  <c r="T2624" i="1"/>
  <c r="S2624" i="1"/>
  <c r="W2623" i="1"/>
  <c r="V2623" i="1"/>
  <c r="U2623" i="1"/>
  <c r="T2623" i="1"/>
  <c r="S2623" i="1"/>
  <c r="W2622" i="1"/>
  <c r="V2622" i="1"/>
  <c r="U2622" i="1"/>
  <c r="T2622" i="1"/>
  <c r="S2622" i="1"/>
  <c r="W2621" i="1"/>
  <c r="V2621" i="1"/>
  <c r="U2621" i="1"/>
  <c r="T2621" i="1"/>
  <c r="S2621" i="1"/>
  <c r="W2620" i="1"/>
  <c r="V2620" i="1"/>
  <c r="U2620" i="1"/>
  <c r="T2620" i="1"/>
  <c r="S2620" i="1"/>
  <c r="W2619" i="1"/>
  <c r="V2619" i="1"/>
  <c r="U2619" i="1"/>
  <c r="T2619" i="1"/>
  <c r="S2619" i="1"/>
  <c r="W2618" i="1"/>
  <c r="V2618" i="1"/>
  <c r="U2618" i="1"/>
  <c r="T2618" i="1"/>
  <c r="S2618" i="1"/>
  <c r="W2617" i="1"/>
  <c r="V2617" i="1"/>
  <c r="U2617" i="1"/>
  <c r="T2617" i="1"/>
  <c r="S2617" i="1"/>
  <c r="W2616" i="1"/>
  <c r="V2616" i="1"/>
  <c r="U2616" i="1"/>
  <c r="T2616" i="1"/>
  <c r="S2616" i="1"/>
  <c r="W2615" i="1"/>
  <c r="V2615" i="1"/>
  <c r="U2615" i="1"/>
  <c r="T2615" i="1"/>
  <c r="S2615" i="1"/>
  <c r="W2614" i="1"/>
  <c r="V2614" i="1"/>
  <c r="U2614" i="1"/>
  <c r="T2614" i="1"/>
  <c r="S2614" i="1"/>
  <c r="W2613" i="1"/>
  <c r="V2613" i="1"/>
  <c r="U2613" i="1"/>
  <c r="T2613" i="1"/>
  <c r="S2613" i="1"/>
  <c r="W2612" i="1"/>
  <c r="V2612" i="1"/>
  <c r="U2612" i="1"/>
  <c r="T2612" i="1"/>
  <c r="S2612" i="1"/>
  <c r="W2611" i="1"/>
  <c r="V2611" i="1"/>
  <c r="U2611" i="1"/>
  <c r="T2611" i="1"/>
  <c r="S2611" i="1"/>
  <c r="W2610" i="1"/>
  <c r="V2610" i="1"/>
  <c r="U2610" i="1"/>
  <c r="T2610" i="1"/>
  <c r="S2610" i="1"/>
  <c r="W2609" i="1"/>
  <c r="V2609" i="1"/>
  <c r="U2609" i="1"/>
  <c r="T2609" i="1"/>
  <c r="S2609" i="1"/>
  <c r="W2608" i="1"/>
  <c r="V2608" i="1"/>
  <c r="U2608" i="1"/>
  <c r="T2608" i="1"/>
  <c r="S2608" i="1"/>
  <c r="W2607" i="1"/>
  <c r="V2607" i="1"/>
  <c r="U2607" i="1"/>
  <c r="T2607" i="1"/>
  <c r="S2607" i="1"/>
  <c r="W2606" i="1"/>
  <c r="V2606" i="1"/>
  <c r="U2606" i="1"/>
  <c r="T2606" i="1"/>
  <c r="S2606" i="1"/>
  <c r="W2605" i="1"/>
  <c r="V2605" i="1"/>
  <c r="U2605" i="1"/>
  <c r="T2605" i="1"/>
  <c r="S2605" i="1"/>
  <c r="W2604" i="1"/>
  <c r="V2604" i="1"/>
  <c r="U2604" i="1"/>
  <c r="T2604" i="1"/>
  <c r="S2604" i="1"/>
  <c r="W2603" i="1"/>
  <c r="V2603" i="1"/>
  <c r="U2603" i="1"/>
  <c r="T2603" i="1"/>
  <c r="S2603" i="1"/>
  <c r="W2602" i="1"/>
  <c r="V2602" i="1"/>
  <c r="U2602" i="1"/>
  <c r="T2602" i="1"/>
  <c r="S2602" i="1"/>
  <c r="W2601" i="1"/>
  <c r="V2601" i="1"/>
  <c r="U2601" i="1"/>
  <c r="T2601" i="1"/>
  <c r="S2601" i="1"/>
  <c r="W2600" i="1"/>
  <c r="V2600" i="1"/>
  <c r="U2600" i="1"/>
  <c r="T2600" i="1"/>
  <c r="S2600" i="1"/>
  <c r="W2599" i="1"/>
  <c r="V2599" i="1"/>
  <c r="U2599" i="1"/>
  <c r="T2599" i="1"/>
  <c r="S2599" i="1"/>
  <c r="W2598" i="1"/>
  <c r="V2598" i="1"/>
  <c r="U2598" i="1"/>
  <c r="T2598" i="1"/>
  <c r="S2598" i="1"/>
  <c r="W2597" i="1"/>
  <c r="V2597" i="1"/>
  <c r="U2597" i="1"/>
  <c r="T2597" i="1"/>
  <c r="S2597" i="1"/>
  <c r="W2596" i="1"/>
  <c r="V2596" i="1"/>
  <c r="U2596" i="1"/>
  <c r="T2596" i="1"/>
  <c r="S2596" i="1"/>
  <c r="W2595" i="1"/>
  <c r="V2595" i="1"/>
  <c r="U2595" i="1"/>
  <c r="T2595" i="1"/>
  <c r="S2595" i="1"/>
  <c r="W2594" i="1"/>
  <c r="V2594" i="1"/>
  <c r="U2594" i="1"/>
  <c r="T2594" i="1"/>
  <c r="S2594" i="1"/>
  <c r="W2593" i="1"/>
  <c r="V2593" i="1"/>
  <c r="U2593" i="1"/>
  <c r="T2593" i="1"/>
  <c r="S2593" i="1"/>
  <c r="W2592" i="1"/>
  <c r="V2592" i="1"/>
  <c r="U2592" i="1"/>
  <c r="T2592" i="1"/>
  <c r="S2592" i="1"/>
  <c r="W2591" i="1"/>
  <c r="V2591" i="1"/>
  <c r="U2591" i="1"/>
  <c r="T2591" i="1"/>
  <c r="S2591" i="1"/>
  <c r="W2590" i="1"/>
  <c r="V2590" i="1"/>
  <c r="U2590" i="1"/>
  <c r="T2590" i="1"/>
  <c r="S2590" i="1"/>
  <c r="W2589" i="1"/>
  <c r="V2589" i="1"/>
  <c r="U2589" i="1"/>
  <c r="T2589" i="1"/>
  <c r="S2589" i="1"/>
  <c r="W2588" i="1"/>
  <c r="V2588" i="1"/>
  <c r="U2588" i="1"/>
  <c r="T2588" i="1"/>
  <c r="S2588" i="1"/>
  <c r="W2587" i="1"/>
  <c r="V2587" i="1"/>
  <c r="U2587" i="1"/>
  <c r="T2587" i="1"/>
  <c r="S2587" i="1"/>
  <c r="W2586" i="1"/>
  <c r="V2586" i="1"/>
  <c r="U2586" i="1"/>
  <c r="T2586" i="1"/>
  <c r="S2586" i="1"/>
  <c r="W2585" i="1"/>
  <c r="V2585" i="1"/>
  <c r="U2585" i="1"/>
  <c r="T2585" i="1"/>
  <c r="S2585" i="1"/>
  <c r="W2584" i="1"/>
  <c r="V2584" i="1"/>
  <c r="U2584" i="1"/>
  <c r="T2584" i="1"/>
  <c r="S2584" i="1"/>
  <c r="W2583" i="1"/>
  <c r="V2583" i="1"/>
  <c r="U2583" i="1"/>
  <c r="T2583" i="1"/>
  <c r="S2583" i="1"/>
  <c r="W2582" i="1"/>
  <c r="V2582" i="1"/>
  <c r="U2582" i="1"/>
  <c r="T2582" i="1"/>
  <c r="S2582" i="1"/>
  <c r="W2581" i="1"/>
  <c r="V2581" i="1"/>
  <c r="U2581" i="1"/>
  <c r="T2581" i="1"/>
  <c r="S2581" i="1"/>
  <c r="W2580" i="1"/>
  <c r="V2580" i="1"/>
  <c r="U2580" i="1"/>
  <c r="T2580" i="1"/>
  <c r="S2580" i="1"/>
  <c r="W2579" i="1"/>
  <c r="V2579" i="1"/>
  <c r="U2579" i="1"/>
  <c r="T2579" i="1"/>
  <c r="S2579" i="1"/>
  <c r="W2578" i="1"/>
  <c r="V2578" i="1"/>
  <c r="U2578" i="1"/>
  <c r="T2578" i="1"/>
  <c r="S2578" i="1"/>
  <c r="W2577" i="1"/>
  <c r="V2577" i="1"/>
  <c r="U2577" i="1"/>
  <c r="T2577" i="1"/>
  <c r="S2577" i="1"/>
  <c r="W2576" i="1"/>
  <c r="V2576" i="1"/>
  <c r="U2576" i="1"/>
  <c r="T2576" i="1"/>
  <c r="S2576" i="1"/>
  <c r="W2575" i="1"/>
  <c r="V2575" i="1"/>
  <c r="U2575" i="1"/>
  <c r="T2575" i="1"/>
  <c r="S2575" i="1"/>
  <c r="W2574" i="1"/>
  <c r="V2574" i="1"/>
  <c r="U2574" i="1"/>
  <c r="T2574" i="1"/>
  <c r="S2574" i="1"/>
  <c r="W2573" i="1"/>
  <c r="V2573" i="1"/>
  <c r="U2573" i="1"/>
  <c r="T2573" i="1"/>
  <c r="S2573" i="1"/>
  <c r="W2572" i="1"/>
  <c r="V2572" i="1"/>
  <c r="U2572" i="1"/>
  <c r="T2572" i="1"/>
  <c r="S2572" i="1"/>
  <c r="W2571" i="1"/>
  <c r="V2571" i="1"/>
  <c r="U2571" i="1"/>
  <c r="T2571" i="1"/>
  <c r="S2571" i="1"/>
  <c r="W2570" i="1"/>
  <c r="V2570" i="1"/>
  <c r="U2570" i="1"/>
  <c r="T2570" i="1"/>
  <c r="S2570" i="1"/>
  <c r="W2569" i="1"/>
  <c r="V2569" i="1"/>
  <c r="U2569" i="1"/>
  <c r="T2569" i="1"/>
  <c r="S2569" i="1"/>
  <c r="W2568" i="1"/>
  <c r="V2568" i="1"/>
  <c r="U2568" i="1"/>
  <c r="T2568" i="1"/>
  <c r="S2568" i="1"/>
  <c r="W2567" i="1"/>
  <c r="V2567" i="1"/>
  <c r="U2567" i="1"/>
  <c r="T2567" i="1"/>
  <c r="S2567" i="1"/>
  <c r="W2566" i="1"/>
  <c r="V2566" i="1"/>
  <c r="U2566" i="1"/>
  <c r="T2566" i="1"/>
  <c r="S2566" i="1"/>
  <c r="W2565" i="1"/>
  <c r="V2565" i="1"/>
  <c r="U2565" i="1"/>
  <c r="T2565" i="1"/>
  <c r="S2565" i="1"/>
  <c r="W2564" i="1"/>
  <c r="V2564" i="1"/>
  <c r="U2564" i="1"/>
  <c r="T2564" i="1"/>
  <c r="S2564" i="1"/>
  <c r="W2563" i="1"/>
  <c r="V2563" i="1"/>
  <c r="U2563" i="1"/>
  <c r="T2563" i="1"/>
  <c r="S2563" i="1"/>
  <c r="W2562" i="1"/>
  <c r="V2562" i="1"/>
  <c r="U2562" i="1"/>
  <c r="T2562" i="1"/>
  <c r="S2562" i="1"/>
  <c r="W2561" i="1"/>
  <c r="V2561" i="1"/>
  <c r="U2561" i="1"/>
  <c r="T2561" i="1"/>
  <c r="S2561" i="1"/>
  <c r="W2560" i="1"/>
  <c r="V2560" i="1"/>
  <c r="U2560" i="1"/>
  <c r="T2560" i="1"/>
  <c r="S2560" i="1"/>
  <c r="W2559" i="1"/>
  <c r="V2559" i="1"/>
  <c r="U2559" i="1"/>
  <c r="T2559" i="1"/>
  <c r="S2559" i="1"/>
  <c r="W2558" i="1"/>
  <c r="V2558" i="1"/>
  <c r="U2558" i="1"/>
  <c r="T2558" i="1"/>
  <c r="S2558" i="1"/>
  <c r="W2557" i="1"/>
  <c r="V2557" i="1"/>
  <c r="U2557" i="1"/>
  <c r="T2557" i="1"/>
  <c r="S2557" i="1"/>
  <c r="W2556" i="1"/>
  <c r="V2556" i="1"/>
  <c r="U2556" i="1"/>
  <c r="T2556" i="1"/>
  <c r="S2556" i="1"/>
  <c r="W2555" i="1"/>
  <c r="V2555" i="1"/>
  <c r="U2555" i="1"/>
  <c r="T2555" i="1"/>
  <c r="S2555" i="1"/>
  <c r="W2554" i="1"/>
  <c r="V2554" i="1"/>
  <c r="U2554" i="1"/>
  <c r="T2554" i="1"/>
  <c r="S2554" i="1"/>
  <c r="W2553" i="1"/>
  <c r="V2553" i="1"/>
  <c r="U2553" i="1"/>
  <c r="T2553" i="1"/>
  <c r="S2553" i="1"/>
  <c r="W2552" i="1"/>
  <c r="V2552" i="1"/>
  <c r="U2552" i="1"/>
  <c r="T2552" i="1"/>
  <c r="S2552" i="1"/>
  <c r="W2551" i="1"/>
  <c r="V2551" i="1"/>
  <c r="U2551" i="1"/>
  <c r="T2551" i="1"/>
  <c r="S2551" i="1"/>
  <c r="W2550" i="1"/>
  <c r="V2550" i="1"/>
  <c r="U2550" i="1"/>
  <c r="T2550" i="1"/>
  <c r="S2550" i="1"/>
  <c r="W2549" i="1"/>
  <c r="V2549" i="1"/>
  <c r="U2549" i="1"/>
  <c r="T2549" i="1"/>
  <c r="S2549" i="1"/>
  <c r="W2548" i="1"/>
  <c r="V2548" i="1"/>
  <c r="U2548" i="1"/>
  <c r="T2548" i="1"/>
  <c r="S2548" i="1"/>
  <c r="W2547" i="1"/>
  <c r="V2547" i="1"/>
  <c r="U2547" i="1"/>
  <c r="T2547" i="1"/>
  <c r="S2547" i="1"/>
  <c r="W2546" i="1"/>
  <c r="V2546" i="1"/>
  <c r="U2546" i="1"/>
  <c r="T2546" i="1"/>
  <c r="S2546" i="1"/>
  <c r="W2545" i="1"/>
  <c r="V2545" i="1"/>
  <c r="U2545" i="1"/>
  <c r="T2545" i="1"/>
  <c r="S2545" i="1"/>
  <c r="W2544" i="1"/>
  <c r="V2544" i="1"/>
  <c r="U2544" i="1"/>
  <c r="T2544" i="1"/>
  <c r="S2544" i="1"/>
  <c r="W2543" i="1"/>
  <c r="V2543" i="1"/>
  <c r="U2543" i="1"/>
  <c r="T2543" i="1"/>
  <c r="S2543" i="1"/>
  <c r="W2542" i="1"/>
  <c r="V2542" i="1"/>
  <c r="U2542" i="1"/>
  <c r="T2542" i="1"/>
  <c r="S2542" i="1"/>
  <c r="W2541" i="1"/>
  <c r="V2541" i="1"/>
  <c r="U2541" i="1"/>
  <c r="T2541" i="1"/>
  <c r="S2541" i="1"/>
  <c r="W2540" i="1"/>
  <c r="V2540" i="1"/>
  <c r="U2540" i="1"/>
  <c r="T2540" i="1"/>
  <c r="S2540" i="1"/>
  <c r="W2539" i="1"/>
  <c r="V2539" i="1"/>
  <c r="U2539" i="1"/>
  <c r="T2539" i="1"/>
  <c r="S2539" i="1"/>
  <c r="W2538" i="1"/>
  <c r="V2538" i="1"/>
  <c r="U2538" i="1"/>
  <c r="T2538" i="1"/>
  <c r="S2538" i="1"/>
  <c r="W2537" i="1"/>
  <c r="V2537" i="1"/>
  <c r="U2537" i="1"/>
  <c r="T2537" i="1"/>
  <c r="S2537" i="1"/>
  <c r="W2536" i="1"/>
  <c r="V2536" i="1"/>
  <c r="U2536" i="1"/>
  <c r="T2536" i="1"/>
  <c r="S2536" i="1"/>
  <c r="W2535" i="1"/>
  <c r="V2535" i="1"/>
  <c r="U2535" i="1"/>
  <c r="T2535" i="1"/>
  <c r="S2535" i="1"/>
  <c r="W2534" i="1"/>
  <c r="V2534" i="1"/>
  <c r="U2534" i="1"/>
  <c r="T2534" i="1"/>
  <c r="S2534" i="1"/>
  <c r="W2533" i="1"/>
  <c r="V2533" i="1"/>
  <c r="U2533" i="1"/>
  <c r="T2533" i="1"/>
  <c r="S2533" i="1"/>
  <c r="W2532" i="1"/>
  <c r="V2532" i="1"/>
  <c r="U2532" i="1"/>
  <c r="T2532" i="1"/>
  <c r="S2532" i="1"/>
  <c r="W2531" i="1"/>
  <c r="V2531" i="1"/>
  <c r="U2531" i="1"/>
  <c r="T2531" i="1"/>
  <c r="S2531" i="1"/>
  <c r="W2530" i="1"/>
  <c r="V2530" i="1"/>
  <c r="U2530" i="1"/>
  <c r="T2530" i="1"/>
  <c r="S2530" i="1"/>
  <c r="W2529" i="1"/>
  <c r="V2529" i="1"/>
  <c r="U2529" i="1"/>
  <c r="T2529" i="1"/>
  <c r="S2529" i="1"/>
  <c r="W2528" i="1"/>
  <c r="V2528" i="1"/>
  <c r="U2528" i="1"/>
  <c r="T2528" i="1"/>
  <c r="S2528" i="1"/>
  <c r="W2527" i="1"/>
  <c r="V2527" i="1"/>
  <c r="U2527" i="1"/>
  <c r="T2527" i="1"/>
  <c r="S2527" i="1"/>
  <c r="W2526" i="1"/>
  <c r="V2526" i="1"/>
  <c r="U2526" i="1"/>
  <c r="T2526" i="1"/>
  <c r="S2526" i="1"/>
  <c r="W2525" i="1"/>
  <c r="V2525" i="1"/>
  <c r="U2525" i="1"/>
  <c r="T2525" i="1"/>
  <c r="S2525" i="1"/>
  <c r="W2524" i="1"/>
  <c r="V2524" i="1"/>
  <c r="U2524" i="1"/>
  <c r="T2524" i="1"/>
  <c r="S2524" i="1"/>
  <c r="W2523" i="1"/>
  <c r="V2523" i="1"/>
  <c r="U2523" i="1"/>
  <c r="T2523" i="1"/>
  <c r="S2523" i="1"/>
  <c r="W2522" i="1"/>
  <c r="V2522" i="1"/>
  <c r="U2522" i="1"/>
  <c r="T2522" i="1"/>
  <c r="S2522" i="1"/>
  <c r="W2521" i="1"/>
  <c r="V2521" i="1"/>
  <c r="U2521" i="1"/>
  <c r="T2521" i="1"/>
  <c r="S2521" i="1"/>
  <c r="W2520" i="1"/>
  <c r="V2520" i="1"/>
  <c r="U2520" i="1"/>
  <c r="T2520" i="1"/>
  <c r="S2520" i="1"/>
  <c r="W2519" i="1"/>
  <c r="V2519" i="1"/>
  <c r="U2519" i="1"/>
  <c r="T2519" i="1"/>
  <c r="S2519" i="1"/>
  <c r="W2518" i="1"/>
  <c r="V2518" i="1"/>
  <c r="U2518" i="1"/>
  <c r="T2518" i="1"/>
  <c r="S2518" i="1"/>
  <c r="W2517" i="1"/>
  <c r="V2517" i="1"/>
  <c r="U2517" i="1"/>
  <c r="T2517" i="1"/>
  <c r="S2517" i="1"/>
  <c r="W2516" i="1"/>
  <c r="V2516" i="1"/>
  <c r="U2516" i="1"/>
  <c r="T2516" i="1"/>
  <c r="S2516" i="1"/>
  <c r="W2515" i="1"/>
  <c r="V2515" i="1"/>
  <c r="U2515" i="1"/>
  <c r="T2515" i="1"/>
  <c r="S2515" i="1"/>
  <c r="W2514" i="1"/>
  <c r="V2514" i="1"/>
  <c r="U2514" i="1"/>
  <c r="T2514" i="1"/>
  <c r="S2514" i="1"/>
  <c r="W2513" i="1"/>
  <c r="V2513" i="1"/>
  <c r="U2513" i="1"/>
  <c r="T2513" i="1"/>
  <c r="S2513" i="1"/>
  <c r="W2512" i="1"/>
  <c r="V2512" i="1"/>
  <c r="U2512" i="1"/>
  <c r="T2512" i="1"/>
  <c r="S2512" i="1"/>
  <c r="W2511" i="1"/>
  <c r="V2511" i="1"/>
  <c r="U2511" i="1"/>
  <c r="T2511" i="1"/>
  <c r="S2511" i="1"/>
  <c r="W2510" i="1"/>
  <c r="V2510" i="1"/>
  <c r="U2510" i="1"/>
  <c r="T2510" i="1"/>
  <c r="S2510" i="1"/>
  <c r="W2509" i="1"/>
  <c r="V2509" i="1"/>
  <c r="U2509" i="1"/>
  <c r="T2509" i="1"/>
  <c r="S2509" i="1"/>
  <c r="W2508" i="1"/>
  <c r="V2508" i="1"/>
  <c r="U2508" i="1"/>
  <c r="T2508" i="1"/>
  <c r="S2508" i="1"/>
  <c r="W2507" i="1"/>
  <c r="V2507" i="1"/>
  <c r="U2507" i="1"/>
  <c r="T2507" i="1"/>
  <c r="S2507" i="1"/>
  <c r="W2506" i="1"/>
  <c r="V2506" i="1"/>
  <c r="U2506" i="1"/>
  <c r="T2506" i="1"/>
  <c r="S2506" i="1"/>
  <c r="W2505" i="1"/>
  <c r="V2505" i="1"/>
  <c r="U2505" i="1"/>
  <c r="T2505" i="1"/>
  <c r="S2505" i="1"/>
  <c r="W2504" i="1"/>
  <c r="V2504" i="1"/>
  <c r="U2504" i="1"/>
  <c r="T2504" i="1"/>
  <c r="S2504" i="1"/>
  <c r="W2503" i="1"/>
  <c r="V2503" i="1"/>
  <c r="U2503" i="1"/>
  <c r="T2503" i="1"/>
  <c r="S2503" i="1"/>
  <c r="W2502" i="1"/>
  <c r="V2502" i="1"/>
  <c r="U2502" i="1"/>
  <c r="T2502" i="1"/>
  <c r="S2502" i="1"/>
  <c r="W2501" i="1"/>
  <c r="V2501" i="1"/>
  <c r="U2501" i="1"/>
  <c r="T2501" i="1"/>
  <c r="S2501" i="1"/>
  <c r="W2500" i="1"/>
  <c r="V2500" i="1"/>
  <c r="U2500" i="1"/>
  <c r="T2500" i="1"/>
  <c r="S2500" i="1"/>
  <c r="W2499" i="1"/>
  <c r="V2499" i="1"/>
  <c r="U2499" i="1"/>
  <c r="T2499" i="1"/>
  <c r="S2499" i="1"/>
  <c r="W2498" i="1"/>
  <c r="V2498" i="1"/>
  <c r="U2498" i="1"/>
  <c r="T2498" i="1"/>
  <c r="S2498" i="1"/>
  <c r="W2497" i="1"/>
  <c r="V2497" i="1"/>
  <c r="U2497" i="1"/>
  <c r="T2497" i="1"/>
  <c r="S2497" i="1"/>
  <c r="W2496" i="1"/>
  <c r="V2496" i="1"/>
  <c r="U2496" i="1"/>
  <c r="T2496" i="1"/>
  <c r="S2496" i="1"/>
  <c r="W2495" i="1"/>
  <c r="V2495" i="1"/>
  <c r="U2495" i="1"/>
  <c r="T2495" i="1"/>
  <c r="S2495" i="1"/>
  <c r="W2494" i="1"/>
  <c r="V2494" i="1"/>
  <c r="U2494" i="1"/>
  <c r="T2494" i="1"/>
  <c r="S2494" i="1"/>
  <c r="W2493" i="1"/>
  <c r="V2493" i="1"/>
  <c r="U2493" i="1"/>
  <c r="T2493" i="1"/>
  <c r="S2493" i="1"/>
  <c r="W2492" i="1"/>
  <c r="V2492" i="1"/>
  <c r="U2492" i="1"/>
  <c r="T2492" i="1"/>
  <c r="S2492" i="1"/>
  <c r="W2491" i="1"/>
  <c r="V2491" i="1"/>
  <c r="U2491" i="1"/>
  <c r="T2491" i="1"/>
  <c r="S2491" i="1"/>
  <c r="W2490" i="1"/>
  <c r="V2490" i="1"/>
  <c r="U2490" i="1"/>
  <c r="T2490" i="1"/>
  <c r="S2490" i="1"/>
  <c r="W2489" i="1"/>
  <c r="V2489" i="1"/>
  <c r="U2489" i="1"/>
  <c r="T2489" i="1"/>
  <c r="S2489" i="1"/>
  <c r="W2488" i="1"/>
  <c r="V2488" i="1"/>
  <c r="U2488" i="1"/>
  <c r="T2488" i="1"/>
  <c r="S2488" i="1"/>
  <c r="W2487" i="1"/>
  <c r="V2487" i="1"/>
  <c r="U2487" i="1"/>
  <c r="T2487" i="1"/>
  <c r="S2487" i="1"/>
  <c r="W2486" i="1"/>
  <c r="V2486" i="1"/>
  <c r="U2486" i="1"/>
  <c r="T2486" i="1"/>
  <c r="S2486" i="1"/>
  <c r="W2485" i="1"/>
  <c r="V2485" i="1"/>
  <c r="U2485" i="1"/>
  <c r="T2485" i="1"/>
  <c r="S2485" i="1"/>
  <c r="W2484" i="1"/>
  <c r="V2484" i="1"/>
  <c r="U2484" i="1"/>
  <c r="T2484" i="1"/>
  <c r="S2484" i="1"/>
  <c r="W2483" i="1"/>
  <c r="V2483" i="1"/>
  <c r="U2483" i="1"/>
  <c r="T2483" i="1"/>
  <c r="S2483" i="1"/>
  <c r="W2482" i="1"/>
  <c r="V2482" i="1"/>
  <c r="U2482" i="1"/>
  <c r="T2482" i="1"/>
  <c r="S2482" i="1"/>
  <c r="W2481" i="1"/>
  <c r="V2481" i="1"/>
  <c r="U2481" i="1"/>
  <c r="T2481" i="1"/>
  <c r="S2481" i="1"/>
  <c r="W2480" i="1"/>
  <c r="V2480" i="1"/>
  <c r="U2480" i="1"/>
  <c r="T2480" i="1"/>
  <c r="S2480" i="1"/>
  <c r="W2479" i="1"/>
  <c r="V2479" i="1"/>
  <c r="U2479" i="1"/>
  <c r="T2479" i="1"/>
  <c r="S2479" i="1"/>
  <c r="W2478" i="1"/>
  <c r="V2478" i="1"/>
  <c r="U2478" i="1"/>
  <c r="T2478" i="1"/>
  <c r="S2478" i="1"/>
  <c r="W2477" i="1"/>
  <c r="V2477" i="1"/>
  <c r="U2477" i="1"/>
  <c r="T2477" i="1"/>
  <c r="S2477" i="1"/>
  <c r="W2476" i="1"/>
  <c r="V2476" i="1"/>
  <c r="U2476" i="1"/>
  <c r="T2476" i="1"/>
  <c r="S2476" i="1"/>
  <c r="W2475" i="1"/>
  <c r="V2475" i="1"/>
  <c r="U2475" i="1"/>
  <c r="T2475" i="1"/>
  <c r="S2475" i="1"/>
  <c r="W2474" i="1"/>
  <c r="V2474" i="1"/>
  <c r="U2474" i="1"/>
  <c r="T2474" i="1"/>
  <c r="S2474" i="1"/>
  <c r="W2473" i="1"/>
  <c r="V2473" i="1"/>
  <c r="U2473" i="1"/>
  <c r="T2473" i="1"/>
  <c r="S2473" i="1"/>
  <c r="W2472" i="1"/>
  <c r="V2472" i="1"/>
  <c r="U2472" i="1"/>
  <c r="T2472" i="1"/>
  <c r="S2472" i="1"/>
  <c r="W2471" i="1"/>
  <c r="V2471" i="1"/>
  <c r="U2471" i="1"/>
  <c r="T2471" i="1"/>
  <c r="S2471" i="1"/>
  <c r="W2470" i="1"/>
  <c r="V2470" i="1"/>
  <c r="U2470" i="1"/>
  <c r="T2470" i="1"/>
  <c r="S2470" i="1"/>
  <c r="W2469" i="1"/>
  <c r="V2469" i="1"/>
  <c r="U2469" i="1"/>
  <c r="T2469" i="1"/>
  <c r="S2469" i="1"/>
  <c r="W2468" i="1"/>
  <c r="V2468" i="1"/>
  <c r="U2468" i="1"/>
  <c r="T2468" i="1"/>
  <c r="S2468" i="1"/>
  <c r="W2467" i="1"/>
  <c r="V2467" i="1"/>
  <c r="U2467" i="1"/>
  <c r="T2467" i="1"/>
  <c r="S2467" i="1"/>
  <c r="W2466" i="1"/>
  <c r="V2466" i="1"/>
  <c r="U2466" i="1"/>
  <c r="T2466" i="1"/>
  <c r="S2466" i="1"/>
  <c r="W2465" i="1"/>
  <c r="V2465" i="1"/>
  <c r="U2465" i="1"/>
  <c r="T2465" i="1"/>
  <c r="S2465" i="1"/>
  <c r="W2464" i="1"/>
  <c r="V2464" i="1"/>
  <c r="U2464" i="1"/>
  <c r="T2464" i="1"/>
  <c r="S2464" i="1"/>
  <c r="W2463" i="1"/>
  <c r="V2463" i="1"/>
  <c r="U2463" i="1"/>
  <c r="T2463" i="1"/>
  <c r="S2463" i="1"/>
  <c r="W2462" i="1"/>
  <c r="V2462" i="1"/>
  <c r="U2462" i="1"/>
  <c r="T2462" i="1"/>
  <c r="S2462" i="1"/>
  <c r="W2461" i="1"/>
  <c r="V2461" i="1"/>
  <c r="U2461" i="1"/>
  <c r="T2461" i="1"/>
  <c r="S2461" i="1"/>
  <c r="W2460" i="1"/>
  <c r="V2460" i="1"/>
  <c r="U2460" i="1"/>
  <c r="T2460" i="1"/>
  <c r="S2460" i="1"/>
  <c r="W2459" i="1"/>
  <c r="V2459" i="1"/>
  <c r="U2459" i="1"/>
  <c r="T2459" i="1"/>
  <c r="S2459" i="1"/>
  <c r="W2458" i="1"/>
  <c r="V2458" i="1"/>
  <c r="U2458" i="1"/>
  <c r="T2458" i="1"/>
  <c r="S2458" i="1"/>
  <c r="W2457" i="1"/>
  <c r="V2457" i="1"/>
  <c r="U2457" i="1"/>
  <c r="T2457" i="1"/>
  <c r="S2457" i="1"/>
  <c r="W2456" i="1"/>
  <c r="V2456" i="1"/>
  <c r="U2456" i="1"/>
  <c r="T2456" i="1"/>
  <c r="S2456" i="1"/>
  <c r="W2455" i="1"/>
  <c r="V2455" i="1"/>
  <c r="U2455" i="1"/>
  <c r="T2455" i="1"/>
  <c r="S2455" i="1"/>
  <c r="W2454" i="1"/>
  <c r="V2454" i="1"/>
  <c r="U2454" i="1"/>
  <c r="T2454" i="1"/>
  <c r="S2454" i="1"/>
  <c r="W2453" i="1"/>
  <c r="V2453" i="1"/>
  <c r="U2453" i="1"/>
  <c r="T2453" i="1"/>
  <c r="S2453" i="1"/>
  <c r="W2452" i="1"/>
  <c r="V2452" i="1"/>
  <c r="U2452" i="1"/>
  <c r="T2452" i="1"/>
  <c r="S2452" i="1"/>
  <c r="W2451" i="1"/>
  <c r="V2451" i="1"/>
  <c r="U2451" i="1"/>
  <c r="T2451" i="1"/>
  <c r="S2451" i="1"/>
  <c r="W2450" i="1"/>
  <c r="V2450" i="1"/>
  <c r="U2450" i="1"/>
  <c r="T2450" i="1"/>
  <c r="S2450" i="1"/>
  <c r="W2449" i="1"/>
  <c r="V2449" i="1"/>
  <c r="U2449" i="1"/>
  <c r="T2449" i="1"/>
  <c r="S2449" i="1"/>
  <c r="W2448" i="1"/>
  <c r="V2448" i="1"/>
  <c r="U2448" i="1"/>
  <c r="T2448" i="1"/>
  <c r="S2448" i="1"/>
  <c r="W2447" i="1"/>
  <c r="V2447" i="1"/>
  <c r="U2447" i="1"/>
  <c r="T2447" i="1"/>
  <c r="S2447" i="1"/>
  <c r="W2446" i="1"/>
  <c r="V2446" i="1"/>
  <c r="U2446" i="1"/>
  <c r="T2446" i="1"/>
  <c r="S2446" i="1"/>
  <c r="W2445" i="1"/>
  <c r="V2445" i="1"/>
  <c r="U2445" i="1"/>
  <c r="T2445" i="1"/>
  <c r="S2445" i="1"/>
  <c r="W2444" i="1"/>
  <c r="V2444" i="1"/>
  <c r="U2444" i="1"/>
  <c r="T2444" i="1"/>
  <c r="S2444" i="1"/>
  <c r="W2443" i="1"/>
  <c r="V2443" i="1"/>
  <c r="U2443" i="1"/>
  <c r="T2443" i="1"/>
  <c r="S2443" i="1"/>
  <c r="W2442" i="1"/>
  <c r="V2442" i="1"/>
  <c r="U2442" i="1"/>
  <c r="T2442" i="1"/>
  <c r="S2442" i="1"/>
  <c r="W2441" i="1"/>
  <c r="V2441" i="1"/>
  <c r="U2441" i="1"/>
  <c r="T2441" i="1"/>
  <c r="S2441" i="1"/>
  <c r="W2440" i="1"/>
  <c r="V2440" i="1"/>
  <c r="U2440" i="1"/>
  <c r="T2440" i="1"/>
  <c r="S2440" i="1"/>
  <c r="W2439" i="1"/>
  <c r="V2439" i="1"/>
  <c r="U2439" i="1"/>
  <c r="T2439" i="1"/>
  <c r="S2439" i="1"/>
  <c r="W2438" i="1"/>
  <c r="V2438" i="1"/>
  <c r="U2438" i="1"/>
  <c r="T2438" i="1"/>
  <c r="S2438" i="1"/>
  <c r="W2437" i="1"/>
  <c r="V2437" i="1"/>
  <c r="U2437" i="1"/>
  <c r="T2437" i="1"/>
  <c r="S2437" i="1"/>
  <c r="W2436" i="1"/>
  <c r="V2436" i="1"/>
  <c r="U2436" i="1"/>
  <c r="T2436" i="1"/>
  <c r="S2436" i="1"/>
  <c r="W2435" i="1"/>
  <c r="V2435" i="1"/>
  <c r="U2435" i="1"/>
  <c r="T2435" i="1"/>
  <c r="S2435" i="1"/>
  <c r="W2434" i="1"/>
  <c r="V2434" i="1"/>
  <c r="U2434" i="1"/>
  <c r="T2434" i="1"/>
  <c r="S2434" i="1"/>
  <c r="W2433" i="1"/>
  <c r="V2433" i="1"/>
  <c r="U2433" i="1"/>
  <c r="T2433" i="1"/>
  <c r="S2433" i="1"/>
  <c r="W2432" i="1"/>
  <c r="V2432" i="1"/>
  <c r="U2432" i="1"/>
  <c r="T2432" i="1"/>
  <c r="S2432" i="1"/>
  <c r="W2431" i="1"/>
  <c r="V2431" i="1"/>
  <c r="U2431" i="1"/>
  <c r="T2431" i="1"/>
  <c r="S2431" i="1"/>
  <c r="W2430" i="1"/>
  <c r="V2430" i="1"/>
  <c r="U2430" i="1"/>
  <c r="T2430" i="1"/>
  <c r="S2430" i="1"/>
  <c r="W2429" i="1"/>
  <c r="V2429" i="1"/>
  <c r="U2429" i="1"/>
  <c r="T2429" i="1"/>
  <c r="S2429" i="1"/>
  <c r="W2428" i="1"/>
  <c r="V2428" i="1"/>
  <c r="U2428" i="1"/>
  <c r="T2428" i="1"/>
  <c r="S2428" i="1"/>
  <c r="W2427" i="1"/>
  <c r="V2427" i="1"/>
  <c r="U2427" i="1"/>
  <c r="T2427" i="1"/>
  <c r="S2427" i="1"/>
  <c r="W2426" i="1"/>
  <c r="V2426" i="1"/>
  <c r="U2426" i="1"/>
  <c r="T2426" i="1"/>
  <c r="S2426" i="1"/>
  <c r="W2425" i="1"/>
  <c r="V2425" i="1"/>
  <c r="U2425" i="1"/>
  <c r="T2425" i="1"/>
  <c r="S2425" i="1"/>
  <c r="W2424" i="1"/>
  <c r="V2424" i="1"/>
  <c r="U2424" i="1"/>
  <c r="T2424" i="1"/>
  <c r="S2424" i="1"/>
  <c r="W2423" i="1"/>
  <c r="V2423" i="1"/>
  <c r="U2423" i="1"/>
  <c r="T2423" i="1"/>
  <c r="S2423" i="1"/>
  <c r="W2422" i="1"/>
  <c r="V2422" i="1"/>
  <c r="U2422" i="1"/>
  <c r="T2422" i="1"/>
  <c r="S2422" i="1"/>
  <c r="W2421" i="1"/>
  <c r="V2421" i="1"/>
  <c r="U2421" i="1"/>
  <c r="T2421" i="1"/>
  <c r="S2421" i="1"/>
  <c r="W2420" i="1"/>
  <c r="V2420" i="1"/>
  <c r="U2420" i="1"/>
  <c r="T2420" i="1"/>
  <c r="S2420" i="1"/>
  <c r="W2419" i="1"/>
  <c r="V2419" i="1"/>
  <c r="U2419" i="1"/>
  <c r="T2419" i="1"/>
  <c r="S2419" i="1"/>
  <c r="W2418" i="1"/>
  <c r="V2418" i="1"/>
  <c r="U2418" i="1"/>
  <c r="T2418" i="1"/>
  <c r="S2418" i="1"/>
  <c r="W2417" i="1"/>
  <c r="V2417" i="1"/>
  <c r="U2417" i="1"/>
  <c r="T2417" i="1"/>
  <c r="S2417" i="1"/>
  <c r="W2416" i="1"/>
  <c r="V2416" i="1"/>
  <c r="U2416" i="1"/>
  <c r="T2416" i="1"/>
  <c r="S2416" i="1"/>
  <c r="W2415" i="1"/>
  <c r="V2415" i="1"/>
  <c r="U2415" i="1"/>
  <c r="T2415" i="1"/>
  <c r="S2415" i="1"/>
  <c r="W2414" i="1"/>
  <c r="V2414" i="1"/>
  <c r="U2414" i="1"/>
  <c r="T2414" i="1"/>
  <c r="S2414" i="1"/>
  <c r="W2413" i="1"/>
  <c r="V2413" i="1"/>
  <c r="U2413" i="1"/>
  <c r="T2413" i="1"/>
  <c r="S2413" i="1"/>
  <c r="W2412" i="1"/>
  <c r="V2412" i="1"/>
  <c r="U2412" i="1"/>
  <c r="T2412" i="1"/>
  <c r="S2412" i="1"/>
  <c r="W2411" i="1"/>
  <c r="V2411" i="1"/>
  <c r="U2411" i="1"/>
  <c r="T2411" i="1"/>
  <c r="S2411" i="1"/>
  <c r="W2410" i="1"/>
  <c r="V2410" i="1"/>
  <c r="U2410" i="1"/>
  <c r="T2410" i="1"/>
  <c r="S2410" i="1"/>
  <c r="W2409" i="1"/>
  <c r="V2409" i="1"/>
  <c r="U2409" i="1"/>
  <c r="T2409" i="1"/>
  <c r="S2409" i="1"/>
  <c r="W2408" i="1"/>
  <c r="V2408" i="1"/>
  <c r="U2408" i="1"/>
  <c r="T2408" i="1"/>
  <c r="S2408" i="1"/>
  <c r="W2407" i="1"/>
  <c r="V2407" i="1"/>
  <c r="U2407" i="1"/>
  <c r="T2407" i="1"/>
  <c r="S2407" i="1"/>
  <c r="W2406" i="1"/>
  <c r="V2406" i="1"/>
  <c r="U2406" i="1"/>
  <c r="T2406" i="1"/>
  <c r="S2406" i="1"/>
  <c r="W2405" i="1"/>
  <c r="V2405" i="1"/>
  <c r="U2405" i="1"/>
  <c r="T2405" i="1"/>
  <c r="S2405" i="1"/>
  <c r="W2404" i="1"/>
  <c r="V2404" i="1"/>
  <c r="U2404" i="1"/>
  <c r="T2404" i="1"/>
  <c r="S2404" i="1"/>
  <c r="W2403" i="1"/>
  <c r="V2403" i="1"/>
  <c r="U2403" i="1"/>
  <c r="T2403" i="1"/>
  <c r="S2403" i="1"/>
  <c r="W2402" i="1"/>
  <c r="V2402" i="1"/>
  <c r="U2402" i="1"/>
  <c r="T2402" i="1"/>
  <c r="S2402" i="1"/>
  <c r="W2401" i="1"/>
  <c r="V2401" i="1"/>
  <c r="U2401" i="1"/>
  <c r="T2401" i="1"/>
  <c r="S2401" i="1"/>
  <c r="W2400" i="1"/>
  <c r="V2400" i="1"/>
  <c r="U2400" i="1"/>
  <c r="T2400" i="1"/>
  <c r="S2400" i="1"/>
  <c r="W2399" i="1"/>
  <c r="V2399" i="1"/>
  <c r="U2399" i="1"/>
  <c r="T2399" i="1"/>
  <c r="S2399" i="1"/>
  <c r="W2398" i="1"/>
  <c r="V2398" i="1"/>
  <c r="U2398" i="1"/>
  <c r="T2398" i="1"/>
  <c r="S2398" i="1"/>
  <c r="W2397" i="1"/>
  <c r="V2397" i="1"/>
  <c r="U2397" i="1"/>
  <c r="T2397" i="1"/>
  <c r="S2397" i="1"/>
  <c r="W2396" i="1"/>
  <c r="V2396" i="1"/>
  <c r="U2396" i="1"/>
  <c r="T2396" i="1"/>
  <c r="S2396" i="1"/>
  <c r="W2395" i="1"/>
  <c r="V2395" i="1"/>
  <c r="U2395" i="1"/>
  <c r="T2395" i="1"/>
  <c r="S2395" i="1"/>
  <c r="W2394" i="1"/>
  <c r="V2394" i="1"/>
  <c r="U2394" i="1"/>
  <c r="T2394" i="1"/>
  <c r="S2394" i="1"/>
  <c r="W2393" i="1"/>
  <c r="V2393" i="1"/>
  <c r="U2393" i="1"/>
  <c r="T2393" i="1"/>
  <c r="S2393" i="1"/>
  <c r="W2392" i="1"/>
  <c r="V2392" i="1"/>
  <c r="U2392" i="1"/>
  <c r="T2392" i="1"/>
  <c r="S2392" i="1"/>
  <c r="W2391" i="1"/>
  <c r="V2391" i="1"/>
  <c r="U2391" i="1"/>
  <c r="T2391" i="1"/>
  <c r="S2391" i="1"/>
  <c r="W2390" i="1"/>
  <c r="V2390" i="1"/>
  <c r="U2390" i="1"/>
  <c r="T2390" i="1"/>
  <c r="S2390" i="1"/>
  <c r="W2389" i="1"/>
  <c r="V2389" i="1"/>
  <c r="U2389" i="1"/>
  <c r="T2389" i="1"/>
  <c r="S2389" i="1"/>
  <c r="W2388" i="1"/>
  <c r="V2388" i="1"/>
  <c r="U2388" i="1"/>
  <c r="T2388" i="1"/>
  <c r="S2388" i="1"/>
  <c r="W2387" i="1"/>
  <c r="V2387" i="1"/>
  <c r="U2387" i="1"/>
  <c r="T2387" i="1"/>
  <c r="S2387" i="1"/>
  <c r="W2386" i="1"/>
  <c r="V2386" i="1"/>
  <c r="U2386" i="1"/>
  <c r="T2386" i="1"/>
  <c r="S2386" i="1"/>
  <c r="W2385" i="1"/>
  <c r="V2385" i="1"/>
  <c r="U2385" i="1"/>
  <c r="T2385" i="1"/>
  <c r="S2385" i="1"/>
  <c r="W2384" i="1"/>
  <c r="V2384" i="1"/>
  <c r="U2384" i="1"/>
  <c r="T2384" i="1"/>
  <c r="S2384" i="1"/>
  <c r="W2383" i="1"/>
  <c r="V2383" i="1"/>
  <c r="U2383" i="1"/>
  <c r="T2383" i="1"/>
  <c r="S2383" i="1"/>
  <c r="W2382" i="1"/>
  <c r="V2382" i="1"/>
  <c r="U2382" i="1"/>
  <c r="T2382" i="1"/>
  <c r="S2382" i="1"/>
  <c r="W2381" i="1"/>
  <c r="V2381" i="1"/>
  <c r="U2381" i="1"/>
  <c r="T2381" i="1"/>
  <c r="S2381" i="1"/>
  <c r="W2380" i="1"/>
  <c r="V2380" i="1"/>
  <c r="U2380" i="1"/>
  <c r="T2380" i="1"/>
  <c r="S2380" i="1"/>
  <c r="W2379" i="1"/>
  <c r="V2379" i="1"/>
  <c r="U2379" i="1"/>
  <c r="T2379" i="1"/>
  <c r="S2379" i="1"/>
  <c r="W2378" i="1"/>
  <c r="V2378" i="1"/>
  <c r="U2378" i="1"/>
  <c r="T2378" i="1"/>
  <c r="S2378" i="1"/>
  <c r="W2377" i="1"/>
  <c r="V2377" i="1"/>
  <c r="U2377" i="1"/>
  <c r="T2377" i="1"/>
  <c r="S2377" i="1"/>
  <c r="W2376" i="1"/>
  <c r="V2376" i="1"/>
  <c r="U2376" i="1"/>
  <c r="T2376" i="1"/>
  <c r="S2376" i="1"/>
  <c r="W2375" i="1"/>
  <c r="V2375" i="1"/>
  <c r="U2375" i="1"/>
  <c r="T2375" i="1"/>
  <c r="S2375" i="1"/>
  <c r="W2374" i="1"/>
  <c r="V2374" i="1"/>
  <c r="U2374" i="1"/>
  <c r="T2374" i="1"/>
  <c r="S2374" i="1"/>
  <c r="W2373" i="1"/>
  <c r="V2373" i="1"/>
  <c r="U2373" i="1"/>
  <c r="T2373" i="1"/>
  <c r="S2373" i="1"/>
  <c r="W2372" i="1"/>
  <c r="V2372" i="1"/>
  <c r="U2372" i="1"/>
  <c r="T2372" i="1"/>
  <c r="S2372" i="1"/>
  <c r="W2371" i="1"/>
  <c r="V2371" i="1"/>
  <c r="U2371" i="1"/>
  <c r="T2371" i="1"/>
  <c r="S2371" i="1"/>
  <c r="W2370" i="1"/>
  <c r="V2370" i="1"/>
  <c r="U2370" i="1"/>
  <c r="T2370" i="1"/>
  <c r="S2370" i="1"/>
  <c r="W2369" i="1"/>
  <c r="V2369" i="1"/>
  <c r="U2369" i="1"/>
  <c r="T2369" i="1"/>
  <c r="S2369" i="1"/>
  <c r="W2368" i="1"/>
  <c r="V2368" i="1"/>
  <c r="U2368" i="1"/>
  <c r="T2368" i="1"/>
  <c r="S2368" i="1"/>
  <c r="W2367" i="1"/>
  <c r="V2367" i="1"/>
  <c r="U2367" i="1"/>
  <c r="T2367" i="1"/>
  <c r="S2367" i="1"/>
  <c r="W2366" i="1"/>
  <c r="V2366" i="1"/>
  <c r="U2366" i="1"/>
  <c r="T2366" i="1"/>
  <c r="S2366" i="1"/>
  <c r="W2365" i="1"/>
  <c r="V2365" i="1"/>
  <c r="U2365" i="1"/>
  <c r="T2365" i="1"/>
  <c r="S2365" i="1"/>
  <c r="W2364" i="1"/>
  <c r="V2364" i="1"/>
  <c r="U2364" i="1"/>
  <c r="T2364" i="1"/>
  <c r="S2364" i="1"/>
  <c r="W2363" i="1"/>
  <c r="V2363" i="1"/>
  <c r="U2363" i="1"/>
  <c r="T2363" i="1"/>
  <c r="S2363" i="1"/>
  <c r="W2362" i="1"/>
  <c r="V2362" i="1"/>
  <c r="U2362" i="1"/>
  <c r="T2362" i="1"/>
  <c r="S2362" i="1"/>
  <c r="W2361" i="1"/>
  <c r="V2361" i="1"/>
  <c r="U2361" i="1"/>
  <c r="T2361" i="1"/>
  <c r="S2361" i="1"/>
  <c r="W2360" i="1"/>
  <c r="V2360" i="1"/>
  <c r="U2360" i="1"/>
  <c r="T2360" i="1"/>
  <c r="S2360" i="1"/>
  <c r="W2359" i="1"/>
  <c r="V2359" i="1"/>
  <c r="U2359" i="1"/>
  <c r="T2359" i="1"/>
  <c r="S2359" i="1"/>
  <c r="W2358" i="1"/>
  <c r="V2358" i="1"/>
  <c r="U2358" i="1"/>
  <c r="T2358" i="1"/>
  <c r="S2358" i="1"/>
  <c r="W2357" i="1"/>
  <c r="V2357" i="1"/>
  <c r="U2357" i="1"/>
  <c r="T2357" i="1"/>
  <c r="S2357" i="1"/>
  <c r="W2356" i="1"/>
  <c r="V2356" i="1"/>
  <c r="U2356" i="1"/>
  <c r="T2356" i="1"/>
  <c r="S2356" i="1"/>
  <c r="W2355" i="1"/>
  <c r="V2355" i="1"/>
  <c r="U2355" i="1"/>
  <c r="T2355" i="1"/>
  <c r="S2355" i="1"/>
  <c r="W2354" i="1"/>
  <c r="V2354" i="1"/>
  <c r="U2354" i="1"/>
  <c r="T2354" i="1"/>
  <c r="S2354" i="1"/>
  <c r="W2353" i="1"/>
  <c r="V2353" i="1"/>
  <c r="U2353" i="1"/>
  <c r="T2353" i="1"/>
  <c r="S2353" i="1"/>
  <c r="W2352" i="1"/>
  <c r="V2352" i="1"/>
  <c r="U2352" i="1"/>
  <c r="T2352" i="1"/>
  <c r="S2352" i="1"/>
  <c r="W2351" i="1"/>
  <c r="V2351" i="1"/>
  <c r="U2351" i="1"/>
  <c r="T2351" i="1"/>
  <c r="S2351" i="1"/>
  <c r="W2350" i="1"/>
  <c r="V2350" i="1"/>
  <c r="U2350" i="1"/>
  <c r="T2350" i="1"/>
  <c r="S2350" i="1"/>
  <c r="W2349" i="1"/>
  <c r="V2349" i="1"/>
  <c r="U2349" i="1"/>
  <c r="T2349" i="1"/>
  <c r="S2349" i="1"/>
  <c r="W2348" i="1"/>
  <c r="V2348" i="1"/>
  <c r="U2348" i="1"/>
  <c r="T2348" i="1"/>
  <c r="S2348" i="1"/>
  <c r="W2347" i="1"/>
  <c r="V2347" i="1"/>
  <c r="U2347" i="1"/>
  <c r="T2347" i="1"/>
  <c r="S2347" i="1"/>
  <c r="W2346" i="1"/>
  <c r="V2346" i="1"/>
  <c r="U2346" i="1"/>
  <c r="T2346" i="1"/>
  <c r="S2346" i="1"/>
  <c r="W2345" i="1"/>
  <c r="V2345" i="1"/>
  <c r="U2345" i="1"/>
  <c r="T2345" i="1"/>
  <c r="S2345" i="1"/>
  <c r="W2344" i="1"/>
  <c r="V2344" i="1"/>
  <c r="U2344" i="1"/>
  <c r="T2344" i="1"/>
  <c r="S2344" i="1"/>
  <c r="W2343" i="1"/>
  <c r="V2343" i="1"/>
  <c r="U2343" i="1"/>
  <c r="T2343" i="1"/>
  <c r="S2343" i="1"/>
  <c r="W2342" i="1"/>
  <c r="V2342" i="1"/>
  <c r="U2342" i="1"/>
  <c r="T2342" i="1"/>
  <c r="S2342" i="1"/>
  <c r="W2341" i="1"/>
  <c r="V2341" i="1"/>
  <c r="U2341" i="1"/>
  <c r="T2341" i="1"/>
  <c r="S2341" i="1"/>
  <c r="W2340" i="1"/>
  <c r="V2340" i="1"/>
  <c r="U2340" i="1"/>
  <c r="T2340" i="1"/>
  <c r="S2340" i="1"/>
  <c r="W2339" i="1"/>
  <c r="V2339" i="1"/>
  <c r="U2339" i="1"/>
  <c r="T2339" i="1"/>
  <c r="S2339" i="1"/>
  <c r="W2338" i="1"/>
  <c r="V2338" i="1"/>
  <c r="U2338" i="1"/>
  <c r="T2338" i="1"/>
  <c r="S2338" i="1"/>
  <c r="W2337" i="1"/>
  <c r="V2337" i="1"/>
  <c r="U2337" i="1"/>
  <c r="T2337" i="1"/>
  <c r="S2337" i="1"/>
  <c r="W2336" i="1"/>
  <c r="V2336" i="1"/>
  <c r="U2336" i="1"/>
  <c r="T2336" i="1"/>
  <c r="S2336" i="1"/>
  <c r="W2335" i="1"/>
  <c r="V2335" i="1"/>
  <c r="U2335" i="1"/>
  <c r="T2335" i="1"/>
  <c r="S2335" i="1"/>
  <c r="W2334" i="1"/>
  <c r="V2334" i="1"/>
  <c r="U2334" i="1"/>
  <c r="T2334" i="1"/>
  <c r="S2334" i="1"/>
  <c r="W2333" i="1"/>
  <c r="V2333" i="1"/>
  <c r="U2333" i="1"/>
  <c r="T2333" i="1"/>
  <c r="S2333" i="1"/>
  <c r="W2332" i="1"/>
  <c r="V2332" i="1"/>
  <c r="U2332" i="1"/>
  <c r="T2332" i="1"/>
  <c r="S2332" i="1"/>
  <c r="W2331" i="1"/>
  <c r="V2331" i="1"/>
  <c r="U2331" i="1"/>
  <c r="T2331" i="1"/>
  <c r="S2331" i="1"/>
  <c r="W2330" i="1"/>
  <c r="V2330" i="1"/>
  <c r="U2330" i="1"/>
  <c r="T2330" i="1"/>
  <c r="S2330" i="1"/>
  <c r="W2329" i="1"/>
  <c r="V2329" i="1"/>
  <c r="U2329" i="1"/>
  <c r="T2329" i="1"/>
  <c r="S2329" i="1"/>
  <c r="W2328" i="1"/>
  <c r="V2328" i="1"/>
  <c r="U2328" i="1"/>
  <c r="T2328" i="1"/>
  <c r="S2328" i="1"/>
  <c r="W2327" i="1"/>
  <c r="V2327" i="1"/>
  <c r="U2327" i="1"/>
  <c r="T2327" i="1"/>
  <c r="S2327" i="1"/>
  <c r="W2326" i="1"/>
  <c r="V2326" i="1"/>
  <c r="U2326" i="1"/>
  <c r="T2326" i="1"/>
  <c r="S2326" i="1"/>
  <c r="W2325" i="1"/>
  <c r="V2325" i="1"/>
  <c r="U2325" i="1"/>
  <c r="T2325" i="1"/>
  <c r="S2325" i="1"/>
  <c r="W2324" i="1"/>
  <c r="V2324" i="1"/>
  <c r="U2324" i="1"/>
  <c r="T2324" i="1"/>
  <c r="S2324" i="1"/>
  <c r="W2323" i="1"/>
  <c r="V2323" i="1"/>
  <c r="U2323" i="1"/>
  <c r="T2323" i="1"/>
  <c r="S2323" i="1"/>
  <c r="W2322" i="1"/>
  <c r="V2322" i="1"/>
  <c r="U2322" i="1"/>
  <c r="T2322" i="1"/>
  <c r="S2322" i="1"/>
  <c r="W2321" i="1"/>
  <c r="V2321" i="1"/>
  <c r="U2321" i="1"/>
  <c r="T2321" i="1"/>
  <c r="S2321" i="1"/>
  <c r="W2320" i="1"/>
  <c r="V2320" i="1"/>
  <c r="U2320" i="1"/>
  <c r="T2320" i="1"/>
  <c r="S2320" i="1"/>
  <c r="W2319" i="1"/>
  <c r="V2319" i="1"/>
  <c r="U2319" i="1"/>
  <c r="T2319" i="1"/>
  <c r="S2319" i="1"/>
  <c r="W2318" i="1"/>
  <c r="V2318" i="1"/>
  <c r="U2318" i="1"/>
  <c r="T2318" i="1"/>
  <c r="S2318" i="1"/>
  <c r="W2317" i="1"/>
  <c r="V2317" i="1"/>
  <c r="U2317" i="1"/>
  <c r="T2317" i="1"/>
  <c r="S2317" i="1"/>
  <c r="W2316" i="1"/>
  <c r="V2316" i="1"/>
  <c r="U2316" i="1"/>
  <c r="T2316" i="1"/>
  <c r="S2316" i="1"/>
  <c r="W2315" i="1"/>
  <c r="V2315" i="1"/>
  <c r="U2315" i="1"/>
  <c r="T2315" i="1"/>
  <c r="S2315" i="1"/>
  <c r="W2314" i="1"/>
  <c r="V2314" i="1"/>
  <c r="U2314" i="1"/>
  <c r="T2314" i="1"/>
  <c r="S2314" i="1"/>
  <c r="W2313" i="1"/>
  <c r="V2313" i="1"/>
  <c r="U2313" i="1"/>
  <c r="T2313" i="1"/>
  <c r="S2313" i="1"/>
  <c r="W2312" i="1"/>
  <c r="V2312" i="1"/>
  <c r="U2312" i="1"/>
  <c r="T2312" i="1"/>
  <c r="S2312" i="1"/>
  <c r="W2311" i="1"/>
  <c r="V2311" i="1"/>
  <c r="U2311" i="1"/>
  <c r="T2311" i="1"/>
  <c r="S2311" i="1"/>
  <c r="W2310" i="1"/>
  <c r="V2310" i="1"/>
  <c r="U2310" i="1"/>
  <c r="T2310" i="1"/>
  <c r="S2310" i="1"/>
  <c r="W2309" i="1"/>
  <c r="V2309" i="1"/>
  <c r="U2309" i="1"/>
  <c r="T2309" i="1"/>
  <c r="S2309" i="1"/>
  <c r="W2308" i="1"/>
  <c r="V2308" i="1"/>
  <c r="U2308" i="1"/>
  <c r="T2308" i="1"/>
  <c r="S2308" i="1"/>
  <c r="W2307" i="1"/>
  <c r="V2307" i="1"/>
  <c r="U2307" i="1"/>
  <c r="T2307" i="1"/>
  <c r="S2307" i="1"/>
  <c r="W2306" i="1"/>
  <c r="V2306" i="1"/>
  <c r="U2306" i="1"/>
  <c r="T2306" i="1"/>
  <c r="S2306" i="1"/>
  <c r="W2305" i="1"/>
  <c r="V2305" i="1"/>
  <c r="U2305" i="1"/>
  <c r="T2305" i="1"/>
  <c r="S2305" i="1"/>
  <c r="W2304" i="1"/>
  <c r="V2304" i="1"/>
  <c r="U2304" i="1"/>
  <c r="T2304" i="1"/>
  <c r="S2304" i="1"/>
  <c r="W2303" i="1"/>
  <c r="V2303" i="1"/>
  <c r="U2303" i="1"/>
  <c r="T2303" i="1"/>
  <c r="S2303" i="1"/>
  <c r="W2302" i="1"/>
  <c r="V2302" i="1"/>
  <c r="U2302" i="1"/>
  <c r="T2302" i="1"/>
  <c r="S2302" i="1"/>
  <c r="W2301" i="1"/>
  <c r="V2301" i="1"/>
  <c r="U2301" i="1"/>
  <c r="T2301" i="1"/>
  <c r="S2301" i="1"/>
  <c r="W2300" i="1"/>
  <c r="V2300" i="1"/>
  <c r="U2300" i="1"/>
  <c r="T2300" i="1"/>
  <c r="S2300" i="1"/>
  <c r="W2299" i="1"/>
  <c r="V2299" i="1"/>
  <c r="U2299" i="1"/>
  <c r="T2299" i="1"/>
  <c r="S2299" i="1"/>
  <c r="W2298" i="1"/>
  <c r="V2298" i="1"/>
  <c r="U2298" i="1"/>
  <c r="T2298" i="1"/>
  <c r="S2298" i="1"/>
  <c r="W2297" i="1"/>
  <c r="V2297" i="1"/>
  <c r="U2297" i="1"/>
  <c r="T2297" i="1"/>
  <c r="S2297" i="1"/>
  <c r="W2296" i="1"/>
  <c r="V2296" i="1"/>
  <c r="U2296" i="1"/>
  <c r="T2296" i="1"/>
  <c r="S2296" i="1"/>
  <c r="W2295" i="1"/>
  <c r="V2295" i="1"/>
  <c r="U2295" i="1"/>
  <c r="T2295" i="1"/>
  <c r="S2295" i="1"/>
  <c r="W2294" i="1"/>
  <c r="V2294" i="1"/>
  <c r="U2294" i="1"/>
  <c r="T2294" i="1"/>
  <c r="S2294" i="1"/>
  <c r="W2293" i="1"/>
  <c r="V2293" i="1"/>
  <c r="U2293" i="1"/>
  <c r="T2293" i="1"/>
  <c r="S2293" i="1"/>
  <c r="W2292" i="1"/>
  <c r="V2292" i="1"/>
  <c r="U2292" i="1"/>
  <c r="T2292" i="1"/>
  <c r="S2292" i="1"/>
  <c r="W2291" i="1"/>
  <c r="V2291" i="1"/>
  <c r="U2291" i="1"/>
  <c r="T2291" i="1"/>
  <c r="S2291" i="1"/>
  <c r="W2290" i="1"/>
  <c r="V2290" i="1"/>
  <c r="U2290" i="1"/>
  <c r="T2290" i="1"/>
  <c r="S2290" i="1"/>
  <c r="W2289" i="1"/>
  <c r="V2289" i="1"/>
  <c r="U2289" i="1"/>
  <c r="T2289" i="1"/>
  <c r="S2289" i="1"/>
  <c r="W2288" i="1"/>
  <c r="V2288" i="1"/>
  <c r="U2288" i="1"/>
  <c r="T2288" i="1"/>
  <c r="S2288" i="1"/>
  <c r="W2287" i="1"/>
  <c r="V2287" i="1"/>
  <c r="U2287" i="1"/>
  <c r="T2287" i="1"/>
  <c r="S2287" i="1"/>
  <c r="W2286" i="1"/>
  <c r="V2286" i="1"/>
  <c r="U2286" i="1"/>
  <c r="T2286" i="1"/>
  <c r="S2286" i="1"/>
  <c r="W2285" i="1"/>
  <c r="V2285" i="1"/>
  <c r="U2285" i="1"/>
  <c r="T2285" i="1"/>
  <c r="S2285" i="1"/>
  <c r="W2284" i="1"/>
  <c r="V2284" i="1"/>
  <c r="U2284" i="1"/>
  <c r="T2284" i="1"/>
  <c r="S2284" i="1"/>
  <c r="W2283" i="1"/>
  <c r="V2283" i="1"/>
  <c r="U2283" i="1"/>
  <c r="T2283" i="1"/>
  <c r="S2283" i="1"/>
  <c r="W2282" i="1"/>
  <c r="V2282" i="1"/>
  <c r="U2282" i="1"/>
  <c r="T2282" i="1"/>
  <c r="S2282" i="1"/>
  <c r="W2281" i="1"/>
  <c r="V2281" i="1"/>
  <c r="U2281" i="1"/>
  <c r="T2281" i="1"/>
  <c r="S2281" i="1"/>
  <c r="W2280" i="1"/>
  <c r="V2280" i="1"/>
  <c r="U2280" i="1"/>
  <c r="T2280" i="1"/>
  <c r="S2280" i="1"/>
  <c r="W2279" i="1"/>
  <c r="V2279" i="1"/>
  <c r="U2279" i="1"/>
  <c r="T2279" i="1"/>
  <c r="S2279" i="1"/>
  <c r="W2278" i="1"/>
  <c r="V2278" i="1"/>
  <c r="U2278" i="1"/>
  <c r="T2278" i="1"/>
  <c r="S2278" i="1"/>
  <c r="W2277" i="1"/>
  <c r="V2277" i="1"/>
  <c r="U2277" i="1"/>
  <c r="T2277" i="1"/>
  <c r="S2277" i="1"/>
  <c r="W2276" i="1"/>
  <c r="V2276" i="1"/>
  <c r="U2276" i="1"/>
  <c r="T2276" i="1"/>
  <c r="S2276" i="1"/>
  <c r="W2275" i="1"/>
  <c r="V2275" i="1"/>
  <c r="U2275" i="1"/>
  <c r="T2275" i="1"/>
  <c r="S2275" i="1"/>
  <c r="W2274" i="1"/>
  <c r="V2274" i="1"/>
  <c r="U2274" i="1"/>
  <c r="T2274" i="1"/>
  <c r="S2274" i="1"/>
  <c r="W2273" i="1"/>
  <c r="V2273" i="1"/>
  <c r="U2273" i="1"/>
  <c r="T2273" i="1"/>
  <c r="S2273" i="1"/>
  <c r="W2272" i="1"/>
  <c r="V2272" i="1"/>
  <c r="U2272" i="1"/>
  <c r="T2272" i="1"/>
  <c r="S2272" i="1"/>
  <c r="W2271" i="1"/>
  <c r="V2271" i="1"/>
  <c r="U2271" i="1"/>
  <c r="T2271" i="1"/>
  <c r="S2271" i="1"/>
  <c r="W2270" i="1"/>
  <c r="V2270" i="1"/>
  <c r="U2270" i="1"/>
  <c r="T2270" i="1"/>
  <c r="S2270" i="1"/>
  <c r="W2269" i="1"/>
  <c r="V2269" i="1"/>
  <c r="U2269" i="1"/>
  <c r="T2269" i="1"/>
  <c r="S2269" i="1"/>
  <c r="W2268" i="1"/>
  <c r="V2268" i="1"/>
  <c r="U2268" i="1"/>
  <c r="T2268" i="1"/>
  <c r="S2268" i="1"/>
  <c r="W2267" i="1"/>
  <c r="V2267" i="1"/>
  <c r="U2267" i="1"/>
  <c r="T2267" i="1"/>
  <c r="S2267" i="1"/>
  <c r="W2266" i="1"/>
  <c r="V2266" i="1"/>
  <c r="U2266" i="1"/>
  <c r="T2266" i="1"/>
  <c r="S2266" i="1"/>
  <c r="W2265" i="1"/>
  <c r="V2265" i="1"/>
  <c r="U2265" i="1"/>
  <c r="T2265" i="1"/>
  <c r="S2265" i="1"/>
  <c r="W2264" i="1"/>
  <c r="V2264" i="1"/>
  <c r="U2264" i="1"/>
  <c r="T2264" i="1"/>
  <c r="S2264" i="1"/>
  <c r="W2263" i="1"/>
  <c r="V2263" i="1"/>
  <c r="U2263" i="1"/>
  <c r="T2263" i="1"/>
  <c r="S2263" i="1"/>
  <c r="W2262" i="1"/>
  <c r="V2262" i="1"/>
  <c r="U2262" i="1"/>
  <c r="T2262" i="1"/>
  <c r="S2262" i="1"/>
  <c r="W2261" i="1"/>
  <c r="V2261" i="1"/>
  <c r="U2261" i="1"/>
  <c r="T2261" i="1"/>
  <c r="S2261" i="1"/>
  <c r="W2260" i="1"/>
  <c r="V2260" i="1"/>
  <c r="U2260" i="1"/>
  <c r="T2260" i="1"/>
  <c r="S2260" i="1"/>
  <c r="W2259" i="1"/>
  <c r="V2259" i="1"/>
  <c r="U2259" i="1"/>
  <c r="T2259" i="1"/>
  <c r="S2259" i="1"/>
  <c r="W2258" i="1"/>
  <c r="V2258" i="1"/>
  <c r="U2258" i="1"/>
  <c r="T2258" i="1"/>
  <c r="S2258" i="1"/>
  <c r="W2257" i="1"/>
  <c r="V2257" i="1"/>
  <c r="U2257" i="1"/>
  <c r="T2257" i="1"/>
  <c r="S2257" i="1"/>
  <c r="W2256" i="1"/>
  <c r="V2256" i="1"/>
  <c r="U2256" i="1"/>
  <c r="T2256" i="1"/>
  <c r="S2256" i="1"/>
  <c r="W2255" i="1"/>
  <c r="V2255" i="1"/>
  <c r="U2255" i="1"/>
  <c r="T2255" i="1"/>
  <c r="S2255" i="1"/>
  <c r="W2254" i="1"/>
  <c r="V2254" i="1"/>
  <c r="U2254" i="1"/>
  <c r="T2254" i="1"/>
  <c r="S2254" i="1"/>
  <c r="W2253" i="1"/>
  <c r="V2253" i="1"/>
  <c r="U2253" i="1"/>
  <c r="T2253" i="1"/>
  <c r="S2253" i="1"/>
  <c r="W2252" i="1"/>
  <c r="V2252" i="1"/>
  <c r="U2252" i="1"/>
  <c r="T2252" i="1"/>
  <c r="S2252" i="1"/>
  <c r="W2251" i="1"/>
  <c r="V2251" i="1"/>
  <c r="U2251" i="1"/>
  <c r="T2251" i="1"/>
  <c r="S2251" i="1"/>
  <c r="W2250" i="1"/>
  <c r="V2250" i="1"/>
  <c r="U2250" i="1"/>
  <c r="T2250" i="1"/>
  <c r="S2250" i="1"/>
  <c r="W2249" i="1"/>
  <c r="V2249" i="1"/>
  <c r="U2249" i="1"/>
  <c r="T2249" i="1"/>
  <c r="S2249" i="1"/>
  <c r="W2248" i="1"/>
  <c r="V2248" i="1"/>
  <c r="U2248" i="1"/>
  <c r="T2248" i="1"/>
  <c r="S2248" i="1"/>
  <c r="W2247" i="1"/>
  <c r="V2247" i="1"/>
  <c r="U2247" i="1"/>
  <c r="T2247" i="1"/>
  <c r="S2247" i="1"/>
  <c r="W2246" i="1"/>
  <c r="V2246" i="1"/>
  <c r="U2246" i="1"/>
  <c r="T2246" i="1"/>
  <c r="S2246" i="1"/>
  <c r="W2245" i="1"/>
  <c r="V2245" i="1"/>
  <c r="U2245" i="1"/>
  <c r="T2245" i="1"/>
  <c r="S2245" i="1"/>
  <c r="W2244" i="1"/>
  <c r="V2244" i="1"/>
  <c r="U2244" i="1"/>
  <c r="T2244" i="1"/>
  <c r="S2244" i="1"/>
  <c r="W2243" i="1"/>
  <c r="V2243" i="1"/>
  <c r="U2243" i="1"/>
  <c r="T2243" i="1"/>
  <c r="S2243" i="1"/>
  <c r="W2242" i="1"/>
  <c r="V2242" i="1"/>
  <c r="U2242" i="1"/>
  <c r="T2242" i="1"/>
  <c r="S2242" i="1"/>
  <c r="W2241" i="1"/>
  <c r="V2241" i="1"/>
  <c r="U2241" i="1"/>
  <c r="T2241" i="1"/>
  <c r="S2241" i="1"/>
  <c r="W2240" i="1"/>
  <c r="V2240" i="1"/>
  <c r="U2240" i="1"/>
  <c r="T2240" i="1"/>
  <c r="S2240" i="1"/>
  <c r="W2239" i="1"/>
  <c r="V2239" i="1"/>
  <c r="U2239" i="1"/>
  <c r="T2239" i="1"/>
  <c r="S2239" i="1"/>
  <c r="W2238" i="1"/>
  <c r="V2238" i="1"/>
  <c r="U2238" i="1"/>
  <c r="T2238" i="1"/>
  <c r="S2238" i="1"/>
  <c r="W2237" i="1"/>
  <c r="V2237" i="1"/>
  <c r="U2237" i="1"/>
  <c r="T2237" i="1"/>
  <c r="S2237" i="1"/>
  <c r="W2236" i="1"/>
  <c r="V2236" i="1"/>
  <c r="U2236" i="1"/>
  <c r="T2236" i="1"/>
  <c r="S2236" i="1"/>
  <c r="W2235" i="1"/>
  <c r="V2235" i="1"/>
  <c r="U2235" i="1"/>
  <c r="T2235" i="1"/>
  <c r="S2235" i="1"/>
  <c r="W2234" i="1"/>
  <c r="V2234" i="1"/>
  <c r="U2234" i="1"/>
  <c r="T2234" i="1"/>
  <c r="S2234" i="1"/>
  <c r="W2233" i="1"/>
  <c r="V2233" i="1"/>
  <c r="U2233" i="1"/>
  <c r="T2233" i="1"/>
  <c r="S2233" i="1"/>
  <c r="W2232" i="1"/>
  <c r="V2232" i="1"/>
  <c r="U2232" i="1"/>
  <c r="T2232" i="1"/>
  <c r="S2232" i="1"/>
  <c r="W2231" i="1"/>
  <c r="V2231" i="1"/>
  <c r="U2231" i="1"/>
  <c r="T2231" i="1"/>
  <c r="S2231" i="1"/>
  <c r="W2230" i="1"/>
  <c r="V2230" i="1"/>
  <c r="U2230" i="1"/>
  <c r="T2230" i="1"/>
  <c r="S2230" i="1"/>
  <c r="W2229" i="1"/>
  <c r="V2229" i="1"/>
  <c r="U2229" i="1"/>
  <c r="T2229" i="1"/>
  <c r="S2229" i="1"/>
  <c r="W2228" i="1"/>
  <c r="V2228" i="1"/>
  <c r="U2228" i="1"/>
  <c r="T2228" i="1"/>
  <c r="S2228" i="1"/>
  <c r="W2227" i="1"/>
  <c r="V2227" i="1"/>
  <c r="U2227" i="1"/>
  <c r="T2227" i="1"/>
  <c r="S2227" i="1"/>
  <c r="W2226" i="1"/>
  <c r="V2226" i="1"/>
  <c r="U2226" i="1"/>
  <c r="T2226" i="1"/>
  <c r="S2226" i="1"/>
  <c r="W2225" i="1"/>
  <c r="V2225" i="1"/>
  <c r="U2225" i="1"/>
  <c r="T2225" i="1"/>
  <c r="S2225" i="1"/>
  <c r="W2224" i="1"/>
  <c r="V2224" i="1"/>
  <c r="U2224" i="1"/>
  <c r="T2224" i="1"/>
  <c r="S2224" i="1"/>
  <c r="W2223" i="1"/>
  <c r="V2223" i="1"/>
  <c r="U2223" i="1"/>
  <c r="T2223" i="1"/>
  <c r="S2223" i="1"/>
  <c r="W2222" i="1"/>
  <c r="V2222" i="1"/>
  <c r="U2222" i="1"/>
  <c r="T2222" i="1"/>
  <c r="S2222" i="1"/>
  <c r="W2221" i="1"/>
  <c r="V2221" i="1"/>
  <c r="U2221" i="1"/>
  <c r="T2221" i="1"/>
  <c r="S2221" i="1"/>
  <c r="W2220" i="1"/>
  <c r="V2220" i="1"/>
  <c r="U2220" i="1"/>
  <c r="T2220" i="1"/>
  <c r="S2220" i="1"/>
  <c r="W2219" i="1"/>
  <c r="V2219" i="1"/>
  <c r="U2219" i="1"/>
  <c r="T2219" i="1"/>
  <c r="S2219" i="1"/>
  <c r="W2218" i="1"/>
  <c r="V2218" i="1"/>
  <c r="U2218" i="1"/>
  <c r="T2218" i="1"/>
  <c r="S2218" i="1"/>
  <c r="W2217" i="1"/>
  <c r="V2217" i="1"/>
  <c r="U2217" i="1"/>
  <c r="T2217" i="1"/>
  <c r="S2217" i="1"/>
  <c r="W2216" i="1"/>
  <c r="V2216" i="1"/>
  <c r="U2216" i="1"/>
  <c r="T2216" i="1"/>
  <c r="S2216" i="1"/>
  <c r="W2215" i="1"/>
  <c r="V2215" i="1"/>
  <c r="U2215" i="1"/>
  <c r="T2215" i="1"/>
  <c r="S2215" i="1"/>
  <c r="W2214" i="1"/>
  <c r="V2214" i="1"/>
  <c r="U2214" i="1"/>
  <c r="T2214" i="1"/>
  <c r="S2214" i="1"/>
  <c r="W2213" i="1"/>
  <c r="V2213" i="1"/>
  <c r="U2213" i="1"/>
  <c r="T2213" i="1"/>
  <c r="S2213" i="1"/>
  <c r="W2212" i="1"/>
  <c r="V2212" i="1"/>
  <c r="U2212" i="1"/>
  <c r="T2212" i="1"/>
  <c r="S2212" i="1"/>
  <c r="W2211" i="1"/>
  <c r="V2211" i="1"/>
  <c r="U2211" i="1"/>
  <c r="T2211" i="1"/>
  <c r="S2211" i="1"/>
  <c r="W2210" i="1"/>
  <c r="V2210" i="1"/>
  <c r="U2210" i="1"/>
  <c r="T2210" i="1"/>
  <c r="S2210" i="1"/>
  <c r="W2209" i="1"/>
  <c r="V2209" i="1"/>
  <c r="U2209" i="1"/>
  <c r="T2209" i="1"/>
  <c r="S2209" i="1"/>
  <c r="W2208" i="1"/>
  <c r="V2208" i="1"/>
  <c r="U2208" i="1"/>
  <c r="T2208" i="1"/>
  <c r="S2208" i="1"/>
  <c r="W2207" i="1"/>
  <c r="V2207" i="1"/>
  <c r="U2207" i="1"/>
  <c r="T2207" i="1"/>
  <c r="S2207" i="1"/>
  <c r="W2206" i="1"/>
  <c r="V2206" i="1"/>
  <c r="U2206" i="1"/>
  <c r="T2206" i="1"/>
  <c r="S2206" i="1"/>
  <c r="W2205" i="1"/>
  <c r="V2205" i="1"/>
  <c r="U2205" i="1"/>
  <c r="T2205" i="1"/>
  <c r="S2205" i="1"/>
  <c r="W2204" i="1"/>
  <c r="V2204" i="1"/>
  <c r="U2204" i="1"/>
  <c r="T2204" i="1"/>
  <c r="S2204" i="1"/>
  <c r="W2203" i="1"/>
  <c r="V2203" i="1"/>
  <c r="U2203" i="1"/>
  <c r="T2203" i="1"/>
  <c r="S2203" i="1"/>
  <c r="W2202" i="1"/>
  <c r="V2202" i="1"/>
  <c r="U2202" i="1"/>
  <c r="T2202" i="1"/>
  <c r="S2202" i="1"/>
  <c r="W2201" i="1"/>
  <c r="V2201" i="1"/>
  <c r="U2201" i="1"/>
  <c r="T2201" i="1"/>
  <c r="S2201" i="1"/>
  <c r="W2200" i="1"/>
  <c r="V2200" i="1"/>
  <c r="U2200" i="1"/>
  <c r="T2200" i="1"/>
  <c r="S2200" i="1"/>
  <c r="W2199" i="1"/>
  <c r="V2199" i="1"/>
  <c r="U2199" i="1"/>
  <c r="T2199" i="1"/>
  <c r="S2199" i="1"/>
  <c r="W2198" i="1"/>
  <c r="V2198" i="1"/>
  <c r="U2198" i="1"/>
  <c r="T2198" i="1"/>
  <c r="S2198" i="1"/>
  <c r="W2197" i="1"/>
  <c r="V2197" i="1"/>
  <c r="U2197" i="1"/>
  <c r="T2197" i="1"/>
  <c r="S2197" i="1"/>
  <c r="W2196" i="1"/>
  <c r="V2196" i="1"/>
  <c r="U2196" i="1"/>
  <c r="T2196" i="1"/>
  <c r="S2196" i="1"/>
  <c r="W2195" i="1"/>
  <c r="V2195" i="1"/>
  <c r="U2195" i="1"/>
  <c r="T2195" i="1"/>
  <c r="S2195" i="1"/>
  <c r="W2194" i="1"/>
  <c r="V2194" i="1"/>
  <c r="U2194" i="1"/>
  <c r="T2194" i="1"/>
  <c r="S2194" i="1"/>
  <c r="W2193" i="1"/>
  <c r="V2193" i="1"/>
  <c r="U2193" i="1"/>
  <c r="T2193" i="1"/>
  <c r="S2193" i="1"/>
  <c r="W2192" i="1"/>
  <c r="V2192" i="1"/>
  <c r="U2192" i="1"/>
  <c r="T2192" i="1"/>
  <c r="S2192" i="1"/>
  <c r="W2191" i="1"/>
  <c r="V2191" i="1"/>
  <c r="U2191" i="1"/>
  <c r="T2191" i="1"/>
  <c r="S2191" i="1"/>
  <c r="W2190" i="1"/>
  <c r="V2190" i="1"/>
  <c r="U2190" i="1"/>
  <c r="T2190" i="1"/>
  <c r="S2190" i="1"/>
  <c r="W2189" i="1"/>
  <c r="V2189" i="1"/>
  <c r="U2189" i="1"/>
  <c r="T2189" i="1"/>
  <c r="S2189" i="1"/>
  <c r="W2188" i="1"/>
  <c r="V2188" i="1"/>
  <c r="U2188" i="1"/>
  <c r="T2188" i="1"/>
  <c r="S2188" i="1"/>
  <c r="W2187" i="1"/>
  <c r="V2187" i="1"/>
  <c r="U2187" i="1"/>
  <c r="T2187" i="1"/>
  <c r="S2187" i="1"/>
  <c r="W2186" i="1"/>
  <c r="V2186" i="1"/>
  <c r="U2186" i="1"/>
  <c r="T2186" i="1"/>
  <c r="S2186" i="1"/>
  <c r="W2185" i="1"/>
  <c r="V2185" i="1"/>
  <c r="U2185" i="1"/>
  <c r="T2185" i="1"/>
  <c r="S2185" i="1"/>
  <c r="W2184" i="1"/>
  <c r="V2184" i="1"/>
  <c r="U2184" i="1"/>
  <c r="T2184" i="1"/>
  <c r="S2184" i="1"/>
  <c r="W2183" i="1"/>
  <c r="V2183" i="1"/>
  <c r="U2183" i="1"/>
  <c r="T2183" i="1"/>
  <c r="S2183" i="1"/>
  <c r="W2182" i="1"/>
  <c r="V2182" i="1"/>
  <c r="U2182" i="1"/>
  <c r="T2182" i="1"/>
  <c r="S2182" i="1"/>
  <c r="W2181" i="1"/>
  <c r="V2181" i="1"/>
  <c r="U2181" i="1"/>
  <c r="T2181" i="1"/>
  <c r="S2181" i="1"/>
  <c r="W2180" i="1"/>
  <c r="V2180" i="1"/>
  <c r="U2180" i="1"/>
  <c r="T2180" i="1"/>
  <c r="S2180" i="1"/>
  <c r="W2179" i="1"/>
  <c r="V2179" i="1"/>
  <c r="U2179" i="1"/>
  <c r="T2179" i="1"/>
  <c r="S2179" i="1"/>
  <c r="W2178" i="1"/>
  <c r="V2178" i="1"/>
  <c r="U2178" i="1"/>
  <c r="T2178" i="1"/>
  <c r="S2178" i="1"/>
  <c r="W2177" i="1"/>
  <c r="V2177" i="1"/>
  <c r="U2177" i="1"/>
  <c r="T2177" i="1"/>
  <c r="S2177" i="1"/>
  <c r="W2176" i="1"/>
  <c r="V2176" i="1"/>
  <c r="U2176" i="1"/>
  <c r="T2176" i="1"/>
  <c r="S2176" i="1"/>
  <c r="W2175" i="1"/>
  <c r="V2175" i="1"/>
  <c r="U2175" i="1"/>
  <c r="T2175" i="1"/>
  <c r="S2175" i="1"/>
  <c r="W2174" i="1"/>
  <c r="V2174" i="1"/>
  <c r="U2174" i="1"/>
  <c r="T2174" i="1"/>
  <c r="S2174" i="1"/>
  <c r="W2173" i="1"/>
  <c r="V2173" i="1"/>
  <c r="U2173" i="1"/>
  <c r="T2173" i="1"/>
  <c r="S2173" i="1"/>
  <c r="W2172" i="1"/>
  <c r="V2172" i="1"/>
  <c r="U2172" i="1"/>
  <c r="T2172" i="1"/>
  <c r="S2172" i="1"/>
  <c r="W2171" i="1"/>
  <c r="V2171" i="1"/>
  <c r="U2171" i="1"/>
  <c r="T2171" i="1"/>
  <c r="S2171" i="1"/>
  <c r="W2170" i="1"/>
  <c r="V2170" i="1"/>
  <c r="U2170" i="1"/>
  <c r="T2170" i="1"/>
  <c r="S2170" i="1"/>
  <c r="W2169" i="1"/>
  <c r="V2169" i="1"/>
  <c r="U2169" i="1"/>
  <c r="T2169" i="1"/>
  <c r="S2169" i="1"/>
  <c r="W2168" i="1"/>
  <c r="V2168" i="1"/>
  <c r="U2168" i="1"/>
  <c r="T2168" i="1"/>
  <c r="S2168" i="1"/>
  <c r="W2167" i="1"/>
  <c r="V2167" i="1"/>
  <c r="U2167" i="1"/>
  <c r="T2167" i="1"/>
  <c r="S2167" i="1"/>
  <c r="W2166" i="1"/>
  <c r="V2166" i="1"/>
  <c r="U2166" i="1"/>
  <c r="T2166" i="1"/>
  <c r="S2166" i="1"/>
  <c r="W2165" i="1"/>
  <c r="V2165" i="1"/>
  <c r="U2165" i="1"/>
  <c r="T2165" i="1"/>
  <c r="S2165" i="1"/>
  <c r="W2164" i="1"/>
  <c r="V2164" i="1"/>
  <c r="U2164" i="1"/>
  <c r="T2164" i="1"/>
  <c r="S2164" i="1"/>
  <c r="W2163" i="1"/>
  <c r="V2163" i="1"/>
  <c r="U2163" i="1"/>
  <c r="T2163" i="1"/>
  <c r="S2163" i="1"/>
  <c r="W2162" i="1"/>
  <c r="V2162" i="1"/>
  <c r="U2162" i="1"/>
  <c r="T2162" i="1"/>
  <c r="S2162" i="1"/>
  <c r="W2161" i="1"/>
  <c r="V2161" i="1"/>
  <c r="U2161" i="1"/>
  <c r="T2161" i="1"/>
  <c r="S2161" i="1"/>
  <c r="W2160" i="1"/>
  <c r="V2160" i="1"/>
  <c r="U2160" i="1"/>
  <c r="T2160" i="1"/>
  <c r="S2160" i="1"/>
  <c r="W2159" i="1"/>
  <c r="V2159" i="1"/>
  <c r="U2159" i="1"/>
  <c r="T2159" i="1"/>
  <c r="S2159" i="1"/>
  <c r="W2158" i="1"/>
  <c r="V2158" i="1"/>
  <c r="U2158" i="1"/>
  <c r="T2158" i="1"/>
  <c r="S2158" i="1"/>
  <c r="W2157" i="1"/>
  <c r="V2157" i="1"/>
  <c r="U2157" i="1"/>
  <c r="T2157" i="1"/>
  <c r="S2157" i="1"/>
  <c r="W2156" i="1"/>
  <c r="V2156" i="1"/>
  <c r="U2156" i="1"/>
  <c r="T2156" i="1"/>
  <c r="S2156" i="1"/>
  <c r="W2155" i="1"/>
  <c r="V2155" i="1"/>
  <c r="U2155" i="1"/>
  <c r="T2155" i="1"/>
  <c r="S2155" i="1"/>
  <c r="W2154" i="1"/>
  <c r="V2154" i="1"/>
  <c r="U2154" i="1"/>
  <c r="T2154" i="1"/>
  <c r="S2154" i="1"/>
  <c r="W2153" i="1"/>
  <c r="V2153" i="1"/>
  <c r="U2153" i="1"/>
  <c r="T2153" i="1"/>
  <c r="S2153" i="1"/>
  <c r="W2152" i="1"/>
  <c r="V2152" i="1"/>
  <c r="U2152" i="1"/>
  <c r="T2152" i="1"/>
  <c r="S2152" i="1"/>
  <c r="W2151" i="1"/>
  <c r="V2151" i="1"/>
  <c r="U2151" i="1"/>
  <c r="T2151" i="1"/>
  <c r="S2151" i="1"/>
  <c r="W2150" i="1"/>
  <c r="V2150" i="1"/>
  <c r="U2150" i="1"/>
  <c r="T2150" i="1"/>
  <c r="S2150" i="1"/>
  <c r="W2149" i="1"/>
  <c r="V2149" i="1"/>
  <c r="U2149" i="1"/>
  <c r="T2149" i="1"/>
  <c r="S2149" i="1"/>
  <c r="W2148" i="1"/>
  <c r="V2148" i="1"/>
  <c r="U2148" i="1"/>
  <c r="T2148" i="1"/>
  <c r="S2148" i="1"/>
  <c r="W2147" i="1"/>
  <c r="V2147" i="1"/>
  <c r="U2147" i="1"/>
  <c r="T2147" i="1"/>
  <c r="S2147" i="1"/>
  <c r="W2146" i="1"/>
  <c r="V2146" i="1"/>
  <c r="U2146" i="1"/>
  <c r="T2146" i="1"/>
  <c r="S2146" i="1"/>
  <c r="W2145" i="1"/>
  <c r="V2145" i="1"/>
  <c r="U2145" i="1"/>
  <c r="T2145" i="1"/>
  <c r="S2145" i="1"/>
  <c r="W2144" i="1"/>
  <c r="V2144" i="1"/>
  <c r="U2144" i="1"/>
  <c r="T2144" i="1"/>
  <c r="S2144" i="1"/>
  <c r="W2143" i="1"/>
  <c r="V2143" i="1"/>
  <c r="U2143" i="1"/>
  <c r="T2143" i="1"/>
  <c r="S2143" i="1"/>
  <c r="W2142" i="1"/>
  <c r="V2142" i="1"/>
  <c r="U2142" i="1"/>
  <c r="T2142" i="1"/>
  <c r="S2142" i="1"/>
  <c r="W2141" i="1"/>
  <c r="V2141" i="1"/>
  <c r="U2141" i="1"/>
  <c r="T2141" i="1"/>
  <c r="S2141" i="1"/>
  <c r="W2140" i="1"/>
  <c r="V2140" i="1"/>
  <c r="U2140" i="1"/>
  <c r="T2140" i="1"/>
  <c r="S2140" i="1"/>
  <c r="W2139" i="1"/>
  <c r="V2139" i="1"/>
  <c r="U2139" i="1"/>
  <c r="T2139" i="1"/>
  <c r="S2139" i="1"/>
  <c r="W2138" i="1"/>
  <c r="V2138" i="1"/>
  <c r="U2138" i="1"/>
  <c r="T2138" i="1"/>
  <c r="S2138" i="1"/>
  <c r="W2137" i="1"/>
  <c r="V2137" i="1"/>
  <c r="U2137" i="1"/>
  <c r="T2137" i="1"/>
  <c r="S2137" i="1"/>
  <c r="W2136" i="1"/>
  <c r="V2136" i="1"/>
  <c r="U2136" i="1"/>
  <c r="T2136" i="1"/>
  <c r="S2136" i="1"/>
  <c r="W2135" i="1"/>
  <c r="V2135" i="1"/>
  <c r="U2135" i="1"/>
  <c r="T2135" i="1"/>
  <c r="S2135" i="1"/>
  <c r="W2134" i="1"/>
  <c r="V2134" i="1"/>
  <c r="U2134" i="1"/>
  <c r="T2134" i="1"/>
  <c r="S2134" i="1"/>
  <c r="W2133" i="1"/>
  <c r="V2133" i="1"/>
  <c r="U2133" i="1"/>
  <c r="T2133" i="1"/>
  <c r="S2133" i="1"/>
  <c r="W2132" i="1"/>
  <c r="V2132" i="1"/>
  <c r="U2132" i="1"/>
  <c r="T2132" i="1"/>
  <c r="S2132" i="1"/>
  <c r="W2131" i="1"/>
  <c r="V2131" i="1"/>
  <c r="U2131" i="1"/>
  <c r="T2131" i="1"/>
  <c r="S2131" i="1"/>
  <c r="W2130" i="1"/>
  <c r="V2130" i="1"/>
  <c r="U2130" i="1"/>
  <c r="T2130" i="1"/>
  <c r="S2130" i="1"/>
  <c r="W2129" i="1"/>
  <c r="V2129" i="1"/>
  <c r="U2129" i="1"/>
  <c r="T2129" i="1"/>
  <c r="S2129" i="1"/>
  <c r="W2128" i="1"/>
  <c r="V2128" i="1"/>
  <c r="U2128" i="1"/>
  <c r="T2128" i="1"/>
  <c r="S2128" i="1"/>
  <c r="W2127" i="1"/>
  <c r="V2127" i="1"/>
  <c r="U2127" i="1"/>
  <c r="T2127" i="1"/>
  <c r="S2127" i="1"/>
  <c r="W2126" i="1"/>
  <c r="V2126" i="1"/>
  <c r="U2126" i="1"/>
  <c r="T2126" i="1"/>
  <c r="S2126" i="1"/>
  <c r="W2125" i="1"/>
  <c r="V2125" i="1"/>
  <c r="U2125" i="1"/>
  <c r="T2125" i="1"/>
  <c r="S2125" i="1"/>
  <c r="W2124" i="1"/>
  <c r="V2124" i="1"/>
  <c r="U2124" i="1"/>
  <c r="T2124" i="1"/>
  <c r="S2124" i="1"/>
  <c r="W2123" i="1"/>
  <c r="V2123" i="1"/>
  <c r="U2123" i="1"/>
  <c r="T2123" i="1"/>
  <c r="S2123" i="1"/>
  <c r="W2122" i="1"/>
  <c r="V2122" i="1"/>
  <c r="U2122" i="1"/>
  <c r="T2122" i="1"/>
  <c r="S2122" i="1"/>
  <c r="W2121" i="1"/>
  <c r="V2121" i="1"/>
  <c r="U2121" i="1"/>
  <c r="T2121" i="1"/>
  <c r="S2121" i="1"/>
  <c r="W2120" i="1"/>
  <c r="V2120" i="1"/>
  <c r="U2120" i="1"/>
  <c r="T2120" i="1"/>
  <c r="S2120" i="1"/>
  <c r="W2119" i="1"/>
  <c r="V2119" i="1"/>
  <c r="U2119" i="1"/>
  <c r="T2119" i="1"/>
  <c r="S2119" i="1"/>
  <c r="W2118" i="1"/>
  <c r="V2118" i="1"/>
  <c r="U2118" i="1"/>
  <c r="T2118" i="1"/>
  <c r="S2118" i="1"/>
  <c r="W2117" i="1"/>
  <c r="V2117" i="1"/>
  <c r="U2117" i="1"/>
  <c r="T2117" i="1"/>
  <c r="S2117" i="1"/>
  <c r="W2116" i="1"/>
  <c r="V2116" i="1"/>
  <c r="U2116" i="1"/>
  <c r="T2116" i="1"/>
  <c r="S2116" i="1"/>
  <c r="W2115" i="1"/>
  <c r="V2115" i="1"/>
  <c r="U2115" i="1"/>
  <c r="T2115" i="1"/>
  <c r="S2115" i="1"/>
  <c r="W2114" i="1"/>
  <c r="V2114" i="1"/>
  <c r="U2114" i="1"/>
  <c r="T2114" i="1"/>
  <c r="S2114" i="1"/>
  <c r="W2113" i="1"/>
  <c r="V2113" i="1"/>
  <c r="U2113" i="1"/>
  <c r="T2113" i="1"/>
  <c r="S2113" i="1"/>
  <c r="W2112" i="1"/>
  <c r="V2112" i="1"/>
  <c r="U2112" i="1"/>
  <c r="T2112" i="1"/>
  <c r="S2112" i="1"/>
  <c r="W2111" i="1"/>
  <c r="V2111" i="1"/>
  <c r="U2111" i="1"/>
  <c r="T2111" i="1"/>
  <c r="S2111" i="1"/>
  <c r="W2110" i="1"/>
  <c r="V2110" i="1"/>
  <c r="U2110" i="1"/>
  <c r="T2110" i="1"/>
  <c r="S2110" i="1"/>
  <c r="W2109" i="1"/>
  <c r="V2109" i="1"/>
  <c r="U2109" i="1"/>
  <c r="T2109" i="1"/>
  <c r="S2109" i="1"/>
  <c r="W2108" i="1"/>
  <c r="V2108" i="1"/>
  <c r="U2108" i="1"/>
  <c r="T2108" i="1"/>
  <c r="S2108" i="1"/>
  <c r="W2107" i="1"/>
  <c r="V2107" i="1"/>
  <c r="U2107" i="1"/>
  <c r="T2107" i="1"/>
  <c r="S2107" i="1"/>
  <c r="W2106" i="1"/>
  <c r="V2106" i="1"/>
  <c r="U2106" i="1"/>
  <c r="T2106" i="1"/>
  <c r="S2106" i="1"/>
  <c r="W2105" i="1"/>
  <c r="V2105" i="1"/>
  <c r="U2105" i="1"/>
  <c r="T2105" i="1"/>
  <c r="S2105" i="1"/>
  <c r="W2104" i="1"/>
  <c r="V2104" i="1"/>
  <c r="U2104" i="1"/>
  <c r="T2104" i="1"/>
  <c r="S2104" i="1"/>
  <c r="W2103" i="1"/>
  <c r="V2103" i="1"/>
  <c r="U2103" i="1"/>
  <c r="T2103" i="1"/>
  <c r="S2103" i="1"/>
  <c r="W2102" i="1"/>
  <c r="V2102" i="1"/>
  <c r="U2102" i="1"/>
  <c r="T2102" i="1"/>
  <c r="S2102" i="1"/>
  <c r="W2101" i="1"/>
  <c r="V2101" i="1"/>
  <c r="U2101" i="1"/>
  <c r="T2101" i="1"/>
  <c r="S2101" i="1"/>
  <c r="W2100" i="1"/>
  <c r="V2100" i="1"/>
  <c r="U2100" i="1"/>
  <c r="T2100" i="1"/>
  <c r="S2100" i="1"/>
  <c r="W2099" i="1"/>
  <c r="V2099" i="1"/>
  <c r="U2099" i="1"/>
  <c r="T2099" i="1"/>
  <c r="S2099" i="1"/>
  <c r="W2098" i="1"/>
  <c r="V2098" i="1"/>
  <c r="U2098" i="1"/>
  <c r="T2098" i="1"/>
  <c r="S2098" i="1"/>
  <c r="W2097" i="1"/>
  <c r="V2097" i="1"/>
  <c r="U2097" i="1"/>
  <c r="T2097" i="1"/>
  <c r="S2097" i="1"/>
  <c r="W2096" i="1"/>
  <c r="V2096" i="1"/>
  <c r="U2096" i="1"/>
  <c r="T2096" i="1"/>
  <c r="S2096" i="1"/>
  <c r="W2095" i="1"/>
  <c r="V2095" i="1"/>
  <c r="U2095" i="1"/>
  <c r="T2095" i="1"/>
  <c r="S2095" i="1"/>
  <c r="W2094" i="1"/>
  <c r="V2094" i="1"/>
  <c r="U2094" i="1"/>
  <c r="T2094" i="1"/>
  <c r="S2094" i="1"/>
  <c r="W2093" i="1"/>
  <c r="V2093" i="1"/>
  <c r="U2093" i="1"/>
  <c r="T2093" i="1"/>
  <c r="S2093" i="1"/>
  <c r="W2092" i="1"/>
  <c r="V2092" i="1"/>
  <c r="U2092" i="1"/>
  <c r="T2092" i="1"/>
  <c r="S2092" i="1"/>
  <c r="W2091" i="1"/>
  <c r="V2091" i="1"/>
  <c r="U2091" i="1"/>
  <c r="T2091" i="1"/>
  <c r="S2091" i="1"/>
  <c r="W2090" i="1"/>
  <c r="V2090" i="1"/>
  <c r="U2090" i="1"/>
  <c r="T2090" i="1"/>
  <c r="S2090" i="1"/>
  <c r="W2089" i="1"/>
  <c r="V2089" i="1"/>
  <c r="U2089" i="1"/>
  <c r="T2089" i="1"/>
  <c r="S2089" i="1"/>
  <c r="W2088" i="1"/>
  <c r="V2088" i="1"/>
  <c r="U2088" i="1"/>
  <c r="T2088" i="1"/>
  <c r="S2088" i="1"/>
  <c r="W2087" i="1"/>
  <c r="V2087" i="1"/>
  <c r="U2087" i="1"/>
  <c r="T2087" i="1"/>
  <c r="S2087" i="1"/>
  <c r="W2086" i="1"/>
  <c r="V2086" i="1"/>
  <c r="U2086" i="1"/>
  <c r="T2086" i="1"/>
  <c r="S2086" i="1"/>
  <c r="W2085" i="1"/>
  <c r="V2085" i="1"/>
  <c r="U2085" i="1"/>
  <c r="T2085" i="1"/>
  <c r="S2085" i="1"/>
  <c r="W2084" i="1"/>
  <c r="V2084" i="1"/>
  <c r="U2084" i="1"/>
  <c r="T2084" i="1"/>
  <c r="S2084" i="1"/>
  <c r="W2083" i="1"/>
  <c r="V2083" i="1"/>
  <c r="U2083" i="1"/>
  <c r="T2083" i="1"/>
  <c r="S2083" i="1"/>
  <c r="W2082" i="1"/>
  <c r="V2082" i="1"/>
  <c r="U2082" i="1"/>
  <c r="T2082" i="1"/>
  <c r="S2082" i="1"/>
  <c r="W2081" i="1"/>
  <c r="V2081" i="1"/>
  <c r="U2081" i="1"/>
  <c r="T2081" i="1"/>
  <c r="S2081" i="1"/>
  <c r="W2080" i="1"/>
  <c r="V2080" i="1"/>
  <c r="U2080" i="1"/>
  <c r="T2080" i="1"/>
  <c r="S2080" i="1"/>
  <c r="W2079" i="1"/>
  <c r="V2079" i="1"/>
  <c r="U2079" i="1"/>
  <c r="T2079" i="1"/>
  <c r="S2079" i="1"/>
  <c r="W2078" i="1"/>
  <c r="V2078" i="1"/>
  <c r="U2078" i="1"/>
  <c r="T2078" i="1"/>
  <c r="S2078" i="1"/>
  <c r="W2077" i="1"/>
  <c r="V2077" i="1"/>
  <c r="U2077" i="1"/>
  <c r="T2077" i="1"/>
  <c r="S2077" i="1"/>
  <c r="W2076" i="1"/>
  <c r="V2076" i="1"/>
  <c r="U2076" i="1"/>
  <c r="T2076" i="1"/>
  <c r="S2076" i="1"/>
  <c r="W2075" i="1"/>
  <c r="V2075" i="1"/>
  <c r="U2075" i="1"/>
  <c r="T2075" i="1"/>
  <c r="S2075" i="1"/>
  <c r="W2074" i="1"/>
  <c r="V2074" i="1"/>
  <c r="U2074" i="1"/>
  <c r="T2074" i="1"/>
  <c r="S2074" i="1"/>
  <c r="W2073" i="1"/>
  <c r="V2073" i="1"/>
  <c r="U2073" i="1"/>
  <c r="T2073" i="1"/>
  <c r="S2073" i="1"/>
  <c r="W2072" i="1"/>
  <c r="V2072" i="1"/>
  <c r="U2072" i="1"/>
  <c r="T2072" i="1"/>
  <c r="S2072" i="1"/>
  <c r="W2071" i="1"/>
  <c r="V2071" i="1"/>
  <c r="U2071" i="1"/>
  <c r="T2071" i="1"/>
  <c r="S2071" i="1"/>
  <c r="W2070" i="1"/>
  <c r="V2070" i="1"/>
  <c r="U2070" i="1"/>
  <c r="T2070" i="1"/>
  <c r="S2070" i="1"/>
  <c r="W2069" i="1"/>
  <c r="V2069" i="1"/>
  <c r="U2069" i="1"/>
  <c r="T2069" i="1"/>
  <c r="S2069" i="1"/>
  <c r="W2068" i="1"/>
  <c r="V2068" i="1"/>
  <c r="U2068" i="1"/>
  <c r="T2068" i="1"/>
  <c r="S2068" i="1"/>
  <c r="W2067" i="1"/>
  <c r="V2067" i="1"/>
  <c r="U2067" i="1"/>
  <c r="T2067" i="1"/>
  <c r="S2067" i="1"/>
  <c r="W2066" i="1"/>
  <c r="V2066" i="1"/>
  <c r="U2066" i="1"/>
  <c r="T2066" i="1"/>
  <c r="S2066" i="1"/>
  <c r="W2065" i="1"/>
  <c r="V2065" i="1"/>
  <c r="U2065" i="1"/>
  <c r="T2065" i="1"/>
  <c r="S2065" i="1"/>
  <c r="W2064" i="1"/>
  <c r="V2064" i="1"/>
  <c r="U2064" i="1"/>
  <c r="T2064" i="1"/>
  <c r="S2064" i="1"/>
  <c r="W2063" i="1"/>
  <c r="V2063" i="1"/>
  <c r="U2063" i="1"/>
  <c r="T2063" i="1"/>
  <c r="S2063" i="1"/>
  <c r="W2062" i="1"/>
  <c r="V2062" i="1"/>
  <c r="U2062" i="1"/>
  <c r="T2062" i="1"/>
  <c r="S2062" i="1"/>
  <c r="W2061" i="1"/>
  <c r="V2061" i="1"/>
  <c r="U2061" i="1"/>
  <c r="T2061" i="1"/>
  <c r="S2061" i="1"/>
  <c r="W2060" i="1"/>
  <c r="V2060" i="1"/>
  <c r="U2060" i="1"/>
  <c r="T2060" i="1"/>
  <c r="S2060" i="1"/>
  <c r="W2059" i="1"/>
  <c r="V2059" i="1"/>
  <c r="U2059" i="1"/>
  <c r="T2059" i="1"/>
  <c r="S2059" i="1"/>
  <c r="W2058" i="1"/>
  <c r="V2058" i="1"/>
  <c r="U2058" i="1"/>
  <c r="T2058" i="1"/>
  <c r="S2058" i="1"/>
  <c r="W2057" i="1"/>
  <c r="V2057" i="1"/>
  <c r="U2057" i="1"/>
  <c r="T2057" i="1"/>
  <c r="S2057" i="1"/>
  <c r="W2056" i="1"/>
  <c r="V2056" i="1"/>
  <c r="U2056" i="1"/>
  <c r="T2056" i="1"/>
  <c r="S2056" i="1"/>
  <c r="W2055" i="1"/>
  <c r="V2055" i="1"/>
  <c r="U2055" i="1"/>
  <c r="T2055" i="1"/>
  <c r="S2055" i="1"/>
  <c r="W2054" i="1"/>
  <c r="V2054" i="1"/>
  <c r="U2054" i="1"/>
  <c r="T2054" i="1"/>
  <c r="S2054" i="1"/>
  <c r="W2053" i="1"/>
  <c r="V2053" i="1"/>
  <c r="U2053" i="1"/>
  <c r="T2053" i="1"/>
  <c r="S2053" i="1"/>
  <c r="W2052" i="1"/>
  <c r="V2052" i="1"/>
  <c r="U2052" i="1"/>
  <c r="T2052" i="1"/>
  <c r="S2052" i="1"/>
  <c r="W2051" i="1"/>
  <c r="V2051" i="1"/>
  <c r="U2051" i="1"/>
  <c r="T2051" i="1"/>
  <c r="S2051" i="1"/>
  <c r="W2050" i="1"/>
  <c r="V2050" i="1"/>
  <c r="U2050" i="1"/>
  <c r="T2050" i="1"/>
  <c r="S2050" i="1"/>
  <c r="W2049" i="1"/>
  <c r="V2049" i="1"/>
  <c r="U2049" i="1"/>
  <c r="T2049" i="1"/>
  <c r="S2049" i="1"/>
  <c r="W2048" i="1"/>
  <c r="V2048" i="1"/>
  <c r="U2048" i="1"/>
  <c r="T2048" i="1"/>
  <c r="S2048" i="1"/>
  <c r="W2047" i="1"/>
  <c r="V2047" i="1"/>
  <c r="U2047" i="1"/>
  <c r="T2047" i="1"/>
  <c r="S2047" i="1"/>
  <c r="W2046" i="1"/>
  <c r="V2046" i="1"/>
  <c r="U2046" i="1"/>
  <c r="T2046" i="1"/>
  <c r="S2046" i="1"/>
  <c r="W2045" i="1"/>
  <c r="V2045" i="1"/>
  <c r="U2045" i="1"/>
  <c r="T2045" i="1"/>
  <c r="S2045" i="1"/>
  <c r="W2044" i="1"/>
  <c r="V2044" i="1"/>
  <c r="U2044" i="1"/>
  <c r="T2044" i="1"/>
  <c r="S2044" i="1"/>
  <c r="W2043" i="1"/>
  <c r="V2043" i="1"/>
  <c r="U2043" i="1"/>
  <c r="T2043" i="1"/>
  <c r="S2043" i="1"/>
  <c r="W2042" i="1"/>
  <c r="V2042" i="1"/>
  <c r="U2042" i="1"/>
  <c r="T2042" i="1"/>
  <c r="S2042" i="1"/>
  <c r="W2041" i="1"/>
  <c r="V2041" i="1"/>
  <c r="U2041" i="1"/>
  <c r="T2041" i="1"/>
  <c r="S2041" i="1"/>
  <c r="W2040" i="1"/>
  <c r="V2040" i="1"/>
  <c r="U2040" i="1"/>
  <c r="T2040" i="1"/>
  <c r="S2040" i="1"/>
  <c r="W2039" i="1"/>
  <c r="V2039" i="1"/>
  <c r="U2039" i="1"/>
  <c r="T2039" i="1"/>
  <c r="S2039" i="1"/>
  <c r="W2038" i="1"/>
  <c r="V2038" i="1"/>
  <c r="U2038" i="1"/>
  <c r="T2038" i="1"/>
  <c r="S2038" i="1"/>
  <c r="W2037" i="1"/>
  <c r="V2037" i="1"/>
  <c r="U2037" i="1"/>
  <c r="T2037" i="1"/>
  <c r="S2037" i="1"/>
  <c r="W2036" i="1"/>
  <c r="V2036" i="1"/>
  <c r="U2036" i="1"/>
  <c r="T2036" i="1"/>
  <c r="S2036" i="1"/>
  <c r="W2035" i="1"/>
  <c r="V2035" i="1"/>
  <c r="U2035" i="1"/>
  <c r="T2035" i="1"/>
  <c r="S2035" i="1"/>
  <c r="W2034" i="1"/>
  <c r="V2034" i="1"/>
  <c r="U2034" i="1"/>
  <c r="T2034" i="1"/>
  <c r="S2034" i="1"/>
  <c r="W2033" i="1"/>
  <c r="V2033" i="1"/>
  <c r="U2033" i="1"/>
  <c r="T2033" i="1"/>
  <c r="S2033" i="1"/>
  <c r="W2032" i="1"/>
  <c r="V2032" i="1"/>
  <c r="U2032" i="1"/>
  <c r="T2032" i="1"/>
  <c r="S2032" i="1"/>
  <c r="W2031" i="1"/>
  <c r="V2031" i="1"/>
  <c r="U2031" i="1"/>
  <c r="T2031" i="1"/>
  <c r="S2031" i="1"/>
  <c r="W2030" i="1"/>
  <c r="V2030" i="1"/>
  <c r="U2030" i="1"/>
  <c r="T2030" i="1"/>
  <c r="S2030" i="1"/>
  <c r="W2029" i="1"/>
  <c r="V2029" i="1"/>
  <c r="U2029" i="1"/>
  <c r="T2029" i="1"/>
  <c r="S2029" i="1"/>
  <c r="W2028" i="1"/>
  <c r="V2028" i="1"/>
  <c r="U2028" i="1"/>
  <c r="T2028" i="1"/>
  <c r="S2028" i="1"/>
  <c r="W2027" i="1"/>
  <c r="V2027" i="1"/>
  <c r="U2027" i="1"/>
  <c r="T2027" i="1"/>
  <c r="S2027" i="1"/>
  <c r="W2026" i="1"/>
  <c r="V2026" i="1"/>
  <c r="U2026" i="1"/>
  <c r="T2026" i="1"/>
  <c r="S2026" i="1"/>
  <c r="W2025" i="1"/>
  <c r="V2025" i="1"/>
  <c r="U2025" i="1"/>
  <c r="T2025" i="1"/>
  <c r="S2025" i="1"/>
  <c r="W2024" i="1"/>
  <c r="V2024" i="1"/>
  <c r="U2024" i="1"/>
  <c r="T2024" i="1"/>
  <c r="S2024" i="1"/>
  <c r="W2023" i="1"/>
  <c r="V2023" i="1"/>
  <c r="U2023" i="1"/>
  <c r="T2023" i="1"/>
  <c r="S2023" i="1"/>
  <c r="W2022" i="1"/>
  <c r="V2022" i="1"/>
  <c r="U2022" i="1"/>
  <c r="T2022" i="1"/>
  <c r="S2022" i="1"/>
  <c r="W2021" i="1"/>
  <c r="V2021" i="1"/>
  <c r="U2021" i="1"/>
  <c r="T2021" i="1"/>
  <c r="S2021" i="1"/>
  <c r="W2020" i="1"/>
  <c r="V2020" i="1"/>
  <c r="U2020" i="1"/>
  <c r="T2020" i="1"/>
  <c r="S2020" i="1"/>
  <c r="W2019" i="1"/>
  <c r="V2019" i="1"/>
  <c r="U2019" i="1"/>
  <c r="T2019" i="1"/>
  <c r="S2019" i="1"/>
  <c r="W2018" i="1"/>
  <c r="V2018" i="1"/>
  <c r="U2018" i="1"/>
  <c r="T2018" i="1"/>
  <c r="S2018" i="1"/>
  <c r="W2017" i="1"/>
  <c r="V2017" i="1"/>
  <c r="U2017" i="1"/>
  <c r="T2017" i="1"/>
  <c r="S2017" i="1"/>
  <c r="W2016" i="1"/>
  <c r="V2016" i="1"/>
  <c r="U2016" i="1"/>
  <c r="T2016" i="1"/>
  <c r="S2016" i="1"/>
  <c r="W2015" i="1"/>
  <c r="V2015" i="1"/>
  <c r="U2015" i="1"/>
  <c r="T2015" i="1"/>
  <c r="S2015" i="1"/>
  <c r="W2014" i="1"/>
  <c r="V2014" i="1"/>
  <c r="U2014" i="1"/>
  <c r="T2014" i="1"/>
  <c r="S2014" i="1"/>
  <c r="W2013" i="1"/>
  <c r="V2013" i="1"/>
  <c r="U2013" i="1"/>
  <c r="T2013" i="1"/>
  <c r="S2013" i="1"/>
  <c r="W2012" i="1"/>
  <c r="V2012" i="1"/>
  <c r="U2012" i="1"/>
  <c r="T2012" i="1"/>
  <c r="S2012" i="1"/>
  <c r="W2011" i="1"/>
  <c r="V2011" i="1"/>
  <c r="U2011" i="1"/>
  <c r="T2011" i="1"/>
  <c r="S2011" i="1"/>
  <c r="W2010" i="1"/>
  <c r="V2010" i="1"/>
  <c r="U2010" i="1"/>
  <c r="T2010" i="1"/>
  <c r="S2010" i="1"/>
  <c r="W2009" i="1"/>
  <c r="V2009" i="1"/>
  <c r="U2009" i="1"/>
  <c r="T2009" i="1"/>
  <c r="S2009" i="1"/>
  <c r="W2008" i="1"/>
  <c r="V2008" i="1"/>
  <c r="U2008" i="1"/>
  <c r="T2008" i="1"/>
  <c r="S2008" i="1"/>
  <c r="W2007" i="1"/>
  <c r="V2007" i="1"/>
  <c r="U2007" i="1"/>
  <c r="T2007" i="1"/>
  <c r="S2007" i="1"/>
  <c r="W2006" i="1"/>
  <c r="V2006" i="1"/>
  <c r="U2006" i="1"/>
  <c r="T2006" i="1"/>
  <c r="S2006" i="1"/>
  <c r="W2005" i="1"/>
  <c r="V2005" i="1"/>
  <c r="U2005" i="1"/>
  <c r="T2005" i="1"/>
  <c r="S2005" i="1"/>
  <c r="W2004" i="1"/>
  <c r="V2004" i="1"/>
  <c r="U2004" i="1"/>
  <c r="T2004" i="1"/>
  <c r="S2004" i="1"/>
  <c r="W2003" i="1"/>
  <c r="V2003" i="1"/>
  <c r="U2003" i="1"/>
  <c r="T2003" i="1"/>
  <c r="S2003" i="1"/>
  <c r="W2002" i="1"/>
  <c r="V2002" i="1"/>
  <c r="U2002" i="1"/>
  <c r="T2002" i="1"/>
  <c r="S2002" i="1"/>
  <c r="W2001" i="1"/>
  <c r="V2001" i="1"/>
  <c r="U2001" i="1"/>
  <c r="T2001" i="1"/>
  <c r="S2001" i="1"/>
  <c r="W2000" i="1"/>
  <c r="V2000" i="1"/>
  <c r="U2000" i="1"/>
  <c r="T2000" i="1"/>
  <c r="S2000" i="1"/>
  <c r="W1999" i="1"/>
  <c r="V1999" i="1"/>
  <c r="U1999" i="1"/>
  <c r="T1999" i="1"/>
  <c r="S1999" i="1"/>
  <c r="W1998" i="1"/>
  <c r="V1998" i="1"/>
  <c r="U1998" i="1"/>
  <c r="T1998" i="1"/>
  <c r="S1998" i="1"/>
  <c r="W1997" i="1"/>
  <c r="V1997" i="1"/>
  <c r="U1997" i="1"/>
  <c r="T1997" i="1"/>
  <c r="S1997" i="1"/>
  <c r="W1996" i="1"/>
  <c r="V1996" i="1"/>
  <c r="U1996" i="1"/>
  <c r="T1996" i="1"/>
  <c r="S1996" i="1"/>
  <c r="W1995" i="1"/>
  <c r="V1995" i="1"/>
  <c r="U1995" i="1"/>
  <c r="T1995" i="1"/>
  <c r="S1995" i="1"/>
  <c r="W1994" i="1"/>
  <c r="V1994" i="1"/>
  <c r="U1994" i="1"/>
  <c r="T1994" i="1"/>
  <c r="S1994" i="1"/>
  <c r="W1993" i="1"/>
  <c r="V1993" i="1"/>
  <c r="U1993" i="1"/>
  <c r="T1993" i="1"/>
  <c r="S1993" i="1"/>
  <c r="W1992" i="1"/>
  <c r="V1992" i="1"/>
  <c r="U1992" i="1"/>
  <c r="T1992" i="1"/>
  <c r="S1992" i="1"/>
  <c r="W1991" i="1"/>
  <c r="V1991" i="1"/>
  <c r="U1991" i="1"/>
  <c r="T1991" i="1"/>
  <c r="S1991" i="1"/>
  <c r="W1990" i="1"/>
  <c r="V1990" i="1"/>
  <c r="U1990" i="1"/>
  <c r="T1990" i="1"/>
  <c r="S1990" i="1"/>
  <c r="W1989" i="1"/>
  <c r="V1989" i="1"/>
  <c r="U1989" i="1"/>
  <c r="T1989" i="1"/>
  <c r="S1989" i="1"/>
  <c r="W1988" i="1"/>
  <c r="V1988" i="1"/>
  <c r="U1988" i="1"/>
  <c r="T1988" i="1"/>
  <c r="S1988" i="1"/>
  <c r="W1987" i="1"/>
  <c r="V1987" i="1"/>
  <c r="U1987" i="1"/>
  <c r="T1987" i="1"/>
  <c r="S1987" i="1"/>
  <c r="W1986" i="1"/>
  <c r="V1986" i="1"/>
  <c r="U1986" i="1"/>
  <c r="T1986" i="1"/>
  <c r="S1986" i="1"/>
  <c r="W1985" i="1"/>
  <c r="V1985" i="1"/>
  <c r="U1985" i="1"/>
  <c r="T1985" i="1"/>
  <c r="S1985" i="1"/>
  <c r="W1984" i="1"/>
  <c r="V1984" i="1"/>
  <c r="U1984" i="1"/>
  <c r="T1984" i="1"/>
  <c r="S1984" i="1"/>
  <c r="W1983" i="1"/>
  <c r="V1983" i="1"/>
  <c r="U1983" i="1"/>
  <c r="T1983" i="1"/>
  <c r="S1983" i="1"/>
  <c r="W1982" i="1"/>
  <c r="V1982" i="1"/>
  <c r="U1982" i="1"/>
  <c r="T1982" i="1"/>
  <c r="S1982" i="1"/>
  <c r="W1981" i="1"/>
  <c r="V1981" i="1"/>
  <c r="U1981" i="1"/>
  <c r="T1981" i="1"/>
  <c r="S1981" i="1"/>
  <c r="W1980" i="1"/>
  <c r="V1980" i="1"/>
  <c r="U1980" i="1"/>
  <c r="T1980" i="1"/>
  <c r="S1980" i="1"/>
  <c r="W1979" i="1"/>
  <c r="V1979" i="1"/>
  <c r="U1979" i="1"/>
  <c r="T1979" i="1"/>
  <c r="S1979" i="1"/>
  <c r="W1978" i="1"/>
  <c r="V1978" i="1"/>
  <c r="U1978" i="1"/>
  <c r="T1978" i="1"/>
  <c r="S1978" i="1"/>
  <c r="W1977" i="1"/>
  <c r="V1977" i="1"/>
  <c r="U1977" i="1"/>
  <c r="T1977" i="1"/>
  <c r="S1977" i="1"/>
  <c r="W1976" i="1"/>
  <c r="V1976" i="1"/>
  <c r="U1976" i="1"/>
  <c r="T1976" i="1"/>
  <c r="S1976" i="1"/>
  <c r="W1975" i="1"/>
  <c r="V1975" i="1"/>
  <c r="U1975" i="1"/>
  <c r="T1975" i="1"/>
  <c r="S1975" i="1"/>
  <c r="W1974" i="1"/>
  <c r="V1974" i="1"/>
  <c r="U1974" i="1"/>
  <c r="T1974" i="1"/>
  <c r="S1974" i="1"/>
  <c r="W1973" i="1"/>
  <c r="V1973" i="1"/>
  <c r="U1973" i="1"/>
  <c r="T1973" i="1"/>
  <c r="S1973" i="1"/>
  <c r="W1972" i="1"/>
  <c r="V1972" i="1"/>
  <c r="U1972" i="1"/>
  <c r="T1972" i="1"/>
  <c r="S1972" i="1"/>
  <c r="W1971" i="1"/>
  <c r="V1971" i="1"/>
  <c r="U1971" i="1"/>
  <c r="T1971" i="1"/>
  <c r="S1971" i="1"/>
  <c r="W1970" i="1"/>
  <c r="V1970" i="1"/>
  <c r="U1970" i="1"/>
  <c r="T1970" i="1"/>
  <c r="S1970" i="1"/>
  <c r="W1969" i="1"/>
  <c r="V1969" i="1"/>
  <c r="U1969" i="1"/>
  <c r="T1969" i="1"/>
  <c r="S1969" i="1"/>
  <c r="W1968" i="1"/>
  <c r="V1968" i="1"/>
  <c r="U1968" i="1"/>
  <c r="T1968" i="1"/>
  <c r="S1968" i="1"/>
  <c r="W1967" i="1"/>
  <c r="V1967" i="1"/>
  <c r="U1967" i="1"/>
  <c r="T1967" i="1"/>
  <c r="S1967" i="1"/>
  <c r="W1966" i="1"/>
  <c r="V1966" i="1"/>
  <c r="U1966" i="1"/>
  <c r="T1966" i="1"/>
  <c r="S1966" i="1"/>
  <c r="W1965" i="1"/>
  <c r="V1965" i="1"/>
  <c r="U1965" i="1"/>
  <c r="T1965" i="1"/>
  <c r="S1965" i="1"/>
  <c r="W1964" i="1"/>
  <c r="V1964" i="1"/>
  <c r="U1964" i="1"/>
  <c r="T1964" i="1"/>
  <c r="S1964" i="1"/>
  <c r="W1963" i="1"/>
  <c r="V1963" i="1"/>
  <c r="U1963" i="1"/>
  <c r="T1963" i="1"/>
  <c r="S1963" i="1"/>
  <c r="W1962" i="1"/>
  <c r="V1962" i="1"/>
  <c r="U1962" i="1"/>
  <c r="T1962" i="1"/>
  <c r="S1962" i="1"/>
  <c r="W1961" i="1"/>
  <c r="V1961" i="1"/>
  <c r="U1961" i="1"/>
  <c r="T1961" i="1"/>
  <c r="S1961" i="1"/>
  <c r="W1960" i="1"/>
  <c r="V1960" i="1"/>
  <c r="U1960" i="1"/>
  <c r="T1960" i="1"/>
  <c r="S1960" i="1"/>
  <c r="W1959" i="1"/>
  <c r="V1959" i="1"/>
  <c r="U1959" i="1"/>
  <c r="T1959" i="1"/>
  <c r="S1959" i="1"/>
  <c r="W1958" i="1"/>
  <c r="V1958" i="1"/>
  <c r="U1958" i="1"/>
  <c r="T1958" i="1"/>
  <c r="S1958" i="1"/>
  <c r="W1957" i="1"/>
  <c r="V1957" i="1"/>
  <c r="U1957" i="1"/>
  <c r="T1957" i="1"/>
  <c r="S1957" i="1"/>
  <c r="W1956" i="1"/>
  <c r="V1956" i="1"/>
  <c r="U1956" i="1"/>
  <c r="T1956" i="1"/>
  <c r="S1956" i="1"/>
  <c r="W1955" i="1"/>
  <c r="V1955" i="1"/>
  <c r="U1955" i="1"/>
  <c r="T1955" i="1"/>
  <c r="S1955" i="1"/>
  <c r="W1954" i="1"/>
  <c r="V1954" i="1"/>
  <c r="U1954" i="1"/>
  <c r="T1954" i="1"/>
  <c r="S1954" i="1"/>
  <c r="W1953" i="1"/>
  <c r="V1953" i="1"/>
  <c r="U1953" i="1"/>
  <c r="T1953" i="1"/>
  <c r="S1953" i="1"/>
  <c r="W1952" i="1"/>
  <c r="V1952" i="1"/>
  <c r="U1952" i="1"/>
  <c r="T1952" i="1"/>
  <c r="S1952" i="1"/>
  <c r="W1951" i="1"/>
  <c r="V1951" i="1"/>
  <c r="U1951" i="1"/>
  <c r="T1951" i="1"/>
  <c r="S1951" i="1"/>
  <c r="W1950" i="1"/>
  <c r="V1950" i="1"/>
  <c r="U1950" i="1"/>
  <c r="T1950" i="1"/>
  <c r="S1950" i="1"/>
  <c r="W1949" i="1"/>
  <c r="V1949" i="1"/>
  <c r="U1949" i="1"/>
  <c r="T1949" i="1"/>
  <c r="S1949" i="1"/>
  <c r="W1948" i="1"/>
  <c r="V1948" i="1"/>
  <c r="U1948" i="1"/>
  <c r="T1948" i="1"/>
  <c r="S1948" i="1"/>
  <c r="W1947" i="1"/>
  <c r="V1947" i="1"/>
  <c r="U1947" i="1"/>
  <c r="T1947" i="1"/>
  <c r="S1947" i="1"/>
  <c r="W1946" i="1"/>
  <c r="V1946" i="1"/>
  <c r="U1946" i="1"/>
  <c r="T1946" i="1"/>
  <c r="S1946" i="1"/>
  <c r="W1945" i="1"/>
  <c r="V1945" i="1"/>
  <c r="U1945" i="1"/>
  <c r="T1945" i="1"/>
  <c r="S1945" i="1"/>
  <c r="W1944" i="1"/>
  <c r="V1944" i="1"/>
  <c r="U1944" i="1"/>
  <c r="T1944" i="1"/>
  <c r="S1944" i="1"/>
  <c r="W1943" i="1"/>
  <c r="V1943" i="1"/>
  <c r="U1943" i="1"/>
  <c r="T1943" i="1"/>
  <c r="S1943" i="1"/>
  <c r="W1942" i="1"/>
  <c r="V1942" i="1"/>
  <c r="U1942" i="1"/>
  <c r="T1942" i="1"/>
  <c r="S1942" i="1"/>
  <c r="W1941" i="1"/>
  <c r="V1941" i="1"/>
  <c r="U1941" i="1"/>
  <c r="T1941" i="1"/>
  <c r="S1941" i="1"/>
  <c r="W1940" i="1"/>
  <c r="V1940" i="1"/>
  <c r="U1940" i="1"/>
  <c r="T1940" i="1"/>
  <c r="S1940" i="1"/>
  <c r="W1939" i="1"/>
  <c r="V1939" i="1"/>
  <c r="U1939" i="1"/>
  <c r="T1939" i="1"/>
  <c r="S1939" i="1"/>
  <c r="W1938" i="1"/>
  <c r="V1938" i="1"/>
  <c r="U1938" i="1"/>
  <c r="T1938" i="1"/>
  <c r="S1938" i="1"/>
  <c r="W1937" i="1"/>
  <c r="V1937" i="1"/>
  <c r="U1937" i="1"/>
  <c r="T1937" i="1"/>
  <c r="S1937" i="1"/>
  <c r="W1936" i="1"/>
  <c r="V1936" i="1"/>
  <c r="U1936" i="1"/>
  <c r="T1936" i="1"/>
  <c r="S1936" i="1"/>
  <c r="W1935" i="1"/>
  <c r="V1935" i="1"/>
  <c r="U1935" i="1"/>
  <c r="T1935" i="1"/>
  <c r="S1935" i="1"/>
  <c r="W1934" i="1"/>
  <c r="V1934" i="1"/>
  <c r="U1934" i="1"/>
  <c r="T1934" i="1"/>
  <c r="S1934" i="1"/>
  <c r="W1933" i="1"/>
  <c r="V1933" i="1"/>
  <c r="U1933" i="1"/>
  <c r="T1933" i="1"/>
  <c r="S1933" i="1"/>
  <c r="W1932" i="1"/>
  <c r="V1932" i="1"/>
  <c r="U1932" i="1"/>
  <c r="T1932" i="1"/>
  <c r="S1932" i="1"/>
  <c r="W1931" i="1"/>
  <c r="V1931" i="1"/>
  <c r="U1931" i="1"/>
  <c r="T1931" i="1"/>
  <c r="S1931" i="1"/>
  <c r="W1930" i="1"/>
  <c r="V1930" i="1"/>
  <c r="U1930" i="1"/>
  <c r="T1930" i="1"/>
  <c r="S1930" i="1"/>
  <c r="W1929" i="1"/>
  <c r="V1929" i="1"/>
  <c r="U1929" i="1"/>
  <c r="T1929" i="1"/>
  <c r="S1929" i="1"/>
  <c r="W1928" i="1"/>
  <c r="V1928" i="1"/>
  <c r="U1928" i="1"/>
  <c r="T1928" i="1"/>
  <c r="S1928" i="1"/>
  <c r="W1927" i="1"/>
  <c r="V1927" i="1"/>
  <c r="U1927" i="1"/>
  <c r="T1927" i="1"/>
  <c r="S1927" i="1"/>
  <c r="W1926" i="1"/>
  <c r="V1926" i="1"/>
  <c r="U1926" i="1"/>
  <c r="T1926" i="1"/>
  <c r="S1926" i="1"/>
  <c r="W1925" i="1"/>
  <c r="V1925" i="1"/>
  <c r="U1925" i="1"/>
  <c r="T1925" i="1"/>
  <c r="S1925" i="1"/>
  <c r="W1924" i="1"/>
  <c r="V1924" i="1"/>
  <c r="U1924" i="1"/>
  <c r="T1924" i="1"/>
  <c r="S1924" i="1"/>
  <c r="W1923" i="1"/>
  <c r="V1923" i="1"/>
  <c r="U1923" i="1"/>
  <c r="T1923" i="1"/>
  <c r="S1923" i="1"/>
  <c r="W1922" i="1"/>
  <c r="V1922" i="1"/>
  <c r="U1922" i="1"/>
  <c r="T1922" i="1"/>
  <c r="S1922" i="1"/>
  <c r="W1921" i="1"/>
  <c r="V1921" i="1"/>
  <c r="U1921" i="1"/>
  <c r="T1921" i="1"/>
  <c r="S1921" i="1"/>
  <c r="W1920" i="1"/>
  <c r="V1920" i="1"/>
  <c r="U1920" i="1"/>
  <c r="T1920" i="1"/>
  <c r="S1920" i="1"/>
  <c r="W1919" i="1"/>
  <c r="V1919" i="1"/>
  <c r="U1919" i="1"/>
  <c r="T1919" i="1"/>
  <c r="S1919" i="1"/>
  <c r="W1918" i="1"/>
  <c r="V1918" i="1"/>
  <c r="U1918" i="1"/>
  <c r="T1918" i="1"/>
  <c r="S1918" i="1"/>
  <c r="W1917" i="1"/>
  <c r="V1917" i="1"/>
  <c r="U1917" i="1"/>
  <c r="T1917" i="1"/>
  <c r="S1917" i="1"/>
  <c r="W1916" i="1"/>
  <c r="V1916" i="1"/>
  <c r="U1916" i="1"/>
  <c r="T1916" i="1"/>
  <c r="S1916" i="1"/>
  <c r="W1915" i="1"/>
  <c r="V1915" i="1"/>
  <c r="U1915" i="1"/>
  <c r="T1915" i="1"/>
  <c r="S1915" i="1"/>
  <c r="W1914" i="1"/>
  <c r="V1914" i="1"/>
  <c r="U1914" i="1"/>
  <c r="T1914" i="1"/>
  <c r="S1914" i="1"/>
  <c r="W1913" i="1"/>
  <c r="V1913" i="1"/>
  <c r="U1913" i="1"/>
  <c r="T1913" i="1"/>
  <c r="S1913" i="1"/>
  <c r="W1912" i="1"/>
  <c r="V1912" i="1"/>
  <c r="U1912" i="1"/>
  <c r="T1912" i="1"/>
  <c r="S1912" i="1"/>
  <c r="W1911" i="1"/>
  <c r="V1911" i="1"/>
  <c r="U1911" i="1"/>
  <c r="T1911" i="1"/>
  <c r="S1911" i="1"/>
  <c r="W1910" i="1"/>
  <c r="V1910" i="1"/>
  <c r="U1910" i="1"/>
  <c r="T1910" i="1"/>
  <c r="S1910" i="1"/>
  <c r="W1909" i="1"/>
  <c r="V1909" i="1"/>
  <c r="U1909" i="1"/>
  <c r="T1909" i="1"/>
  <c r="S1909" i="1"/>
  <c r="W1908" i="1"/>
  <c r="V1908" i="1"/>
  <c r="U1908" i="1"/>
  <c r="T1908" i="1"/>
  <c r="S1908" i="1"/>
  <c r="W1907" i="1"/>
  <c r="V1907" i="1"/>
  <c r="U1907" i="1"/>
  <c r="T1907" i="1"/>
  <c r="S1907" i="1"/>
  <c r="W1906" i="1"/>
  <c r="V1906" i="1"/>
  <c r="U1906" i="1"/>
  <c r="T1906" i="1"/>
  <c r="S1906" i="1"/>
  <c r="W1905" i="1"/>
  <c r="V1905" i="1"/>
  <c r="U1905" i="1"/>
  <c r="T1905" i="1"/>
  <c r="S1905" i="1"/>
  <c r="W1904" i="1"/>
  <c r="V1904" i="1"/>
  <c r="U1904" i="1"/>
  <c r="T1904" i="1"/>
  <c r="S1904" i="1"/>
  <c r="W1903" i="1"/>
  <c r="V1903" i="1"/>
  <c r="U1903" i="1"/>
  <c r="T1903" i="1"/>
  <c r="S1903" i="1"/>
  <c r="W1902" i="1"/>
  <c r="V1902" i="1"/>
  <c r="U1902" i="1"/>
  <c r="T1902" i="1"/>
  <c r="S1902" i="1"/>
  <c r="W1901" i="1"/>
  <c r="V1901" i="1"/>
  <c r="U1901" i="1"/>
  <c r="T1901" i="1"/>
  <c r="S1901" i="1"/>
  <c r="W1900" i="1"/>
  <c r="V1900" i="1"/>
  <c r="U1900" i="1"/>
  <c r="T1900" i="1"/>
  <c r="S1900" i="1"/>
  <c r="W1899" i="1"/>
  <c r="V1899" i="1"/>
  <c r="U1899" i="1"/>
  <c r="T1899" i="1"/>
  <c r="S1899" i="1"/>
  <c r="W1898" i="1"/>
  <c r="V1898" i="1"/>
  <c r="U1898" i="1"/>
  <c r="T1898" i="1"/>
  <c r="S1898" i="1"/>
  <c r="W1897" i="1"/>
  <c r="V1897" i="1"/>
  <c r="U1897" i="1"/>
  <c r="T1897" i="1"/>
  <c r="S1897" i="1"/>
  <c r="W1896" i="1"/>
  <c r="V1896" i="1"/>
  <c r="U1896" i="1"/>
  <c r="T1896" i="1"/>
  <c r="S1896" i="1"/>
  <c r="W1895" i="1"/>
  <c r="V1895" i="1"/>
  <c r="U1895" i="1"/>
  <c r="T1895" i="1"/>
  <c r="S1895" i="1"/>
  <c r="W1894" i="1"/>
  <c r="V1894" i="1"/>
  <c r="U1894" i="1"/>
  <c r="T1894" i="1"/>
  <c r="S1894" i="1"/>
  <c r="W1893" i="1"/>
  <c r="V1893" i="1"/>
  <c r="U1893" i="1"/>
  <c r="T1893" i="1"/>
  <c r="S1893" i="1"/>
  <c r="W1892" i="1"/>
  <c r="V1892" i="1"/>
  <c r="U1892" i="1"/>
  <c r="T1892" i="1"/>
  <c r="S1892" i="1"/>
  <c r="W1891" i="1"/>
  <c r="V1891" i="1"/>
  <c r="U1891" i="1"/>
  <c r="T1891" i="1"/>
  <c r="S1891" i="1"/>
  <c r="W1890" i="1"/>
  <c r="V1890" i="1"/>
  <c r="U1890" i="1"/>
  <c r="T1890" i="1"/>
  <c r="S1890" i="1"/>
  <c r="W1889" i="1"/>
  <c r="V1889" i="1"/>
  <c r="U1889" i="1"/>
  <c r="T1889" i="1"/>
  <c r="S1889" i="1"/>
  <c r="W1888" i="1"/>
  <c r="V1888" i="1"/>
  <c r="U1888" i="1"/>
  <c r="T1888" i="1"/>
  <c r="S1888" i="1"/>
  <c r="W1887" i="1"/>
  <c r="V1887" i="1"/>
  <c r="U1887" i="1"/>
  <c r="T1887" i="1"/>
  <c r="S1887" i="1"/>
  <c r="W1886" i="1"/>
  <c r="V1886" i="1"/>
  <c r="U1886" i="1"/>
  <c r="T1886" i="1"/>
  <c r="S1886" i="1"/>
  <c r="W1885" i="1"/>
  <c r="V1885" i="1"/>
  <c r="U1885" i="1"/>
  <c r="T1885" i="1"/>
  <c r="S1885" i="1"/>
  <c r="W1884" i="1"/>
  <c r="V1884" i="1"/>
  <c r="U1884" i="1"/>
  <c r="T1884" i="1"/>
  <c r="S1884" i="1"/>
  <c r="W1883" i="1"/>
  <c r="V1883" i="1"/>
  <c r="U1883" i="1"/>
  <c r="T1883" i="1"/>
  <c r="S1883" i="1"/>
  <c r="W1882" i="1"/>
  <c r="V1882" i="1"/>
  <c r="U1882" i="1"/>
  <c r="T1882" i="1"/>
  <c r="S1882" i="1"/>
  <c r="W1881" i="1"/>
  <c r="V1881" i="1"/>
  <c r="U1881" i="1"/>
  <c r="T1881" i="1"/>
  <c r="S1881" i="1"/>
  <c r="W1880" i="1"/>
  <c r="V1880" i="1"/>
  <c r="U1880" i="1"/>
  <c r="T1880" i="1"/>
  <c r="S1880" i="1"/>
  <c r="W1879" i="1"/>
  <c r="V1879" i="1"/>
  <c r="U1879" i="1"/>
  <c r="T1879" i="1"/>
  <c r="S1879" i="1"/>
  <c r="W1878" i="1"/>
  <c r="V1878" i="1"/>
  <c r="U1878" i="1"/>
  <c r="T1878" i="1"/>
  <c r="S1878" i="1"/>
  <c r="W1877" i="1"/>
  <c r="V1877" i="1"/>
  <c r="U1877" i="1"/>
  <c r="T1877" i="1"/>
  <c r="S1877" i="1"/>
  <c r="W1876" i="1"/>
  <c r="V1876" i="1"/>
  <c r="U1876" i="1"/>
  <c r="T1876" i="1"/>
  <c r="S1876" i="1"/>
  <c r="W1875" i="1"/>
  <c r="V1875" i="1"/>
  <c r="U1875" i="1"/>
  <c r="T1875" i="1"/>
  <c r="S1875" i="1"/>
  <c r="W1874" i="1"/>
  <c r="V1874" i="1"/>
  <c r="U1874" i="1"/>
  <c r="T1874" i="1"/>
  <c r="S1874" i="1"/>
  <c r="W1873" i="1"/>
  <c r="V1873" i="1"/>
  <c r="U1873" i="1"/>
  <c r="T1873" i="1"/>
  <c r="S1873" i="1"/>
  <c r="W1872" i="1"/>
  <c r="V1872" i="1"/>
  <c r="U1872" i="1"/>
  <c r="T1872" i="1"/>
  <c r="S1872" i="1"/>
  <c r="W1871" i="1"/>
  <c r="V1871" i="1"/>
  <c r="U1871" i="1"/>
  <c r="T1871" i="1"/>
  <c r="S1871" i="1"/>
  <c r="W1870" i="1"/>
  <c r="V1870" i="1"/>
  <c r="U1870" i="1"/>
  <c r="T1870" i="1"/>
  <c r="S1870" i="1"/>
  <c r="W1869" i="1"/>
  <c r="V1869" i="1"/>
  <c r="U1869" i="1"/>
  <c r="T1869" i="1"/>
  <c r="S1869" i="1"/>
  <c r="W1868" i="1"/>
  <c r="V1868" i="1"/>
  <c r="U1868" i="1"/>
  <c r="T1868" i="1"/>
  <c r="S1868" i="1"/>
  <c r="W1867" i="1"/>
  <c r="V1867" i="1"/>
  <c r="U1867" i="1"/>
  <c r="T1867" i="1"/>
  <c r="S1867" i="1"/>
  <c r="W1866" i="1"/>
  <c r="V1866" i="1"/>
  <c r="U1866" i="1"/>
  <c r="T1866" i="1"/>
  <c r="S1866" i="1"/>
  <c r="W1865" i="1"/>
  <c r="V1865" i="1"/>
  <c r="U1865" i="1"/>
  <c r="T1865" i="1"/>
  <c r="S1865" i="1"/>
  <c r="W1864" i="1"/>
  <c r="V1864" i="1"/>
  <c r="U1864" i="1"/>
  <c r="T1864" i="1"/>
  <c r="S1864" i="1"/>
  <c r="W1863" i="1"/>
  <c r="V1863" i="1"/>
  <c r="U1863" i="1"/>
  <c r="T1863" i="1"/>
  <c r="S1863" i="1"/>
  <c r="W1862" i="1"/>
  <c r="V1862" i="1"/>
  <c r="U1862" i="1"/>
  <c r="T1862" i="1"/>
  <c r="S1862" i="1"/>
  <c r="W1861" i="1"/>
  <c r="V1861" i="1"/>
  <c r="U1861" i="1"/>
  <c r="T1861" i="1"/>
  <c r="S1861" i="1"/>
  <c r="W1860" i="1"/>
  <c r="V1860" i="1"/>
  <c r="U1860" i="1"/>
  <c r="T1860" i="1"/>
  <c r="S1860" i="1"/>
  <c r="W1859" i="1"/>
  <c r="V1859" i="1"/>
  <c r="U1859" i="1"/>
  <c r="T1859" i="1"/>
  <c r="S1859" i="1"/>
  <c r="W1858" i="1"/>
  <c r="V1858" i="1"/>
  <c r="U1858" i="1"/>
  <c r="T1858" i="1"/>
  <c r="S1858" i="1"/>
  <c r="W1857" i="1"/>
  <c r="V1857" i="1"/>
  <c r="U1857" i="1"/>
  <c r="T1857" i="1"/>
  <c r="S1857" i="1"/>
  <c r="W1856" i="1"/>
  <c r="V1856" i="1"/>
  <c r="U1856" i="1"/>
  <c r="T1856" i="1"/>
  <c r="S1856" i="1"/>
  <c r="W1855" i="1"/>
  <c r="V1855" i="1"/>
  <c r="U1855" i="1"/>
  <c r="T1855" i="1"/>
  <c r="S1855" i="1"/>
  <c r="W1854" i="1"/>
  <c r="V1854" i="1"/>
  <c r="U1854" i="1"/>
  <c r="T1854" i="1"/>
  <c r="S1854" i="1"/>
  <c r="W1853" i="1"/>
  <c r="V1853" i="1"/>
  <c r="U1853" i="1"/>
  <c r="T1853" i="1"/>
  <c r="S1853" i="1"/>
  <c r="W1852" i="1"/>
  <c r="V1852" i="1"/>
  <c r="U1852" i="1"/>
  <c r="T1852" i="1"/>
  <c r="S1852" i="1"/>
  <c r="W1851" i="1"/>
  <c r="V1851" i="1"/>
  <c r="U1851" i="1"/>
  <c r="T1851" i="1"/>
  <c r="S1851" i="1"/>
  <c r="W1850" i="1"/>
  <c r="V1850" i="1"/>
  <c r="U1850" i="1"/>
  <c r="T1850" i="1"/>
  <c r="S1850" i="1"/>
  <c r="W1849" i="1"/>
  <c r="V1849" i="1"/>
  <c r="U1849" i="1"/>
  <c r="T1849" i="1"/>
  <c r="S1849" i="1"/>
  <c r="W1848" i="1"/>
  <c r="V1848" i="1"/>
  <c r="U1848" i="1"/>
  <c r="T1848" i="1"/>
  <c r="S1848" i="1"/>
  <c r="W1847" i="1"/>
  <c r="V1847" i="1"/>
  <c r="U1847" i="1"/>
  <c r="T1847" i="1"/>
  <c r="S1847" i="1"/>
  <c r="W1846" i="1"/>
  <c r="V1846" i="1"/>
  <c r="U1846" i="1"/>
  <c r="T1846" i="1"/>
  <c r="S1846" i="1"/>
  <c r="W1845" i="1"/>
  <c r="V1845" i="1"/>
  <c r="U1845" i="1"/>
  <c r="T1845" i="1"/>
  <c r="S1845" i="1"/>
  <c r="W1844" i="1"/>
  <c r="V1844" i="1"/>
  <c r="U1844" i="1"/>
  <c r="T1844" i="1"/>
  <c r="S1844" i="1"/>
  <c r="W1843" i="1"/>
  <c r="V1843" i="1"/>
  <c r="U1843" i="1"/>
  <c r="T1843" i="1"/>
  <c r="S1843" i="1"/>
  <c r="W1842" i="1"/>
  <c r="V1842" i="1"/>
  <c r="U1842" i="1"/>
  <c r="T1842" i="1"/>
  <c r="S1842" i="1"/>
  <c r="W1841" i="1"/>
  <c r="V1841" i="1"/>
  <c r="U1841" i="1"/>
  <c r="T1841" i="1"/>
  <c r="S1841" i="1"/>
  <c r="W1840" i="1"/>
  <c r="V1840" i="1"/>
  <c r="U1840" i="1"/>
  <c r="T1840" i="1"/>
  <c r="S1840" i="1"/>
  <c r="W1839" i="1"/>
  <c r="V1839" i="1"/>
  <c r="U1839" i="1"/>
  <c r="T1839" i="1"/>
  <c r="S1839" i="1"/>
  <c r="W1838" i="1"/>
  <c r="V1838" i="1"/>
  <c r="U1838" i="1"/>
  <c r="T1838" i="1"/>
  <c r="S1838" i="1"/>
  <c r="W1837" i="1"/>
  <c r="V1837" i="1"/>
  <c r="U1837" i="1"/>
  <c r="T1837" i="1"/>
  <c r="S1837" i="1"/>
  <c r="W1836" i="1"/>
  <c r="V1836" i="1"/>
  <c r="U1836" i="1"/>
  <c r="T1836" i="1"/>
  <c r="S1836" i="1"/>
  <c r="W1835" i="1"/>
  <c r="V1835" i="1"/>
  <c r="U1835" i="1"/>
  <c r="T1835" i="1"/>
  <c r="S1835" i="1"/>
  <c r="W1834" i="1"/>
  <c r="V1834" i="1"/>
  <c r="U1834" i="1"/>
  <c r="T1834" i="1"/>
  <c r="S1834" i="1"/>
  <c r="W1833" i="1"/>
  <c r="V1833" i="1"/>
  <c r="U1833" i="1"/>
  <c r="T1833" i="1"/>
  <c r="S1833" i="1"/>
  <c r="W1832" i="1"/>
  <c r="V1832" i="1"/>
  <c r="U1832" i="1"/>
  <c r="T1832" i="1"/>
  <c r="S1832" i="1"/>
  <c r="W1831" i="1"/>
  <c r="V1831" i="1"/>
  <c r="U1831" i="1"/>
  <c r="T1831" i="1"/>
  <c r="S1831" i="1"/>
  <c r="W1830" i="1"/>
  <c r="V1830" i="1"/>
  <c r="U1830" i="1"/>
  <c r="T1830" i="1"/>
  <c r="S1830" i="1"/>
  <c r="W1829" i="1"/>
  <c r="V1829" i="1"/>
  <c r="U1829" i="1"/>
  <c r="T1829" i="1"/>
  <c r="S1829" i="1"/>
  <c r="W1828" i="1"/>
  <c r="V1828" i="1"/>
  <c r="U1828" i="1"/>
  <c r="T1828" i="1"/>
  <c r="S1828" i="1"/>
  <c r="W1827" i="1"/>
  <c r="V1827" i="1"/>
  <c r="U1827" i="1"/>
  <c r="T1827" i="1"/>
  <c r="S1827" i="1"/>
  <c r="W1826" i="1"/>
  <c r="V1826" i="1"/>
  <c r="U1826" i="1"/>
  <c r="T1826" i="1"/>
  <c r="S1826" i="1"/>
  <c r="W1825" i="1"/>
  <c r="V1825" i="1"/>
  <c r="U1825" i="1"/>
  <c r="T1825" i="1"/>
  <c r="S1825" i="1"/>
  <c r="W1824" i="1"/>
  <c r="V1824" i="1"/>
  <c r="U1824" i="1"/>
  <c r="T1824" i="1"/>
  <c r="S1824" i="1"/>
  <c r="W1823" i="1"/>
  <c r="V1823" i="1"/>
  <c r="U1823" i="1"/>
  <c r="T1823" i="1"/>
  <c r="S1823" i="1"/>
  <c r="W1822" i="1"/>
  <c r="V1822" i="1"/>
  <c r="U1822" i="1"/>
  <c r="T1822" i="1"/>
  <c r="S1822" i="1"/>
  <c r="W1821" i="1"/>
  <c r="V1821" i="1"/>
  <c r="U1821" i="1"/>
  <c r="T1821" i="1"/>
  <c r="S1821" i="1"/>
  <c r="W1820" i="1"/>
  <c r="V1820" i="1"/>
  <c r="U1820" i="1"/>
  <c r="T1820" i="1"/>
  <c r="S1820" i="1"/>
  <c r="W1819" i="1"/>
  <c r="V1819" i="1"/>
  <c r="U1819" i="1"/>
  <c r="T1819" i="1"/>
  <c r="S1819" i="1"/>
  <c r="W1818" i="1"/>
  <c r="V1818" i="1"/>
  <c r="U1818" i="1"/>
  <c r="T1818" i="1"/>
  <c r="S1818" i="1"/>
  <c r="W1817" i="1"/>
  <c r="V1817" i="1"/>
  <c r="U1817" i="1"/>
  <c r="T1817" i="1"/>
  <c r="S1817" i="1"/>
  <c r="W1816" i="1"/>
  <c r="V1816" i="1"/>
  <c r="U1816" i="1"/>
  <c r="T1816" i="1"/>
  <c r="S1816" i="1"/>
  <c r="W1815" i="1"/>
  <c r="V1815" i="1"/>
  <c r="U1815" i="1"/>
  <c r="T1815" i="1"/>
  <c r="S1815" i="1"/>
  <c r="W1814" i="1"/>
  <c r="V1814" i="1"/>
  <c r="U1814" i="1"/>
  <c r="T1814" i="1"/>
  <c r="S1814" i="1"/>
  <c r="W1813" i="1"/>
  <c r="V1813" i="1"/>
  <c r="U1813" i="1"/>
  <c r="T1813" i="1"/>
  <c r="S1813" i="1"/>
  <c r="W1812" i="1"/>
  <c r="V1812" i="1"/>
  <c r="U1812" i="1"/>
  <c r="T1812" i="1"/>
  <c r="S1812" i="1"/>
  <c r="W1811" i="1"/>
  <c r="V1811" i="1"/>
  <c r="U1811" i="1"/>
  <c r="T1811" i="1"/>
  <c r="S1811" i="1"/>
  <c r="W1810" i="1"/>
  <c r="V1810" i="1"/>
  <c r="U1810" i="1"/>
  <c r="T1810" i="1"/>
  <c r="S1810" i="1"/>
  <c r="W1809" i="1"/>
  <c r="V1809" i="1"/>
  <c r="U1809" i="1"/>
  <c r="T1809" i="1"/>
  <c r="S1809" i="1"/>
  <c r="W1808" i="1"/>
  <c r="V1808" i="1"/>
  <c r="U1808" i="1"/>
  <c r="T1808" i="1"/>
  <c r="S1808" i="1"/>
  <c r="W1807" i="1"/>
  <c r="V1807" i="1"/>
  <c r="U1807" i="1"/>
  <c r="T1807" i="1"/>
  <c r="S1807" i="1"/>
  <c r="W1806" i="1"/>
  <c r="V1806" i="1"/>
  <c r="U1806" i="1"/>
  <c r="T1806" i="1"/>
  <c r="S1806" i="1"/>
  <c r="W1805" i="1"/>
  <c r="V1805" i="1"/>
  <c r="U1805" i="1"/>
  <c r="T1805" i="1"/>
  <c r="S1805" i="1"/>
  <c r="W1804" i="1"/>
  <c r="V1804" i="1"/>
  <c r="U1804" i="1"/>
  <c r="T1804" i="1"/>
  <c r="S1804" i="1"/>
  <c r="W1803" i="1"/>
  <c r="V1803" i="1"/>
  <c r="U1803" i="1"/>
  <c r="T1803" i="1"/>
  <c r="S1803" i="1"/>
  <c r="W1802" i="1"/>
  <c r="V1802" i="1"/>
  <c r="U1802" i="1"/>
  <c r="T1802" i="1"/>
  <c r="S1802" i="1"/>
  <c r="W1801" i="1"/>
  <c r="V1801" i="1"/>
  <c r="U1801" i="1"/>
  <c r="T1801" i="1"/>
  <c r="S1801" i="1"/>
  <c r="W1800" i="1"/>
  <c r="V1800" i="1"/>
  <c r="U1800" i="1"/>
  <c r="T1800" i="1"/>
  <c r="S1800" i="1"/>
  <c r="W1799" i="1"/>
  <c r="V1799" i="1"/>
  <c r="U1799" i="1"/>
  <c r="T1799" i="1"/>
  <c r="S1799" i="1"/>
  <c r="W1798" i="1"/>
  <c r="V1798" i="1"/>
  <c r="U1798" i="1"/>
  <c r="T1798" i="1"/>
  <c r="S1798" i="1"/>
  <c r="W1797" i="1"/>
  <c r="V1797" i="1"/>
  <c r="U1797" i="1"/>
  <c r="T1797" i="1"/>
  <c r="S1797" i="1"/>
  <c r="W1796" i="1"/>
  <c r="V1796" i="1"/>
  <c r="U1796" i="1"/>
  <c r="T1796" i="1"/>
  <c r="S1796" i="1"/>
  <c r="W1795" i="1"/>
  <c r="V1795" i="1"/>
  <c r="U1795" i="1"/>
  <c r="T1795" i="1"/>
  <c r="S1795" i="1"/>
  <c r="W1794" i="1"/>
  <c r="V1794" i="1"/>
  <c r="U1794" i="1"/>
  <c r="T1794" i="1"/>
  <c r="S1794" i="1"/>
  <c r="W1793" i="1"/>
  <c r="V1793" i="1"/>
  <c r="U1793" i="1"/>
  <c r="T1793" i="1"/>
  <c r="S1793" i="1"/>
  <c r="W1792" i="1"/>
  <c r="V1792" i="1"/>
  <c r="U1792" i="1"/>
  <c r="T1792" i="1"/>
  <c r="S1792" i="1"/>
  <c r="W1791" i="1"/>
  <c r="V1791" i="1"/>
  <c r="U1791" i="1"/>
  <c r="T1791" i="1"/>
  <c r="S1791" i="1"/>
  <c r="W1790" i="1"/>
  <c r="V1790" i="1"/>
  <c r="U1790" i="1"/>
  <c r="T1790" i="1"/>
  <c r="S1790" i="1"/>
  <c r="W1789" i="1"/>
  <c r="V1789" i="1"/>
  <c r="U1789" i="1"/>
  <c r="T1789" i="1"/>
  <c r="S1789" i="1"/>
  <c r="W1788" i="1"/>
  <c r="V1788" i="1"/>
  <c r="U1788" i="1"/>
  <c r="T1788" i="1"/>
  <c r="S1788" i="1"/>
  <c r="W1787" i="1"/>
  <c r="V1787" i="1"/>
  <c r="U1787" i="1"/>
  <c r="T1787" i="1"/>
  <c r="S1787" i="1"/>
  <c r="W1786" i="1"/>
  <c r="V1786" i="1"/>
  <c r="U1786" i="1"/>
  <c r="T1786" i="1"/>
  <c r="S1786" i="1"/>
  <c r="W1785" i="1"/>
  <c r="V1785" i="1"/>
  <c r="U1785" i="1"/>
  <c r="T1785" i="1"/>
  <c r="S1785" i="1"/>
  <c r="W1784" i="1"/>
  <c r="V1784" i="1"/>
  <c r="U1784" i="1"/>
  <c r="T1784" i="1"/>
  <c r="S1784" i="1"/>
  <c r="W1783" i="1"/>
  <c r="V1783" i="1"/>
  <c r="U1783" i="1"/>
  <c r="T1783" i="1"/>
  <c r="S1783" i="1"/>
  <c r="W1782" i="1"/>
  <c r="V1782" i="1"/>
  <c r="U1782" i="1"/>
  <c r="T1782" i="1"/>
  <c r="S1782" i="1"/>
  <c r="W1781" i="1"/>
  <c r="V1781" i="1"/>
  <c r="U1781" i="1"/>
  <c r="T1781" i="1"/>
  <c r="S1781" i="1"/>
  <c r="W1780" i="1"/>
  <c r="V1780" i="1"/>
  <c r="U1780" i="1"/>
  <c r="T1780" i="1"/>
  <c r="S1780" i="1"/>
  <c r="W1779" i="1"/>
  <c r="V1779" i="1"/>
  <c r="U1779" i="1"/>
  <c r="T1779" i="1"/>
  <c r="S1779" i="1"/>
  <c r="W1778" i="1"/>
  <c r="V1778" i="1"/>
  <c r="U1778" i="1"/>
  <c r="T1778" i="1"/>
  <c r="S1778" i="1"/>
  <c r="W1777" i="1"/>
  <c r="V1777" i="1"/>
  <c r="U1777" i="1"/>
  <c r="T1777" i="1"/>
  <c r="S1777" i="1"/>
  <c r="W1776" i="1"/>
  <c r="V1776" i="1"/>
  <c r="U1776" i="1"/>
  <c r="T1776" i="1"/>
  <c r="S1776" i="1"/>
  <c r="W1775" i="1"/>
  <c r="V1775" i="1"/>
  <c r="U1775" i="1"/>
  <c r="T1775" i="1"/>
  <c r="S1775" i="1"/>
  <c r="W1774" i="1"/>
  <c r="V1774" i="1"/>
  <c r="U1774" i="1"/>
  <c r="T1774" i="1"/>
  <c r="S1774" i="1"/>
  <c r="W1773" i="1"/>
  <c r="V1773" i="1"/>
  <c r="U1773" i="1"/>
  <c r="T1773" i="1"/>
  <c r="S1773" i="1"/>
  <c r="W1772" i="1"/>
  <c r="V1772" i="1"/>
  <c r="U1772" i="1"/>
  <c r="T1772" i="1"/>
  <c r="S1772" i="1"/>
  <c r="W1771" i="1"/>
  <c r="V1771" i="1"/>
  <c r="U1771" i="1"/>
  <c r="T1771" i="1"/>
  <c r="S1771" i="1"/>
  <c r="W1770" i="1"/>
  <c r="V1770" i="1"/>
  <c r="U1770" i="1"/>
  <c r="T1770" i="1"/>
  <c r="S1770" i="1"/>
  <c r="W1769" i="1"/>
  <c r="V1769" i="1"/>
  <c r="U1769" i="1"/>
  <c r="T1769" i="1"/>
  <c r="S1769" i="1"/>
  <c r="W1768" i="1"/>
  <c r="V1768" i="1"/>
  <c r="U1768" i="1"/>
  <c r="T1768" i="1"/>
  <c r="S1768" i="1"/>
  <c r="W1767" i="1"/>
  <c r="V1767" i="1"/>
  <c r="U1767" i="1"/>
  <c r="T1767" i="1"/>
  <c r="S1767" i="1"/>
  <c r="W1766" i="1"/>
  <c r="V1766" i="1"/>
  <c r="U1766" i="1"/>
  <c r="T1766" i="1"/>
  <c r="S1766" i="1"/>
  <c r="W1765" i="1"/>
  <c r="V1765" i="1"/>
  <c r="U1765" i="1"/>
  <c r="T1765" i="1"/>
  <c r="S1765" i="1"/>
  <c r="W1764" i="1"/>
  <c r="V1764" i="1"/>
  <c r="U1764" i="1"/>
  <c r="T1764" i="1"/>
  <c r="S1764" i="1"/>
  <c r="W1763" i="1"/>
  <c r="V1763" i="1"/>
  <c r="U1763" i="1"/>
  <c r="T1763" i="1"/>
  <c r="S1763" i="1"/>
  <c r="W1762" i="1"/>
  <c r="V1762" i="1"/>
  <c r="U1762" i="1"/>
  <c r="T1762" i="1"/>
  <c r="S1762" i="1"/>
  <c r="W1761" i="1"/>
  <c r="V1761" i="1"/>
  <c r="U1761" i="1"/>
  <c r="T1761" i="1"/>
  <c r="S1761" i="1"/>
  <c r="W1760" i="1"/>
  <c r="V1760" i="1"/>
  <c r="U1760" i="1"/>
  <c r="T1760" i="1"/>
  <c r="S1760" i="1"/>
  <c r="W1759" i="1"/>
  <c r="V1759" i="1"/>
  <c r="U1759" i="1"/>
  <c r="T1759" i="1"/>
  <c r="S1759" i="1"/>
  <c r="W1758" i="1"/>
  <c r="V1758" i="1"/>
  <c r="U1758" i="1"/>
  <c r="T1758" i="1"/>
  <c r="S1758" i="1"/>
  <c r="W1757" i="1"/>
  <c r="V1757" i="1"/>
  <c r="U1757" i="1"/>
  <c r="T1757" i="1"/>
  <c r="S1757" i="1"/>
  <c r="W1756" i="1"/>
  <c r="V1756" i="1"/>
  <c r="U1756" i="1"/>
  <c r="T1756" i="1"/>
  <c r="S1756" i="1"/>
  <c r="W1755" i="1"/>
  <c r="V1755" i="1"/>
  <c r="U1755" i="1"/>
  <c r="T1755" i="1"/>
  <c r="S1755" i="1"/>
  <c r="W1754" i="1"/>
  <c r="V1754" i="1"/>
  <c r="U1754" i="1"/>
  <c r="T1754" i="1"/>
  <c r="S1754" i="1"/>
  <c r="W1753" i="1"/>
  <c r="V1753" i="1"/>
  <c r="U1753" i="1"/>
  <c r="T1753" i="1"/>
  <c r="S1753" i="1"/>
  <c r="W1752" i="1"/>
  <c r="V1752" i="1"/>
  <c r="U1752" i="1"/>
  <c r="T1752" i="1"/>
  <c r="S1752" i="1"/>
  <c r="W1751" i="1"/>
  <c r="V1751" i="1"/>
  <c r="U1751" i="1"/>
  <c r="T1751" i="1"/>
  <c r="S1751" i="1"/>
  <c r="W1750" i="1"/>
  <c r="V1750" i="1"/>
  <c r="U1750" i="1"/>
  <c r="T1750" i="1"/>
  <c r="S1750" i="1"/>
  <c r="W1749" i="1"/>
  <c r="V1749" i="1"/>
  <c r="U1749" i="1"/>
  <c r="T1749" i="1"/>
  <c r="S1749" i="1"/>
  <c r="W1748" i="1"/>
  <c r="V1748" i="1"/>
  <c r="U1748" i="1"/>
  <c r="T1748" i="1"/>
  <c r="S1748" i="1"/>
  <c r="W1747" i="1"/>
  <c r="V1747" i="1"/>
  <c r="U1747" i="1"/>
  <c r="T1747" i="1"/>
  <c r="S1747" i="1"/>
  <c r="W1746" i="1"/>
  <c r="V1746" i="1"/>
  <c r="U1746" i="1"/>
  <c r="T1746" i="1"/>
  <c r="S1746" i="1"/>
  <c r="W1745" i="1"/>
  <c r="V1745" i="1"/>
  <c r="U1745" i="1"/>
  <c r="T1745" i="1"/>
  <c r="S1745" i="1"/>
  <c r="W1744" i="1"/>
  <c r="V1744" i="1"/>
  <c r="U1744" i="1"/>
  <c r="T1744" i="1"/>
  <c r="S1744" i="1"/>
  <c r="W1743" i="1"/>
  <c r="V1743" i="1"/>
  <c r="U1743" i="1"/>
  <c r="T1743" i="1"/>
  <c r="S1743" i="1"/>
  <c r="W1742" i="1"/>
  <c r="V1742" i="1"/>
  <c r="U1742" i="1"/>
  <c r="T1742" i="1"/>
  <c r="S1742" i="1"/>
  <c r="W1741" i="1"/>
  <c r="V1741" i="1"/>
  <c r="U1741" i="1"/>
  <c r="T1741" i="1"/>
  <c r="S1741" i="1"/>
  <c r="W1740" i="1"/>
  <c r="V1740" i="1"/>
  <c r="U1740" i="1"/>
  <c r="T1740" i="1"/>
  <c r="S1740" i="1"/>
  <c r="W1739" i="1"/>
  <c r="V1739" i="1"/>
  <c r="U1739" i="1"/>
  <c r="T1739" i="1"/>
  <c r="S1739" i="1"/>
  <c r="W1738" i="1"/>
  <c r="V1738" i="1"/>
  <c r="U1738" i="1"/>
  <c r="T1738" i="1"/>
  <c r="S1738" i="1"/>
  <c r="W1737" i="1"/>
  <c r="V1737" i="1"/>
  <c r="U1737" i="1"/>
  <c r="T1737" i="1"/>
  <c r="S1737" i="1"/>
  <c r="W1736" i="1"/>
  <c r="V1736" i="1"/>
  <c r="U1736" i="1"/>
  <c r="T1736" i="1"/>
  <c r="S1736" i="1"/>
  <c r="W1735" i="1"/>
  <c r="V1735" i="1"/>
  <c r="U1735" i="1"/>
  <c r="T1735" i="1"/>
  <c r="S1735" i="1"/>
  <c r="W1734" i="1"/>
  <c r="V1734" i="1"/>
  <c r="U1734" i="1"/>
  <c r="T1734" i="1"/>
  <c r="S1734" i="1"/>
  <c r="W1733" i="1"/>
  <c r="V1733" i="1"/>
  <c r="U1733" i="1"/>
  <c r="T1733" i="1"/>
  <c r="S1733" i="1"/>
  <c r="W1732" i="1"/>
  <c r="V1732" i="1"/>
  <c r="U1732" i="1"/>
  <c r="T1732" i="1"/>
  <c r="S1732" i="1"/>
  <c r="W1731" i="1"/>
  <c r="V1731" i="1"/>
  <c r="U1731" i="1"/>
  <c r="T1731" i="1"/>
  <c r="S1731" i="1"/>
  <c r="W1730" i="1"/>
  <c r="V1730" i="1"/>
  <c r="U1730" i="1"/>
  <c r="T1730" i="1"/>
  <c r="S1730" i="1"/>
  <c r="W1729" i="1"/>
  <c r="V1729" i="1"/>
  <c r="U1729" i="1"/>
  <c r="T1729" i="1"/>
  <c r="S1729" i="1"/>
  <c r="W1728" i="1"/>
  <c r="V1728" i="1"/>
  <c r="U1728" i="1"/>
  <c r="T1728" i="1"/>
  <c r="S1728" i="1"/>
  <c r="W1727" i="1"/>
  <c r="V1727" i="1"/>
  <c r="U1727" i="1"/>
  <c r="T1727" i="1"/>
  <c r="S1727" i="1"/>
  <c r="W1726" i="1"/>
  <c r="V1726" i="1"/>
  <c r="U1726" i="1"/>
  <c r="T1726" i="1"/>
  <c r="S1726" i="1"/>
  <c r="W1725" i="1"/>
  <c r="V1725" i="1"/>
  <c r="U1725" i="1"/>
  <c r="T1725" i="1"/>
  <c r="S1725" i="1"/>
  <c r="W1724" i="1"/>
  <c r="V1724" i="1"/>
  <c r="U1724" i="1"/>
  <c r="T1724" i="1"/>
  <c r="S1724" i="1"/>
  <c r="W1723" i="1"/>
  <c r="V1723" i="1"/>
  <c r="U1723" i="1"/>
  <c r="T1723" i="1"/>
  <c r="S1723" i="1"/>
  <c r="W1722" i="1"/>
  <c r="V1722" i="1"/>
  <c r="U1722" i="1"/>
  <c r="T1722" i="1"/>
  <c r="S1722" i="1"/>
  <c r="W1721" i="1"/>
  <c r="V1721" i="1"/>
  <c r="U1721" i="1"/>
  <c r="T1721" i="1"/>
  <c r="S1721" i="1"/>
  <c r="W1720" i="1"/>
  <c r="V1720" i="1"/>
  <c r="U1720" i="1"/>
  <c r="T1720" i="1"/>
  <c r="S1720" i="1"/>
  <c r="W1719" i="1"/>
  <c r="V1719" i="1"/>
  <c r="U1719" i="1"/>
  <c r="T1719" i="1"/>
  <c r="S1719" i="1"/>
  <c r="W1718" i="1"/>
  <c r="V1718" i="1"/>
  <c r="U1718" i="1"/>
  <c r="T1718" i="1"/>
  <c r="S1718" i="1"/>
  <c r="W1717" i="1"/>
  <c r="V1717" i="1"/>
  <c r="U1717" i="1"/>
  <c r="T1717" i="1"/>
  <c r="S1717" i="1"/>
  <c r="W1716" i="1"/>
  <c r="V1716" i="1"/>
  <c r="U1716" i="1"/>
  <c r="T1716" i="1"/>
  <c r="S1716" i="1"/>
  <c r="W1715" i="1"/>
  <c r="V1715" i="1"/>
  <c r="U1715" i="1"/>
  <c r="T1715" i="1"/>
  <c r="S1715" i="1"/>
  <c r="W1714" i="1"/>
  <c r="V1714" i="1"/>
  <c r="U1714" i="1"/>
  <c r="T1714" i="1"/>
  <c r="S1714" i="1"/>
  <c r="W1713" i="1"/>
  <c r="V1713" i="1"/>
  <c r="U1713" i="1"/>
  <c r="T1713" i="1"/>
  <c r="S1713" i="1"/>
  <c r="W1712" i="1"/>
  <c r="V1712" i="1"/>
  <c r="U1712" i="1"/>
  <c r="T1712" i="1"/>
  <c r="S1712" i="1"/>
  <c r="W1711" i="1"/>
  <c r="V1711" i="1"/>
  <c r="U1711" i="1"/>
  <c r="T1711" i="1"/>
  <c r="S1711" i="1"/>
  <c r="W1710" i="1"/>
  <c r="V1710" i="1"/>
  <c r="U1710" i="1"/>
  <c r="T1710" i="1"/>
  <c r="S1710" i="1"/>
  <c r="W1709" i="1"/>
  <c r="V1709" i="1"/>
  <c r="U1709" i="1"/>
  <c r="T1709" i="1"/>
  <c r="S1709" i="1"/>
  <c r="W1708" i="1"/>
  <c r="V1708" i="1"/>
  <c r="U1708" i="1"/>
  <c r="T1708" i="1"/>
  <c r="S1708" i="1"/>
  <c r="W1707" i="1"/>
  <c r="V1707" i="1"/>
  <c r="U1707" i="1"/>
  <c r="T1707" i="1"/>
  <c r="S1707" i="1"/>
  <c r="W1706" i="1"/>
  <c r="V1706" i="1"/>
  <c r="U1706" i="1"/>
  <c r="T1706" i="1"/>
  <c r="S1706" i="1"/>
  <c r="W1705" i="1"/>
  <c r="V1705" i="1"/>
  <c r="U1705" i="1"/>
  <c r="T1705" i="1"/>
  <c r="S1705" i="1"/>
  <c r="W1704" i="1"/>
  <c r="V1704" i="1"/>
  <c r="U1704" i="1"/>
  <c r="T1704" i="1"/>
  <c r="S1704" i="1"/>
  <c r="W1703" i="1"/>
  <c r="V1703" i="1"/>
  <c r="U1703" i="1"/>
  <c r="T1703" i="1"/>
  <c r="S1703" i="1"/>
  <c r="W1702" i="1"/>
  <c r="V1702" i="1"/>
  <c r="U1702" i="1"/>
  <c r="T1702" i="1"/>
  <c r="S1702" i="1"/>
  <c r="W1701" i="1"/>
  <c r="V1701" i="1"/>
  <c r="U1701" i="1"/>
  <c r="T1701" i="1"/>
  <c r="S1701" i="1"/>
  <c r="W1700" i="1"/>
  <c r="V1700" i="1"/>
  <c r="U1700" i="1"/>
  <c r="T1700" i="1"/>
  <c r="S1700" i="1"/>
  <c r="W1699" i="1"/>
  <c r="V1699" i="1"/>
  <c r="U1699" i="1"/>
  <c r="T1699" i="1"/>
  <c r="S1699" i="1"/>
  <c r="W1698" i="1"/>
  <c r="V1698" i="1"/>
  <c r="U1698" i="1"/>
  <c r="T1698" i="1"/>
  <c r="S1698" i="1"/>
  <c r="W1697" i="1"/>
  <c r="V1697" i="1"/>
  <c r="U1697" i="1"/>
  <c r="T1697" i="1"/>
  <c r="S1697" i="1"/>
  <c r="W1696" i="1"/>
  <c r="V1696" i="1"/>
  <c r="U1696" i="1"/>
  <c r="T1696" i="1"/>
  <c r="S1696" i="1"/>
  <c r="W1695" i="1"/>
  <c r="V1695" i="1"/>
  <c r="U1695" i="1"/>
  <c r="T1695" i="1"/>
  <c r="S1695" i="1"/>
  <c r="W1694" i="1"/>
  <c r="V1694" i="1"/>
  <c r="U1694" i="1"/>
  <c r="T1694" i="1"/>
  <c r="S1694" i="1"/>
  <c r="W1693" i="1"/>
  <c r="V1693" i="1"/>
  <c r="U1693" i="1"/>
  <c r="T1693" i="1"/>
  <c r="S1693" i="1"/>
  <c r="W1692" i="1"/>
  <c r="V1692" i="1"/>
  <c r="U1692" i="1"/>
  <c r="T1692" i="1"/>
  <c r="S1692" i="1"/>
  <c r="W1691" i="1"/>
  <c r="V1691" i="1"/>
  <c r="U1691" i="1"/>
  <c r="T1691" i="1"/>
  <c r="S1691" i="1"/>
  <c r="W1690" i="1"/>
  <c r="V1690" i="1"/>
  <c r="U1690" i="1"/>
  <c r="T1690" i="1"/>
  <c r="S1690" i="1"/>
  <c r="W1689" i="1"/>
  <c r="V1689" i="1"/>
  <c r="U1689" i="1"/>
  <c r="T1689" i="1"/>
  <c r="S1689" i="1"/>
  <c r="W1688" i="1"/>
  <c r="V1688" i="1"/>
  <c r="U1688" i="1"/>
  <c r="T1688" i="1"/>
  <c r="S1688" i="1"/>
  <c r="W1687" i="1"/>
  <c r="V1687" i="1"/>
  <c r="U1687" i="1"/>
  <c r="T1687" i="1"/>
  <c r="S1687" i="1"/>
  <c r="W1686" i="1"/>
  <c r="V1686" i="1"/>
  <c r="U1686" i="1"/>
  <c r="T1686" i="1"/>
  <c r="S1686" i="1"/>
  <c r="W1685" i="1"/>
  <c r="V1685" i="1"/>
  <c r="U1685" i="1"/>
  <c r="T1685" i="1"/>
  <c r="S1685" i="1"/>
  <c r="W1684" i="1"/>
  <c r="V1684" i="1"/>
  <c r="U1684" i="1"/>
  <c r="T1684" i="1"/>
  <c r="S1684" i="1"/>
  <c r="W1683" i="1"/>
  <c r="V1683" i="1"/>
  <c r="U1683" i="1"/>
  <c r="T1683" i="1"/>
  <c r="S1683" i="1"/>
  <c r="W1682" i="1"/>
  <c r="V1682" i="1"/>
  <c r="U1682" i="1"/>
  <c r="T1682" i="1"/>
  <c r="S1682" i="1"/>
  <c r="W1681" i="1"/>
  <c r="V1681" i="1"/>
  <c r="U1681" i="1"/>
  <c r="T1681" i="1"/>
  <c r="S1681" i="1"/>
  <c r="W1680" i="1"/>
  <c r="V1680" i="1"/>
  <c r="U1680" i="1"/>
  <c r="T1680" i="1"/>
  <c r="S1680" i="1"/>
  <c r="W1679" i="1"/>
  <c r="V1679" i="1"/>
  <c r="U1679" i="1"/>
  <c r="T1679" i="1"/>
  <c r="S1679" i="1"/>
  <c r="W1678" i="1"/>
  <c r="V1678" i="1"/>
  <c r="U1678" i="1"/>
  <c r="T1678" i="1"/>
  <c r="S1678" i="1"/>
  <c r="W1677" i="1"/>
  <c r="V1677" i="1"/>
  <c r="U1677" i="1"/>
  <c r="T1677" i="1"/>
  <c r="S1677" i="1"/>
  <c r="W1676" i="1"/>
  <c r="V1676" i="1"/>
  <c r="U1676" i="1"/>
  <c r="T1676" i="1"/>
  <c r="S1676" i="1"/>
  <c r="W1675" i="1"/>
  <c r="V1675" i="1"/>
  <c r="U1675" i="1"/>
  <c r="T1675" i="1"/>
  <c r="S1675" i="1"/>
  <c r="W1674" i="1"/>
  <c r="V1674" i="1"/>
  <c r="U1674" i="1"/>
  <c r="T1674" i="1"/>
  <c r="S1674" i="1"/>
  <c r="W1673" i="1"/>
  <c r="V1673" i="1"/>
  <c r="U1673" i="1"/>
  <c r="T1673" i="1"/>
  <c r="S1673" i="1"/>
  <c r="W1672" i="1"/>
  <c r="V1672" i="1"/>
  <c r="U1672" i="1"/>
  <c r="T1672" i="1"/>
  <c r="S1672" i="1"/>
  <c r="W1671" i="1"/>
  <c r="V1671" i="1"/>
  <c r="U1671" i="1"/>
  <c r="T1671" i="1"/>
  <c r="S1671" i="1"/>
  <c r="W1670" i="1"/>
  <c r="V1670" i="1"/>
  <c r="U1670" i="1"/>
  <c r="T1670" i="1"/>
  <c r="S1670" i="1"/>
  <c r="W1669" i="1"/>
  <c r="V1669" i="1"/>
  <c r="U1669" i="1"/>
  <c r="T1669" i="1"/>
  <c r="S1669" i="1"/>
  <c r="W1668" i="1"/>
  <c r="V1668" i="1"/>
  <c r="U1668" i="1"/>
  <c r="T1668" i="1"/>
  <c r="S1668" i="1"/>
  <c r="W1667" i="1"/>
  <c r="V1667" i="1"/>
  <c r="U1667" i="1"/>
  <c r="T1667" i="1"/>
  <c r="S1667" i="1"/>
  <c r="W1666" i="1"/>
  <c r="V1666" i="1"/>
  <c r="U1666" i="1"/>
  <c r="T1666" i="1"/>
  <c r="S1666" i="1"/>
  <c r="W1665" i="1"/>
  <c r="V1665" i="1"/>
  <c r="U1665" i="1"/>
  <c r="T1665" i="1"/>
  <c r="S1665" i="1"/>
  <c r="W1664" i="1"/>
  <c r="V1664" i="1"/>
  <c r="U1664" i="1"/>
  <c r="T1664" i="1"/>
  <c r="S1664" i="1"/>
  <c r="W1663" i="1"/>
  <c r="V1663" i="1"/>
  <c r="U1663" i="1"/>
  <c r="T1663" i="1"/>
  <c r="S1663" i="1"/>
  <c r="W1662" i="1"/>
  <c r="V1662" i="1"/>
  <c r="U1662" i="1"/>
  <c r="T1662" i="1"/>
  <c r="S1662" i="1"/>
  <c r="W1661" i="1"/>
  <c r="V1661" i="1"/>
  <c r="U1661" i="1"/>
  <c r="T1661" i="1"/>
  <c r="S1661" i="1"/>
  <c r="W1660" i="1"/>
  <c r="V1660" i="1"/>
  <c r="U1660" i="1"/>
  <c r="T1660" i="1"/>
  <c r="S1660" i="1"/>
  <c r="W1659" i="1"/>
  <c r="V1659" i="1"/>
  <c r="U1659" i="1"/>
  <c r="T1659" i="1"/>
  <c r="S1659" i="1"/>
  <c r="W1658" i="1"/>
  <c r="V1658" i="1"/>
  <c r="U1658" i="1"/>
  <c r="T1658" i="1"/>
  <c r="S1658" i="1"/>
  <c r="W1657" i="1"/>
  <c r="V1657" i="1"/>
  <c r="U1657" i="1"/>
  <c r="T1657" i="1"/>
  <c r="S1657" i="1"/>
  <c r="W1656" i="1"/>
  <c r="V1656" i="1"/>
  <c r="U1656" i="1"/>
  <c r="T1656" i="1"/>
  <c r="S1656" i="1"/>
  <c r="W1655" i="1"/>
  <c r="V1655" i="1"/>
  <c r="U1655" i="1"/>
  <c r="T1655" i="1"/>
  <c r="S1655" i="1"/>
  <c r="W1654" i="1"/>
  <c r="V1654" i="1"/>
  <c r="U1654" i="1"/>
  <c r="T1654" i="1"/>
  <c r="S1654" i="1"/>
  <c r="W1653" i="1"/>
  <c r="V1653" i="1"/>
  <c r="U1653" i="1"/>
  <c r="T1653" i="1"/>
  <c r="S1653" i="1"/>
  <c r="W1652" i="1"/>
  <c r="V1652" i="1"/>
  <c r="U1652" i="1"/>
  <c r="T1652" i="1"/>
  <c r="S1652" i="1"/>
  <c r="W1651" i="1"/>
  <c r="V1651" i="1"/>
  <c r="U1651" i="1"/>
  <c r="T1651" i="1"/>
  <c r="S1651" i="1"/>
  <c r="W1650" i="1"/>
  <c r="V1650" i="1"/>
  <c r="U1650" i="1"/>
  <c r="T1650" i="1"/>
  <c r="S1650" i="1"/>
  <c r="W1649" i="1"/>
  <c r="V1649" i="1"/>
  <c r="U1649" i="1"/>
  <c r="T1649" i="1"/>
  <c r="S1649" i="1"/>
  <c r="W1648" i="1"/>
  <c r="V1648" i="1"/>
  <c r="U1648" i="1"/>
  <c r="T1648" i="1"/>
  <c r="S1648" i="1"/>
  <c r="W1647" i="1"/>
  <c r="V1647" i="1"/>
  <c r="U1647" i="1"/>
  <c r="T1647" i="1"/>
  <c r="S1647" i="1"/>
  <c r="W1646" i="1"/>
  <c r="V1646" i="1"/>
  <c r="U1646" i="1"/>
  <c r="T1646" i="1"/>
  <c r="S1646" i="1"/>
  <c r="W1645" i="1"/>
  <c r="V1645" i="1"/>
  <c r="U1645" i="1"/>
  <c r="T1645" i="1"/>
  <c r="S1645" i="1"/>
  <c r="W1644" i="1"/>
  <c r="V1644" i="1"/>
  <c r="U1644" i="1"/>
  <c r="T1644" i="1"/>
  <c r="S1644" i="1"/>
  <c r="W1643" i="1"/>
  <c r="V1643" i="1"/>
  <c r="U1643" i="1"/>
  <c r="T1643" i="1"/>
  <c r="S1643" i="1"/>
  <c r="W1642" i="1"/>
  <c r="V1642" i="1"/>
  <c r="U1642" i="1"/>
  <c r="T1642" i="1"/>
  <c r="S1642" i="1"/>
  <c r="W1641" i="1"/>
  <c r="V1641" i="1"/>
  <c r="U1641" i="1"/>
  <c r="T1641" i="1"/>
  <c r="S1641" i="1"/>
  <c r="W1640" i="1"/>
  <c r="V1640" i="1"/>
  <c r="U1640" i="1"/>
  <c r="T1640" i="1"/>
  <c r="S1640" i="1"/>
  <c r="W1639" i="1"/>
  <c r="V1639" i="1"/>
  <c r="U1639" i="1"/>
  <c r="T1639" i="1"/>
  <c r="S1639" i="1"/>
  <c r="W1638" i="1"/>
  <c r="V1638" i="1"/>
  <c r="U1638" i="1"/>
  <c r="T1638" i="1"/>
  <c r="S1638" i="1"/>
  <c r="W1637" i="1"/>
  <c r="V1637" i="1"/>
  <c r="U1637" i="1"/>
  <c r="T1637" i="1"/>
  <c r="S1637" i="1"/>
  <c r="W1636" i="1"/>
  <c r="V1636" i="1"/>
  <c r="U1636" i="1"/>
  <c r="T1636" i="1"/>
  <c r="S1636" i="1"/>
  <c r="W1635" i="1"/>
  <c r="V1635" i="1"/>
  <c r="U1635" i="1"/>
  <c r="T1635" i="1"/>
  <c r="S1635" i="1"/>
  <c r="W1634" i="1"/>
  <c r="V1634" i="1"/>
  <c r="U1634" i="1"/>
  <c r="T1634" i="1"/>
  <c r="S1634" i="1"/>
  <c r="W1633" i="1"/>
  <c r="V1633" i="1"/>
  <c r="U1633" i="1"/>
  <c r="T1633" i="1"/>
  <c r="S1633" i="1"/>
  <c r="W1632" i="1"/>
  <c r="V1632" i="1"/>
  <c r="U1632" i="1"/>
  <c r="T1632" i="1"/>
  <c r="S1632" i="1"/>
  <c r="W1631" i="1"/>
  <c r="V1631" i="1"/>
  <c r="U1631" i="1"/>
  <c r="T1631" i="1"/>
  <c r="S1631" i="1"/>
  <c r="W1630" i="1"/>
  <c r="V1630" i="1"/>
  <c r="U1630" i="1"/>
  <c r="T1630" i="1"/>
  <c r="S1630" i="1"/>
  <c r="W1629" i="1"/>
  <c r="V1629" i="1"/>
  <c r="U1629" i="1"/>
  <c r="T1629" i="1"/>
  <c r="S1629" i="1"/>
  <c r="W1628" i="1"/>
  <c r="V1628" i="1"/>
  <c r="U1628" i="1"/>
  <c r="T1628" i="1"/>
  <c r="S1628" i="1"/>
  <c r="W1627" i="1"/>
  <c r="V1627" i="1"/>
  <c r="U1627" i="1"/>
  <c r="T1627" i="1"/>
  <c r="S1627" i="1"/>
  <c r="W1626" i="1"/>
  <c r="V1626" i="1"/>
  <c r="U1626" i="1"/>
  <c r="T1626" i="1"/>
  <c r="S1626" i="1"/>
  <c r="W1625" i="1"/>
  <c r="V1625" i="1"/>
  <c r="U1625" i="1"/>
  <c r="T1625" i="1"/>
  <c r="S1625" i="1"/>
  <c r="W1624" i="1"/>
  <c r="V1624" i="1"/>
  <c r="U1624" i="1"/>
  <c r="T1624" i="1"/>
  <c r="S1624" i="1"/>
  <c r="W1623" i="1"/>
  <c r="V1623" i="1"/>
  <c r="U1623" i="1"/>
  <c r="T1623" i="1"/>
  <c r="S1623" i="1"/>
  <c r="W1622" i="1"/>
  <c r="V1622" i="1"/>
  <c r="U1622" i="1"/>
  <c r="T1622" i="1"/>
  <c r="S1622" i="1"/>
  <c r="W1621" i="1"/>
  <c r="V1621" i="1"/>
  <c r="U1621" i="1"/>
  <c r="T1621" i="1"/>
  <c r="S1621" i="1"/>
  <c r="W1620" i="1"/>
  <c r="V1620" i="1"/>
  <c r="U1620" i="1"/>
  <c r="T1620" i="1"/>
  <c r="S1620" i="1"/>
  <c r="W1619" i="1"/>
  <c r="V1619" i="1"/>
  <c r="U1619" i="1"/>
  <c r="T1619" i="1"/>
  <c r="S1619" i="1"/>
  <c r="W1618" i="1"/>
  <c r="V1618" i="1"/>
  <c r="U1618" i="1"/>
  <c r="T1618" i="1"/>
  <c r="S1618" i="1"/>
  <c r="W1617" i="1"/>
  <c r="V1617" i="1"/>
  <c r="U1617" i="1"/>
  <c r="T1617" i="1"/>
  <c r="S1617" i="1"/>
  <c r="W1616" i="1"/>
  <c r="V1616" i="1"/>
  <c r="U1616" i="1"/>
  <c r="T1616" i="1"/>
  <c r="S1616" i="1"/>
  <c r="W1615" i="1"/>
  <c r="V1615" i="1"/>
  <c r="U1615" i="1"/>
  <c r="T1615" i="1"/>
  <c r="S1615" i="1"/>
  <c r="W1614" i="1"/>
  <c r="V1614" i="1"/>
  <c r="U1614" i="1"/>
  <c r="T1614" i="1"/>
  <c r="S1614" i="1"/>
  <c r="W1613" i="1"/>
  <c r="V1613" i="1"/>
  <c r="U1613" i="1"/>
  <c r="T1613" i="1"/>
  <c r="S1613" i="1"/>
  <c r="W1612" i="1"/>
  <c r="V1612" i="1"/>
  <c r="U1612" i="1"/>
  <c r="T1612" i="1"/>
  <c r="S1612" i="1"/>
  <c r="W1611" i="1"/>
  <c r="V1611" i="1"/>
  <c r="U1611" i="1"/>
  <c r="T1611" i="1"/>
  <c r="S1611" i="1"/>
  <c r="W1610" i="1"/>
  <c r="V1610" i="1"/>
  <c r="U1610" i="1"/>
  <c r="T1610" i="1"/>
  <c r="S1610" i="1"/>
  <c r="W1609" i="1"/>
  <c r="V1609" i="1"/>
  <c r="U1609" i="1"/>
  <c r="T1609" i="1"/>
  <c r="S1609" i="1"/>
  <c r="W1608" i="1"/>
  <c r="V1608" i="1"/>
  <c r="U1608" i="1"/>
  <c r="T1608" i="1"/>
  <c r="S1608" i="1"/>
  <c r="W1607" i="1"/>
  <c r="V1607" i="1"/>
  <c r="U1607" i="1"/>
  <c r="T1607" i="1"/>
  <c r="S1607" i="1"/>
  <c r="W1606" i="1"/>
  <c r="V1606" i="1"/>
  <c r="U1606" i="1"/>
  <c r="T1606" i="1"/>
  <c r="S1606" i="1"/>
  <c r="W1605" i="1"/>
  <c r="V1605" i="1"/>
  <c r="U1605" i="1"/>
  <c r="T1605" i="1"/>
  <c r="S1605" i="1"/>
  <c r="W1604" i="1"/>
  <c r="V1604" i="1"/>
  <c r="U1604" i="1"/>
  <c r="T1604" i="1"/>
  <c r="S1604" i="1"/>
  <c r="W1603" i="1"/>
  <c r="V1603" i="1"/>
  <c r="U1603" i="1"/>
  <c r="T1603" i="1"/>
  <c r="S1603" i="1"/>
  <c r="W1602" i="1"/>
  <c r="V1602" i="1"/>
  <c r="U1602" i="1"/>
  <c r="T1602" i="1"/>
  <c r="S1602" i="1"/>
  <c r="W1601" i="1"/>
  <c r="V1601" i="1"/>
  <c r="U1601" i="1"/>
  <c r="T1601" i="1"/>
  <c r="S1601" i="1"/>
  <c r="W1600" i="1"/>
  <c r="V1600" i="1"/>
  <c r="U1600" i="1"/>
  <c r="T1600" i="1"/>
  <c r="S1600" i="1"/>
  <c r="W1599" i="1"/>
  <c r="V1599" i="1"/>
  <c r="U1599" i="1"/>
  <c r="T1599" i="1"/>
  <c r="S1599" i="1"/>
  <c r="W1598" i="1"/>
  <c r="V1598" i="1"/>
  <c r="U1598" i="1"/>
  <c r="T1598" i="1"/>
  <c r="S1598" i="1"/>
  <c r="W1597" i="1"/>
  <c r="V1597" i="1"/>
  <c r="U1597" i="1"/>
  <c r="T1597" i="1"/>
  <c r="S1597" i="1"/>
  <c r="W1596" i="1"/>
  <c r="V1596" i="1"/>
  <c r="U1596" i="1"/>
  <c r="T1596" i="1"/>
  <c r="S1596" i="1"/>
  <c r="W1595" i="1"/>
  <c r="V1595" i="1"/>
  <c r="U1595" i="1"/>
  <c r="T1595" i="1"/>
  <c r="S1595" i="1"/>
  <c r="W1594" i="1"/>
  <c r="V1594" i="1"/>
  <c r="U1594" i="1"/>
  <c r="T1594" i="1"/>
  <c r="S1594" i="1"/>
  <c r="W1593" i="1"/>
  <c r="V1593" i="1"/>
  <c r="U1593" i="1"/>
  <c r="T1593" i="1"/>
  <c r="S1593" i="1"/>
  <c r="W1592" i="1"/>
  <c r="V1592" i="1"/>
  <c r="U1592" i="1"/>
  <c r="T1592" i="1"/>
  <c r="S1592" i="1"/>
  <c r="W1591" i="1"/>
  <c r="V1591" i="1"/>
  <c r="U1591" i="1"/>
  <c r="T1591" i="1"/>
  <c r="S1591" i="1"/>
  <c r="W1590" i="1"/>
  <c r="V1590" i="1"/>
  <c r="U1590" i="1"/>
  <c r="T1590" i="1"/>
  <c r="S1590" i="1"/>
  <c r="W1589" i="1"/>
  <c r="V1589" i="1"/>
  <c r="U1589" i="1"/>
  <c r="T1589" i="1"/>
  <c r="S1589" i="1"/>
  <c r="W1588" i="1"/>
  <c r="V1588" i="1"/>
  <c r="U1588" i="1"/>
  <c r="T1588" i="1"/>
  <c r="S1588" i="1"/>
  <c r="W1587" i="1"/>
  <c r="V1587" i="1"/>
  <c r="U1587" i="1"/>
  <c r="T1587" i="1"/>
  <c r="S1587" i="1"/>
  <c r="W1586" i="1"/>
  <c r="V1586" i="1"/>
  <c r="U1586" i="1"/>
  <c r="T1586" i="1"/>
  <c r="S1586" i="1"/>
  <c r="W1585" i="1"/>
  <c r="V1585" i="1"/>
  <c r="U1585" i="1"/>
  <c r="T1585" i="1"/>
  <c r="S1585" i="1"/>
  <c r="W1584" i="1"/>
  <c r="V1584" i="1"/>
  <c r="U1584" i="1"/>
  <c r="T1584" i="1"/>
  <c r="S1584" i="1"/>
  <c r="W1583" i="1"/>
  <c r="V1583" i="1"/>
  <c r="U1583" i="1"/>
  <c r="T1583" i="1"/>
  <c r="S1583" i="1"/>
  <c r="W1582" i="1"/>
  <c r="V1582" i="1"/>
  <c r="U1582" i="1"/>
  <c r="T1582" i="1"/>
  <c r="S1582" i="1"/>
  <c r="W1581" i="1"/>
  <c r="V1581" i="1"/>
  <c r="U1581" i="1"/>
  <c r="T1581" i="1"/>
  <c r="S1581" i="1"/>
  <c r="W1580" i="1"/>
  <c r="V1580" i="1"/>
  <c r="U1580" i="1"/>
  <c r="T1580" i="1"/>
  <c r="S1580" i="1"/>
  <c r="W1579" i="1"/>
  <c r="V1579" i="1"/>
  <c r="U1579" i="1"/>
  <c r="T1579" i="1"/>
  <c r="S1579" i="1"/>
  <c r="W1578" i="1"/>
  <c r="V1578" i="1"/>
  <c r="U1578" i="1"/>
  <c r="T1578" i="1"/>
  <c r="S1578" i="1"/>
  <c r="W1577" i="1"/>
  <c r="V1577" i="1"/>
  <c r="U1577" i="1"/>
  <c r="T1577" i="1"/>
  <c r="S1577" i="1"/>
  <c r="W1576" i="1"/>
  <c r="V1576" i="1"/>
  <c r="U1576" i="1"/>
  <c r="T1576" i="1"/>
  <c r="S1576" i="1"/>
  <c r="W1575" i="1"/>
  <c r="V1575" i="1"/>
  <c r="U1575" i="1"/>
  <c r="T1575" i="1"/>
  <c r="S1575" i="1"/>
  <c r="W1574" i="1"/>
  <c r="V1574" i="1"/>
  <c r="U1574" i="1"/>
  <c r="T1574" i="1"/>
  <c r="S1574" i="1"/>
  <c r="W1573" i="1"/>
  <c r="V1573" i="1"/>
  <c r="U1573" i="1"/>
  <c r="T1573" i="1"/>
  <c r="S1573" i="1"/>
  <c r="W1572" i="1"/>
  <c r="V1572" i="1"/>
  <c r="U1572" i="1"/>
  <c r="T1572" i="1"/>
  <c r="S1572" i="1"/>
  <c r="W1571" i="1"/>
  <c r="V1571" i="1"/>
  <c r="U1571" i="1"/>
  <c r="T1571" i="1"/>
  <c r="S1571" i="1"/>
  <c r="W1570" i="1"/>
  <c r="V1570" i="1"/>
  <c r="U1570" i="1"/>
  <c r="T1570" i="1"/>
  <c r="S1570" i="1"/>
  <c r="W1569" i="1"/>
  <c r="V1569" i="1"/>
  <c r="U1569" i="1"/>
  <c r="T1569" i="1"/>
  <c r="S1569" i="1"/>
  <c r="W1568" i="1"/>
  <c r="V1568" i="1"/>
  <c r="U1568" i="1"/>
  <c r="T1568" i="1"/>
  <c r="S1568" i="1"/>
  <c r="W1567" i="1"/>
  <c r="V1567" i="1"/>
  <c r="U1567" i="1"/>
  <c r="T1567" i="1"/>
  <c r="S1567" i="1"/>
  <c r="W1566" i="1"/>
  <c r="V1566" i="1"/>
  <c r="U1566" i="1"/>
  <c r="T1566" i="1"/>
  <c r="S1566" i="1"/>
  <c r="W1565" i="1"/>
  <c r="V1565" i="1"/>
  <c r="U1565" i="1"/>
  <c r="T1565" i="1"/>
  <c r="S1565" i="1"/>
  <c r="W1564" i="1"/>
  <c r="V1564" i="1"/>
  <c r="U1564" i="1"/>
  <c r="T1564" i="1"/>
  <c r="S1564" i="1"/>
  <c r="W1563" i="1"/>
  <c r="V1563" i="1"/>
  <c r="U1563" i="1"/>
  <c r="T1563" i="1"/>
  <c r="S1563" i="1"/>
  <c r="W1562" i="1"/>
  <c r="V1562" i="1"/>
  <c r="U1562" i="1"/>
  <c r="T1562" i="1"/>
  <c r="S1562" i="1"/>
  <c r="W1561" i="1"/>
  <c r="V1561" i="1"/>
  <c r="U1561" i="1"/>
  <c r="T1561" i="1"/>
  <c r="S1561" i="1"/>
  <c r="W1560" i="1"/>
  <c r="V1560" i="1"/>
  <c r="U1560" i="1"/>
  <c r="T1560" i="1"/>
  <c r="S1560" i="1"/>
  <c r="W1559" i="1"/>
  <c r="V1559" i="1"/>
  <c r="U1559" i="1"/>
  <c r="T1559" i="1"/>
  <c r="S1559" i="1"/>
  <c r="W1558" i="1"/>
  <c r="V1558" i="1"/>
  <c r="U1558" i="1"/>
  <c r="T1558" i="1"/>
  <c r="S1558" i="1"/>
  <c r="W1557" i="1"/>
  <c r="V1557" i="1"/>
  <c r="U1557" i="1"/>
  <c r="T1557" i="1"/>
  <c r="S1557" i="1"/>
  <c r="W1556" i="1"/>
  <c r="V1556" i="1"/>
  <c r="U1556" i="1"/>
  <c r="T1556" i="1"/>
  <c r="S1556" i="1"/>
  <c r="W1555" i="1"/>
  <c r="V1555" i="1"/>
  <c r="U1555" i="1"/>
  <c r="T1555" i="1"/>
  <c r="S1555" i="1"/>
  <c r="W1554" i="1"/>
  <c r="V1554" i="1"/>
  <c r="U1554" i="1"/>
  <c r="T1554" i="1"/>
  <c r="S1554" i="1"/>
  <c r="W1553" i="1"/>
  <c r="V1553" i="1"/>
  <c r="U1553" i="1"/>
  <c r="T1553" i="1"/>
  <c r="S1553" i="1"/>
  <c r="W1552" i="1"/>
  <c r="V1552" i="1"/>
  <c r="U1552" i="1"/>
  <c r="T1552" i="1"/>
  <c r="S1552" i="1"/>
  <c r="W1551" i="1"/>
  <c r="V1551" i="1"/>
  <c r="U1551" i="1"/>
  <c r="T1551" i="1"/>
  <c r="S1551" i="1"/>
  <c r="W1550" i="1"/>
  <c r="V1550" i="1"/>
  <c r="U1550" i="1"/>
  <c r="T1550" i="1"/>
  <c r="S1550" i="1"/>
  <c r="W1549" i="1"/>
  <c r="V1549" i="1"/>
  <c r="U1549" i="1"/>
  <c r="T1549" i="1"/>
  <c r="S1549" i="1"/>
  <c r="W1548" i="1"/>
  <c r="V1548" i="1"/>
  <c r="U1548" i="1"/>
  <c r="T1548" i="1"/>
  <c r="S1548" i="1"/>
  <c r="W1547" i="1"/>
  <c r="V1547" i="1"/>
  <c r="U1547" i="1"/>
  <c r="T1547" i="1"/>
  <c r="S1547" i="1"/>
  <c r="W1546" i="1"/>
  <c r="V1546" i="1"/>
  <c r="U1546" i="1"/>
  <c r="T1546" i="1"/>
  <c r="S1546" i="1"/>
  <c r="W1545" i="1"/>
  <c r="V1545" i="1"/>
  <c r="U1545" i="1"/>
  <c r="T1545" i="1"/>
  <c r="S1545" i="1"/>
  <c r="W1544" i="1"/>
  <c r="V1544" i="1"/>
  <c r="U1544" i="1"/>
  <c r="T1544" i="1"/>
  <c r="S1544" i="1"/>
  <c r="W1543" i="1"/>
  <c r="V1543" i="1"/>
  <c r="U1543" i="1"/>
  <c r="T1543" i="1"/>
  <c r="S1543" i="1"/>
  <c r="W1542" i="1"/>
  <c r="V1542" i="1"/>
  <c r="U1542" i="1"/>
  <c r="T1542" i="1"/>
  <c r="S1542" i="1"/>
  <c r="W1541" i="1"/>
  <c r="V1541" i="1"/>
  <c r="U1541" i="1"/>
  <c r="T1541" i="1"/>
  <c r="S1541" i="1"/>
  <c r="W1540" i="1"/>
  <c r="V1540" i="1"/>
  <c r="U1540" i="1"/>
  <c r="T1540" i="1"/>
  <c r="S1540" i="1"/>
  <c r="W1539" i="1"/>
  <c r="V1539" i="1"/>
  <c r="U1539" i="1"/>
  <c r="T1539" i="1"/>
  <c r="S1539" i="1"/>
  <c r="W1538" i="1"/>
  <c r="V1538" i="1"/>
  <c r="U1538" i="1"/>
  <c r="T1538" i="1"/>
  <c r="S1538" i="1"/>
  <c r="W1537" i="1"/>
  <c r="V1537" i="1"/>
  <c r="U1537" i="1"/>
  <c r="T1537" i="1"/>
  <c r="S1537" i="1"/>
  <c r="W1536" i="1"/>
  <c r="V1536" i="1"/>
  <c r="U1536" i="1"/>
  <c r="T1536" i="1"/>
  <c r="S1536" i="1"/>
  <c r="W1535" i="1"/>
  <c r="V1535" i="1"/>
  <c r="U1535" i="1"/>
  <c r="T1535" i="1"/>
  <c r="S1535" i="1"/>
  <c r="W1534" i="1"/>
  <c r="V1534" i="1"/>
  <c r="U1534" i="1"/>
  <c r="T1534" i="1"/>
  <c r="S1534" i="1"/>
  <c r="W1533" i="1"/>
  <c r="V1533" i="1"/>
  <c r="U1533" i="1"/>
  <c r="T1533" i="1"/>
  <c r="S1533" i="1"/>
  <c r="W1532" i="1"/>
  <c r="V1532" i="1"/>
  <c r="U1532" i="1"/>
  <c r="T1532" i="1"/>
  <c r="S1532" i="1"/>
  <c r="W1531" i="1"/>
  <c r="V1531" i="1"/>
  <c r="U1531" i="1"/>
  <c r="T1531" i="1"/>
  <c r="S1531" i="1"/>
  <c r="W1530" i="1"/>
  <c r="V1530" i="1"/>
  <c r="U1530" i="1"/>
  <c r="T1530" i="1"/>
  <c r="S1530" i="1"/>
  <c r="W1529" i="1"/>
  <c r="V1529" i="1"/>
  <c r="U1529" i="1"/>
  <c r="T1529" i="1"/>
  <c r="S1529" i="1"/>
  <c r="W1528" i="1"/>
  <c r="V1528" i="1"/>
  <c r="U1528" i="1"/>
  <c r="T1528" i="1"/>
  <c r="S1528" i="1"/>
  <c r="W1527" i="1"/>
  <c r="V1527" i="1"/>
  <c r="U1527" i="1"/>
  <c r="T1527" i="1"/>
  <c r="S1527" i="1"/>
  <c r="W1526" i="1"/>
  <c r="V1526" i="1"/>
  <c r="U1526" i="1"/>
  <c r="T1526" i="1"/>
  <c r="S1526" i="1"/>
  <c r="W1525" i="1"/>
  <c r="V1525" i="1"/>
  <c r="U1525" i="1"/>
  <c r="T1525" i="1"/>
  <c r="S1525" i="1"/>
  <c r="W1524" i="1"/>
  <c r="V1524" i="1"/>
  <c r="U1524" i="1"/>
  <c r="T1524" i="1"/>
  <c r="S1524" i="1"/>
  <c r="W1523" i="1"/>
  <c r="V1523" i="1"/>
  <c r="U1523" i="1"/>
  <c r="T1523" i="1"/>
  <c r="S1523" i="1"/>
  <c r="W1522" i="1"/>
  <c r="V1522" i="1"/>
  <c r="U1522" i="1"/>
  <c r="T1522" i="1"/>
  <c r="S1522" i="1"/>
  <c r="W1521" i="1"/>
  <c r="V1521" i="1"/>
  <c r="U1521" i="1"/>
  <c r="T1521" i="1"/>
  <c r="S1521" i="1"/>
  <c r="W1520" i="1"/>
  <c r="V1520" i="1"/>
  <c r="U1520" i="1"/>
  <c r="T1520" i="1"/>
  <c r="S1520" i="1"/>
  <c r="W1519" i="1"/>
  <c r="V1519" i="1"/>
  <c r="U1519" i="1"/>
  <c r="T1519" i="1"/>
  <c r="S1519" i="1"/>
  <c r="W1518" i="1"/>
  <c r="V1518" i="1"/>
  <c r="U1518" i="1"/>
  <c r="T1518" i="1"/>
  <c r="S1518" i="1"/>
  <c r="W1517" i="1"/>
  <c r="V1517" i="1"/>
  <c r="U1517" i="1"/>
  <c r="T1517" i="1"/>
  <c r="S1517" i="1"/>
  <c r="W1516" i="1"/>
  <c r="V1516" i="1"/>
  <c r="U1516" i="1"/>
  <c r="T1516" i="1"/>
  <c r="S1516" i="1"/>
  <c r="W1515" i="1"/>
  <c r="V1515" i="1"/>
  <c r="U1515" i="1"/>
  <c r="T1515" i="1"/>
  <c r="S1515" i="1"/>
  <c r="W1514" i="1"/>
  <c r="V1514" i="1"/>
  <c r="U1514" i="1"/>
  <c r="T1514" i="1"/>
  <c r="S1514" i="1"/>
  <c r="W1513" i="1"/>
  <c r="V1513" i="1"/>
  <c r="U1513" i="1"/>
  <c r="T1513" i="1"/>
  <c r="S1513" i="1"/>
  <c r="W1512" i="1"/>
  <c r="V1512" i="1"/>
  <c r="U1512" i="1"/>
  <c r="T1512" i="1"/>
  <c r="S1512" i="1"/>
  <c r="W1511" i="1"/>
  <c r="V1511" i="1"/>
  <c r="U1511" i="1"/>
  <c r="T1511" i="1"/>
  <c r="S1511" i="1"/>
  <c r="W1510" i="1"/>
  <c r="V1510" i="1"/>
  <c r="U1510" i="1"/>
  <c r="T1510" i="1"/>
  <c r="S1510" i="1"/>
  <c r="W1509" i="1"/>
  <c r="V1509" i="1"/>
  <c r="U1509" i="1"/>
  <c r="T1509" i="1"/>
  <c r="S1509" i="1"/>
  <c r="W1508" i="1"/>
  <c r="V1508" i="1"/>
  <c r="U1508" i="1"/>
  <c r="T1508" i="1"/>
  <c r="S1508" i="1"/>
  <c r="W1507" i="1"/>
  <c r="V1507" i="1"/>
  <c r="U1507" i="1"/>
  <c r="T1507" i="1"/>
  <c r="S1507" i="1"/>
  <c r="W1506" i="1"/>
  <c r="V1506" i="1"/>
  <c r="U1506" i="1"/>
  <c r="T1506" i="1"/>
  <c r="S1506" i="1"/>
  <c r="W1505" i="1"/>
  <c r="V1505" i="1"/>
  <c r="U1505" i="1"/>
  <c r="T1505" i="1"/>
  <c r="S1505" i="1"/>
  <c r="W1504" i="1"/>
  <c r="V1504" i="1"/>
  <c r="U1504" i="1"/>
  <c r="T1504" i="1"/>
  <c r="S1504" i="1"/>
  <c r="W1503" i="1"/>
  <c r="V1503" i="1"/>
  <c r="U1503" i="1"/>
  <c r="T1503" i="1"/>
  <c r="S1503" i="1"/>
  <c r="W1502" i="1"/>
  <c r="V1502" i="1"/>
  <c r="U1502" i="1"/>
  <c r="T1502" i="1"/>
  <c r="S1502" i="1"/>
  <c r="W1501" i="1"/>
  <c r="V1501" i="1"/>
  <c r="U1501" i="1"/>
  <c r="T1501" i="1"/>
  <c r="S1501" i="1"/>
  <c r="W1500" i="1"/>
  <c r="V1500" i="1"/>
  <c r="U1500" i="1"/>
  <c r="T1500" i="1"/>
  <c r="S1500" i="1"/>
  <c r="W1499" i="1"/>
  <c r="V1499" i="1"/>
  <c r="U1499" i="1"/>
  <c r="T1499" i="1"/>
  <c r="S1499" i="1"/>
  <c r="W1498" i="1"/>
  <c r="V1498" i="1"/>
  <c r="U1498" i="1"/>
  <c r="T1498" i="1"/>
  <c r="S1498" i="1"/>
  <c r="W1497" i="1"/>
  <c r="V1497" i="1"/>
  <c r="U1497" i="1"/>
  <c r="T1497" i="1"/>
  <c r="S1497" i="1"/>
  <c r="W1496" i="1"/>
  <c r="V1496" i="1"/>
  <c r="U1496" i="1"/>
  <c r="T1496" i="1"/>
  <c r="S1496" i="1"/>
  <c r="W1495" i="1"/>
  <c r="V1495" i="1"/>
  <c r="U1495" i="1"/>
  <c r="T1495" i="1"/>
  <c r="S1495" i="1"/>
  <c r="W1494" i="1"/>
  <c r="V1494" i="1"/>
  <c r="U1494" i="1"/>
  <c r="T1494" i="1"/>
  <c r="S1494" i="1"/>
  <c r="W1493" i="1"/>
  <c r="V1493" i="1"/>
  <c r="U1493" i="1"/>
  <c r="T1493" i="1"/>
  <c r="S1493" i="1"/>
  <c r="W1492" i="1"/>
  <c r="V1492" i="1"/>
  <c r="U1492" i="1"/>
  <c r="T1492" i="1"/>
  <c r="S1492" i="1"/>
  <c r="W1491" i="1"/>
  <c r="V1491" i="1"/>
  <c r="U1491" i="1"/>
  <c r="T1491" i="1"/>
  <c r="S1491" i="1"/>
  <c r="W1490" i="1"/>
  <c r="V1490" i="1"/>
  <c r="U1490" i="1"/>
  <c r="T1490" i="1"/>
  <c r="S1490" i="1"/>
  <c r="W1489" i="1"/>
  <c r="V1489" i="1"/>
  <c r="U1489" i="1"/>
  <c r="T1489" i="1"/>
  <c r="S1489" i="1"/>
  <c r="W1488" i="1"/>
  <c r="V1488" i="1"/>
  <c r="U1488" i="1"/>
  <c r="T1488" i="1"/>
  <c r="S1488" i="1"/>
  <c r="W1487" i="1"/>
  <c r="V1487" i="1"/>
  <c r="U1487" i="1"/>
  <c r="T1487" i="1"/>
  <c r="S1487" i="1"/>
  <c r="W1486" i="1"/>
  <c r="V1486" i="1"/>
  <c r="U1486" i="1"/>
  <c r="T1486" i="1"/>
  <c r="S1486" i="1"/>
  <c r="W1485" i="1"/>
  <c r="V1485" i="1"/>
  <c r="U1485" i="1"/>
  <c r="T1485" i="1"/>
  <c r="S1485" i="1"/>
  <c r="W1484" i="1"/>
  <c r="V1484" i="1"/>
  <c r="U1484" i="1"/>
  <c r="T1484" i="1"/>
  <c r="S1484" i="1"/>
  <c r="W1483" i="1"/>
  <c r="V1483" i="1"/>
  <c r="U1483" i="1"/>
  <c r="T1483" i="1"/>
  <c r="S1483" i="1"/>
  <c r="W1482" i="1"/>
  <c r="V1482" i="1"/>
  <c r="U1482" i="1"/>
  <c r="T1482" i="1"/>
  <c r="S1482" i="1"/>
  <c r="W1481" i="1"/>
  <c r="V1481" i="1"/>
  <c r="U1481" i="1"/>
  <c r="T1481" i="1"/>
  <c r="S1481" i="1"/>
  <c r="W1480" i="1"/>
  <c r="V1480" i="1"/>
  <c r="U1480" i="1"/>
  <c r="T1480" i="1"/>
  <c r="S1480" i="1"/>
  <c r="W1479" i="1"/>
  <c r="V1479" i="1"/>
  <c r="U1479" i="1"/>
  <c r="T1479" i="1"/>
  <c r="S1479" i="1"/>
  <c r="W1478" i="1"/>
  <c r="V1478" i="1"/>
  <c r="U1478" i="1"/>
  <c r="T1478" i="1"/>
  <c r="S1478" i="1"/>
  <c r="W1477" i="1"/>
  <c r="V1477" i="1"/>
  <c r="U1477" i="1"/>
  <c r="T1477" i="1"/>
  <c r="S1477" i="1"/>
  <c r="W1476" i="1"/>
  <c r="V1476" i="1"/>
  <c r="U1476" i="1"/>
  <c r="T1476" i="1"/>
  <c r="S1476" i="1"/>
  <c r="W1475" i="1"/>
  <c r="V1475" i="1"/>
  <c r="U1475" i="1"/>
  <c r="T1475" i="1"/>
  <c r="S1475" i="1"/>
  <c r="W1474" i="1"/>
  <c r="V1474" i="1"/>
  <c r="U1474" i="1"/>
  <c r="T1474" i="1"/>
  <c r="S1474" i="1"/>
  <c r="W1473" i="1"/>
  <c r="V1473" i="1"/>
  <c r="U1473" i="1"/>
  <c r="T1473" i="1"/>
  <c r="S1473" i="1"/>
  <c r="W1472" i="1"/>
  <c r="V1472" i="1"/>
  <c r="U1472" i="1"/>
  <c r="T1472" i="1"/>
  <c r="S1472" i="1"/>
  <c r="W1471" i="1"/>
  <c r="V1471" i="1"/>
  <c r="U1471" i="1"/>
  <c r="T1471" i="1"/>
  <c r="S1471" i="1"/>
  <c r="W1470" i="1"/>
  <c r="V1470" i="1"/>
  <c r="U1470" i="1"/>
  <c r="T1470" i="1"/>
  <c r="S1470" i="1"/>
  <c r="W1469" i="1"/>
  <c r="V1469" i="1"/>
  <c r="U1469" i="1"/>
  <c r="T1469" i="1"/>
  <c r="S1469" i="1"/>
  <c r="W1468" i="1"/>
  <c r="V1468" i="1"/>
  <c r="U1468" i="1"/>
  <c r="T1468" i="1"/>
  <c r="S1468" i="1"/>
  <c r="W1467" i="1"/>
  <c r="V1467" i="1"/>
  <c r="U1467" i="1"/>
  <c r="T1467" i="1"/>
  <c r="S1467" i="1"/>
  <c r="W1466" i="1"/>
  <c r="V1466" i="1"/>
  <c r="U1466" i="1"/>
  <c r="T1466" i="1"/>
  <c r="S1466" i="1"/>
  <c r="W1465" i="1"/>
  <c r="V1465" i="1"/>
  <c r="U1465" i="1"/>
  <c r="T1465" i="1"/>
  <c r="S1465" i="1"/>
  <c r="W1464" i="1"/>
  <c r="V1464" i="1"/>
  <c r="U1464" i="1"/>
  <c r="T1464" i="1"/>
  <c r="S1464" i="1"/>
  <c r="W1463" i="1"/>
  <c r="V1463" i="1"/>
  <c r="U1463" i="1"/>
  <c r="T1463" i="1"/>
  <c r="S1463" i="1"/>
  <c r="W1462" i="1"/>
  <c r="V1462" i="1"/>
  <c r="U1462" i="1"/>
  <c r="T1462" i="1"/>
  <c r="S1462" i="1"/>
  <c r="W1461" i="1"/>
  <c r="V1461" i="1"/>
  <c r="U1461" i="1"/>
  <c r="T1461" i="1"/>
  <c r="S1461" i="1"/>
  <c r="W1460" i="1"/>
  <c r="V1460" i="1"/>
  <c r="U1460" i="1"/>
  <c r="T1460" i="1"/>
  <c r="S1460" i="1"/>
  <c r="W1459" i="1"/>
  <c r="V1459" i="1"/>
  <c r="U1459" i="1"/>
  <c r="T1459" i="1"/>
  <c r="S1459" i="1"/>
  <c r="W1458" i="1"/>
  <c r="V1458" i="1"/>
  <c r="U1458" i="1"/>
  <c r="T1458" i="1"/>
  <c r="S1458" i="1"/>
  <c r="W1457" i="1"/>
  <c r="V1457" i="1"/>
  <c r="U1457" i="1"/>
  <c r="T1457" i="1"/>
  <c r="S1457" i="1"/>
  <c r="W1456" i="1"/>
  <c r="V1456" i="1"/>
  <c r="U1456" i="1"/>
  <c r="T1456" i="1"/>
  <c r="S1456" i="1"/>
  <c r="W1455" i="1"/>
  <c r="V1455" i="1"/>
  <c r="U1455" i="1"/>
  <c r="T1455" i="1"/>
  <c r="S1455" i="1"/>
  <c r="W1454" i="1"/>
  <c r="V1454" i="1"/>
  <c r="U1454" i="1"/>
  <c r="T1454" i="1"/>
  <c r="S1454" i="1"/>
  <c r="W1453" i="1"/>
  <c r="V1453" i="1"/>
  <c r="U1453" i="1"/>
  <c r="T1453" i="1"/>
  <c r="S1453" i="1"/>
  <c r="W1452" i="1"/>
  <c r="V1452" i="1"/>
  <c r="U1452" i="1"/>
  <c r="T1452" i="1"/>
  <c r="S1452" i="1"/>
  <c r="W1451" i="1"/>
  <c r="V1451" i="1"/>
  <c r="U1451" i="1"/>
  <c r="T1451" i="1"/>
  <c r="S1451" i="1"/>
  <c r="W1450" i="1"/>
  <c r="V1450" i="1"/>
  <c r="U1450" i="1"/>
  <c r="T1450" i="1"/>
  <c r="S1450" i="1"/>
  <c r="W1449" i="1"/>
  <c r="V1449" i="1"/>
  <c r="U1449" i="1"/>
  <c r="T1449" i="1"/>
  <c r="S1449" i="1"/>
  <c r="W1448" i="1"/>
  <c r="V1448" i="1"/>
  <c r="U1448" i="1"/>
  <c r="T1448" i="1"/>
  <c r="S1448" i="1"/>
  <c r="W1447" i="1"/>
  <c r="V1447" i="1"/>
  <c r="U1447" i="1"/>
  <c r="T1447" i="1"/>
  <c r="S1447" i="1"/>
  <c r="W1446" i="1"/>
  <c r="V1446" i="1"/>
  <c r="U1446" i="1"/>
  <c r="T1446" i="1"/>
  <c r="S1446" i="1"/>
  <c r="W1445" i="1"/>
  <c r="V1445" i="1"/>
  <c r="U1445" i="1"/>
  <c r="T1445" i="1"/>
  <c r="S1445" i="1"/>
  <c r="W1444" i="1"/>
  <c r="V1444" i="1"/>
  <c r="U1444" i="1"/>
  <c r="T1444" i="1"/>
  <c r="S1444" i="1"/>
  <c r="W1443" i="1"/>
  <c r="V1443" i="1"/>
  <c r="U1443" i="1"/>
  <c r="T1443" i="1"/>
  <c r="S1443" i="1"/>
  <c r="W1442" i="1"/>
  <c r="V1442" i="1"/>
  <c r="U1442" i="1"/>
  <c r="T1442" i="1"/>
  <c r="S1442" i="1"/>
  <c r="W1441" i="1"/>
  <c r="V1441" i="1"/>
  <c r="U1441" i="1"/>
  <c r="T1441" i="1"/>
  <c r="S1441" i="1"/>
  <c r="W1440" i="1"/>
  <c r="V1440" i="1"/>
  <c r="U1440" i="1"/>
  <c r="T1440" i="1"/>
  <c r="S1440" i="1"/>
  <c r="W1439" i="1"/>
  <c r="V1439" i="1"/>
  <c r="U1439" i="1"/>
  <c r="T1439" i="1"/>
  <c r="S1439" i="1"/>
  <c r="W1438" i="1"/>
  <c r="V1438" i="1"/>
  <c r="U1438" i="1"/>
  <c r="T1438" i="1"/>
  <c r="S1438" i="1"/>
  <c r="W1437" i="1"/>
  <c r="V1437" i="1"/>
  <c r="U1437" i="1"/>
  <c r="T1437" i="1"/>
  <c r="S1437" i="1"/>
  <c r="W1436" i="1"/>
  <c r="V1436" i="1"/>
  <c r="U1436" i="1"/>
  <c r="T1436" i="1"/>
  <c r="S1436" i="1"/>
  <c r="W1435" i="1"/>
  <c r="V1435" i="1"/>
  <c r="U1435" i="1"/>
  <c r="T1435" i="1"/>
  <c r="S1435" i="1"/>
  <c r="W1434" i="1"/>
  <c r="V1434" i="1"/>
  <c r="U1434" i="1"/>
  <c r="T1434" i="1"/>
  <c r="S1434" i="1"/>
  <c r="W1433" i="1"/>
  <c r="V1433" i="1"/>
  <c r="U1433" i="1"/>
  <c r="T1433" i="1"/>
  <c r="S1433" i="1"/>
  <c r="W1432" i="1"/>
  <c r="V1432" i="1"/>
  <c r="U1432" i="1"/>
  <c r="T1432" i="1"/>
  <c r="S1432" i="1"/>
  <c r="W1431" i="1"/>
  <c r="V1431" i="1"/>
  <c r="U1431" i="1"/>
  <c r="T1431" i="1"/>
  <c r="S1431" i="1"/>
  <c r="W1430" i="1"/>
  <c r="V1430" i="1"/>
  <c r="U1430" i="1"/>
  <c r="T1430" i="1"/>
  <c r="S1430" i="1"/>
  <c r="W1429" i="1"/>
  <c r="V1429" i="1"/>
  <c r="U1429" i="1"/>
  <c r="T1429" i="1"/>
  <c r="S1429" i="1"/>
  <c r="W1428" i="1"/>
  <c r="V1428" i="1"/>
  <c r="U1428" i="1"/>
  <c r="T1428" i="1"/>
  <c r="S1428" i="1"/>
  <c r="W1427" i="1"/>
  <c r="V1427" i="1"/>
  <c r="U1427" i="1"/>
  <c r="T1427" i="1"/>
  <c r="S1427" i="1"/>
  <c r="W1426" i="1"/>
  <c r="V1426" i="1"/>
  <c r="U1426" i="1"/>
  <c r="T1426" i="1"/>
  <c r="S1426" i="1"/>
  <c r="W1425" i="1"/>
  <c r="V1425" i="1"/>
  <c r="U1425" i="1"/>
  <c r="T1425" i="1"/>
  <c r="S1425" i="1"/>
  <c r="W1424" i="1"/>
  <c r="V1424" i="1"/>
  <c r="U1424" i="1"/>
  <c r="T1424" i="1"/>
  <c r="S1424" i="1"/>
  <c r="W1423" i="1"/>
  <c r="V1423" i="1"/>
  <c r="U1423" i="1"/>
  <c r="T1423" i="1"/>
  <c r="S1423" i="1"/>
  <c r="W1422" i="1"/>
  <c r="V1422" i="1"/>
  <c r="U1422" i="1"/>
  <c r="T1422" i="1"/>
  <c r="S1422" i="1"/>
  <c r="W1421" i="1"/>
  <c r="V1421" i="1"/>
  <c r="U1421" i="1"/>
  <c r="T1421" i="1"/>
  <c r="S1421" i="1"/>
  <c r="W1420" i="1"/>
  <c r="V1420" i="1"/>
  <c r="U1420" i="1"/>
  <c r="T1420" i="1"/>
  <c r="S1420" i="1"/>
  <c r="W1419" i="1"/>
  <c r="V1419" i="1"/>
  <c r="U1419" i="1"/>
  <c r="T1419" i="1"/>
  <c r="S1419" i="1"/>
  <c r="W1418" i="1"/>
  <c r="V1418" i="1"/>
  <c r="U1418" i="1"/>
  <c r="T1418" i="1"/>
  <c r="S1418" i="1"/>
  <c r="W1417" i="1"/>
  <c r="V1417" i="1"/>
  <c r="U1417" i="1"/>
  <c r="T1417" i="1"/>
  <c r="S1417" i="1"/>
  <c r="W1416" i="1"/>
  <c r="V1416" i="1"/>
  <c r="U1416" i="1"/>
  <c r="T1416" i="1"/>
  <c r="S1416" i="1"/>
  <c r="W1415" i="1"/>
  <c r="V1415" i="1"/>
  <c r="U1415" i="1"/>
  <c r="T1415" i="1"/>
  <c r="S1415" i="1"/>
  <c r="W1414" i="1"/>
  <c r="V1414" i="1"/>
  <c r="U1414" i="1"/>
  <c r="T1414" i="1"/>
  <c r="S1414" i="1"/>
  <c r="W1413" i="1"/>
  <c r="V1413" i="1"/>
  <c r="U1413" i="1"/>
  <c r="T1413" i="1"/>
  <c r="S1413" i="1"/>
  <c r="W1412" i="1"/>
  <c r="V1412" i="1"/>
  <c r="U1412" i="1"/>
  <c r="T1412" i="1"/>
  <c r="S1412" i="1"/>
  <c r="W1411" i="1"/>
  <c r="V1411" i="1"/>
  <c r="U1411" i="1"/>
  <c r="T1411" i="1"/>
  <c r="S1411" i="1"/>
  <c r="W1410" i="1"/>
  <c r="V1410" i="1"/>
  <c r="U1410" i="1"/>
  <c r="T1410" i="1"/>
  <c r="S1410" i="1"/>
  <c r="W1409" i="1"/>
  <c r="V1409" i="1"/>
  <c r="U1409" i="1"/>
  <c r="T1409" i="1"/>
  <c r="S1409" i="1"/>
  <c r="W1408" i="1"/>
  <c r="V1408" i="1"/>
  <c r="U1408" i="1"/>
  <c r="T1408" i="1"/>
  <c r="S1408" i="1"/>
  <c r="W1407" i="1"/>
  <c r="V1407" i="1"/>
  <c r="U1407" i="1"/>
  <c r="T1407" i="1"/>
  <c r="S1407" i="1"/>
  <c r="W1406" i="1"/>
  <c r="V1406" i="1"/>
  <c r="U1406" i="1"/>
  <c r="T1406" i="1"/>
  <c r="S1406" i="1"/>
  <c r="W1405" i="1"/>
  <c r="V1405" i="1"/>
  <c r="U1405" i="1"/>
  <c r="T1405" i="1"/>
  <c r="S1405" i="1"/>
  <c r="W1404" i="1"/>
  <c r="V1404" i="1"/>
  <c r="U1404" i="1"/>
  <c r="T1404" i="1"/>
  <c r="S1404" i="1"/>
  <c r="W1403" i="1"/>
  <c r="V1403" i="1"/>
  <c r="U1403" i="1"/>
  <c r="T1403" i="1"/>
  <c r="S1403" i="1"/>
  <c r="W1402" i="1"/>
  <c r="V1402" i="1"/>
  <c r="U1402" i="1"/>
  <c r="T1402" i="1"/>
  <c r="S1402" i="1"/>
  <c r="W1401" i="1"/>
  <c r="V1401" i="1"/>
  <c r="U1401" i="1"/>
  <c r="T1401" i="1"/>
  <c r="S1401" i="1"/>
  <c r="W1400" i="1"/>
  <c r="V1400" i="1"/>
  <c r="U1400" i="1"/>
  <c r="T1400" i="1"/>
  <c r="S1400" i="1"/>
  <c r="W1399" i="1"/>
  <c r="V1399" i="1"/>
  <c r="U1399" i="1"/>
  <c r="T1399" i="1"/>
  <c r="S1399" i="1"/>
  <c r="W1398" i="1"/>
  <c r="V1398" i="1"/>
  <c r="U1398" i="1"/>
  <c r="T1398" i="1"/>
  <c r="S1398" i="1"/>
  <c r="W1397" i="1"/>
  <c r="V1397" i="1"/>
  <c r="U1397" i="1"/>
  <c r="T1397" i="1"/>
  <c r="S1397" i="1"/>
  <c r="W1396" i="1"/>
  <c r="V1396" i="1"/>
  <c r="U1396" i="1"/>
  <c r="T1396" i="1"/>
  <c r="S1396" i="1"/>
  <c r="W1395" i="1"/>
  <c r="V1395" i="1"/>
  <c r="U1395" i="1"/>
  <c r="T1395" i="1"/>
  <c r="S1395" i="1"/>
  <c r="W1394" i="1"/>
  <c r="V1394" i="1"/>
  <c r="U1394" i="1"/>
  <c r="T1394" i="1"/>
  <c r="S1394" i="1"/>
  <c r="W1393" i="1"/>
  <c r="V1393" i="1"/>
  <c r="U1393" i="1"/>
  <c r="T1393" i="1"/>
  <c r="S1393" i="1"/>
  <c r="W1392" i="1"/>
  <c r="V1392" i="1"/>
  <c r="U1392" i="1"/>
  <c r="T1392" i="1"/>
  <c r="S1392" i="1"/>
  <c r="W1391" i="1"/>
  <c r="V1391" i="1"/>
  <c r="U1391" i="1"/>
  <c r="T1391" i="1"/>
  <c r="S1391" i="1"/>
  <c r="W1390" i="1"/>
  <c r="V1390" i="1"/>
  <c r="U1390" i="1"/>
  <c r="T1390" i="1"/>
  <c r="S1390" i="1"/>
  <c r="W1389" i="1"/>
  <c r="V1389" i="1"/>
  <c r="U1389" i="1"/>
  <c r="T1389" i="1"/>
  <c r="S1389" i="1"/>
  <c r="W1388" i="1"/>
  <c r="V1388" i="1"/>
  <c r="U1388" i="1"/>
  <c r="T1388" i="1"/>
  <c r="S1388" i="1"/>
  <c r="W1387" i="1"/>
  <c r="V1387" i="1"/>
  <c r="U1387" i="1"/>
  <c r="T1387" i="1"/>
  <c r="S1387" i="1"/>
  <c r="W1386" i="1"/>
  <c r="V1386" i="1"/>
  <c r="U1386" i="1"/>
  <c r="T1386" i="1"/>
  <c r="S1386" i="1"/>
  <c r="W1385" i="1"/>
  <c r="V1385" i="1"/>
  <c r="U1385" i="1"/>
  <c r="T1385" i="1"/>
  <c r="S1385" i="1"/>
  <c r="W1384" i="1"/>
  <c r="V1384" i="1"/>
  <c r="U1384" i="1"/>
  <c r="T1384" i="1"/>
  <c r="S1384" i="1"/>
  <c r="W1383" i="1"/>
  <c r="V1383" i="1"/>
  <c r="U1383" i="1"/>
  <c r="T1383" i="1"/>
  <c r="S1383" i="1"/>
  <c r="W1382" i="1"/>
  <c r="V1382" i="1"/>
  <c r="U1382" i="1"/>
  <c r="T1382" i="1"/>
  <c r="S1382" i="1"/>
  <c r="W1381" i="1"/>
  <c r="V1381" i="1"/>
  <c r="U1381" i="1"/>
  <c r="T1381" i="1"/>
  <c r="S1381" i="1"/>
  <c r="W1380" i="1"/>
  <c r="V1380" i="1"/>
  <c r="U1380" i="1"/>
  <c r="T1380" i="1"/>
  <c r="S1380" i="1"/>
  <c r="W1379" i="1"/>
  <c r="V1379" i="1"/>
  <c r="U1379" i="1"/>
  <c r="T1379" i="1"/>
  <c r="S1379" i="1"/>
  <c r="W1378" i="1"/>
  <c r="V1378" i="1"/>
  <c r="U1378" i="1"/>
  <c r="T1378" i="1"/>
  <c r="S1378" i="1"/>
  <c r="W1377" i="1"/>
  <c r="V1377" i="1"/>
  <c r="U1377" i="1"/>
  <c r="T1377" i="1"/>
  <c r="S1377" i="1"/>
  <c r="W1376" i="1"/>
  <c r="V1376" i="1"/>
  <c r="U1376" i="1"/>
  <c r="T1376" i="1"/>
  <c r="S1376" i="1"/>
  <c r="W1375" i="1"/>
  <c r="V1375" i="1"/>
  <c r="U1375" i="1"/>
  <c r="T1375" i="1"/>
  <c r="S1375" i="1"/>
  <c r="W1374" i="1"/>
  <c r="V1374" i="1"/>
  <c r="U1374" i="1"/>
  <c r="T1374" i="1"/>
  <c r="S1374" i="1"/>
  <c r="W1373" i="1"/>
  <c r="V1373" i="1"/>
  <c r="U1373" i="1"/>
  <c r="T1373" i="1"/>
  <c r="S1373" i="1"/>
  <c r="W1372" i="1"/>
  <c r="V1372" i="1"/>
  <c r="U1372" i="1"/>
  <c r="T1372" i="1"/>
  <c r="S1372" i="1"/>
  <c r="W1371" i="1"/>
  <c r="V1371" i="1"/>
  <c r="U1371" i="1"/>
  <c r="T1371" i="1"/>
  <c r="S1371" i="1"/>
  <c r="W1370" i="1"/>
  <c r="V1370" i="1"/>
  <c r="U1370" i="1"/>
  <c r="T1370" i="1"/>
  <c r="S1370" i="1"/>
  <c r="W1369" i="1"/>
  <c r="V1369" i="1"/>
  <c r="U1369" i="1"/>
  <c r="T1369" i="1"/>
  <c r="S1369" i="1"/>
  <c r="W1368" i="1"/>
  <c r="V1368" i="1"/>
  <c r="U1368" i="1"/>
  <c r="T1368" i="1"/>
  <c r="S1368" i="1"/>
  <c r="W1367" i="1"/>
  <c r="V1367" i="1"/>
  <c r="U1367" i="1"/>
  <c r="T1367" i="1"/>
  <c r="S1367" i="1"/>
  <c r="W1366" i="1"/>
  <c r="V1366" i="1"/>
  <c r="U1366" i="1"/>
  <c r="T1366" i="1"/>
  <c r="S1366" i="1"/>
  <c r="W1365" i="1"/>
  <c r="V1365" i="1"/>
  <c r="U1365" i="1"/>
  <c r="T1365" i="1"/>
  <c r="S1365" i="1"/>
  <c r="W1364" i="1"/>
  <c r="V1364" i="1"/>
  <c r="U1364" i="1"/>
  <c r="T1364" i="1"/>
  <c r="S1364" i="1"/>
  <c r="W1363" i="1"/>
  <c r="V1363" i="1"/>
  <c r="U1363" i="1"/>
  <c r="T1363" i="1"/>
  <c r="S1363" i="1"/>
  <c r="W1362" i="1"/>
  <c r="V1362" i="1"/>
  <c r="U1362" i="1"/>
  <c r="T1362" i="1"/>
  <c r="S1362" i="1"/>
  <c r="W1361" i="1"/>
  <c r="V1361" i="1"/>
  <c r="U1361" i="1"/>
  <c r="T1361" i="1"/>
  <c r="S1361" i="1"/>
  <c r="W1360" i="1"/>
  <c r="V1360" i="1"/>
  <c r="U1360" i="1"/>
  <c r="T1360" i="1"/>
  <c r="S1360" i="1"/>
  <c r="W1359" i="1"/>
  <c r="V1359" i="1"/>
  <c r="U1359" i="1"/>
  <c r="T1359" i="1"/>
  <c r="S1359" i="1"/>
  <c r="W1358" i="1"/>
  <c r="V1358" i="1"/>
  <c r="U1358" i="1"/>
  <c r="T1358" i="1"/>
  <c r="S1358" i="1"/>
  <c r="W1357" i="1"/>
  <c r="V1357" i="1"/>
  <c r="U1357" i="1"/>
  <c r="T1357" i="1"/>
  <c r="S1357" i="1"/>
  <c r="W1356" i="1"/>
  <c r="V1356" i="1"/>
  <c r="U1356" i="1"/>
  <c r="T1356" i="1"/>
  <c r="S1356" i="1"/>
  <c r="W1355" i="1"/>
  <c r="V1355" i="1"/>
  <c r="U1355" i="1"/>
  <c r="T1355" i="1"/>
  <c r="S1355" i="1"/>
  <c r="W1354" i="1"/>
  <c r="V1354" i="1"/>
  <c r="U1354" i="1"/>
  <c r="T1354" i="1"/>
  <c r="S1354" i="1"/>
  <c r="W1353" i="1"/>
  <c r="V1353" i="1"/>
  <c r="U1353" i="1"/>
  <c r="T1353" i="1"/>
  <c r="S1353" i="1"/>
  <c r="W1352" i="1"/>
  <c r="V1352" i="1"/>
  <c r="U1352" i="1"/>
  <c r="T1352" i="1"/>
  <c r="S1352" i="1"/>
  <c r="W1351" i="1"/>
  <c r="V1351" i="1"/>
  <c r="U1351" i="1"/>
  <c r="T1351" i="1"/>
  <c r="S1351" i="1"/>
  <c r="W1350" i="1"/>
  <c r="V1350" i="1"/>
  <c r="U1350" i="1"/>
  <c r="T1350" i="1"/>
  <c r="S1350" i="1"/>
  <c r="W1349" i="1"/>
  <c r="V1349" i="1"/>
  <c r="U1349" i="1"/>
  <c r="T1349" i="1"/>
  <c r="S1349" i="1"/>
  <c r="W1348" i="1"/>
  <c r="V1348" i="1"/>
  <c r="U1348" i="1"/>
  <c r="T1348" i="1"/>
  <c r="S1348" i="1"/>
  <c r="W1347" i="1"/>
  <c r="V1347" i="1"/>
  <c r="U1347" i="1"/>
  <c r="T1347" i="1"/>
  <c r="S1347" i="1"/>
  <c r="W1346" i="1"/>
  <c r="V1346" i="1"/>
  <c r="U1346" i="1"/>
  <c r="T1346" i="1"/>
  <c r="S1346" i="1"/>
  <c r="W1345" i="1"/>
  <c r="V1345" i="1"/>
  <c r="U1345" i="1"/>
  <c r="T1345" i="1"/>
  <c r="S1345" i="1"/>
  <c r="W1344" i="1"/>
  <c r="V1344" i="1"/>
  <c r="U1344" i="1"/>
  <c r="T1344" i="1"/>
  <c r="S1344" i="1"/>
  <c r="W1343" i="1"/>
  <c r="V1343" i="1"/>
  <c r="U1343" i="1"/>
  <c r="T1343" i="1"/>
  <c r="S1343" i="1"/>
  <c r="W1342" i="1"/>
  <c r="V1342" i="1"/>
  <c r="U1342" i="1"/>
  <c r="T1342" i="1"/>
  <c r="S1342" i="1"/>
  <c r="W1341" i="1"/>
  <c r="V1341" i="1"/>
  <c r="U1341" i="1"/>
  <c r="T1341" i="1"/>
  <c r="S1341" i="1"/>
  <c r="W1340" i="1"/>
  <c r="V1340" i="1"/>
  <c r="U1340" i="1"/>
  <c r="T1340" i="1"/>
  <c r="S1340" i="1"/>
  <c r="W1339" i="1"/>
  <c r="V1339" i="1"/>
  <c r="U1339" i="1"/>
  <c r="T1339" i="1"/>
  <c r="S1339" i="1"/>
  <c r="W1338" i="1"/>
  <c r="V1338" i="1"/>
  <c r="U1338" i="1"/>
  <c r="T1338" i="1"/>
  <c r="S1338" i="1"/>
  <c r="W1337" i="1"/>
  <c r="V1337" i="1"/>
  <c r="U1337" i="1"/>
  <c r="T1337" i="1"/>
  <c r="S1337" i="1"/>
  <c r="W1336" i="1"/>
  <c r="V1336" i="1"/>
  <c r="U1336" i="1"/>
  <c r="T1336" i="1"/>
  <c r="S1336" i="1"/>
  <c r="W1335" i="1"/>
  <c r="V1335" i="1"/>
  <c r="U1335" i="1"/>
  <c r="T1335" i="1"/>
  <c r="S1335" i="1"/>
  <c r="W1334" i="1"/>
  <c r="V1334" i="1"/>
  <c r="U1334" i="1"/>
  <c r="T1334" i="1"/>
  <c r="S1334" i="1"/>
  <c r="W1333" i="1"/>
  <c r="V1333" i="1"/>
  <c r="U1333" i="1"/>
  <c r="T1333" i="1"/>
  <c r="S1333" i="1"/>
  <c r="W1332" i="1"/>
  <c r="V1332" i="1"/>
  <c r="U1332" i="1"/>
  <c r="T1332" i="1"/>
  <c r="S1332" i="1"/>
  <c r="W1331" i="1"/>
  <c r="V1331" i="1"/>
  <c r="U1331" i="1"/>
  <c r="T1331" i="1"/>
  <c r="S1331" i="1"/>
  <c r="W1330" i="1"/>
  <c r="V1330" i="1"/>
  <c r="U1330" i="1"/>
  <c r="T1330" i="1"/>
  <c r="S1330" i="1"/>
  <c r="W1329" i="1"/>
  <c r="V1329" i="1"/>
  <c r="U1329" i="1"/>
  <c r="T1329" i="1"/>
  <c r="S1329" i="1"/>
  <c r="W1328" i="1"/>
  <c r="V1328" i="1"/>
  <c r="U1328" i="1"/>
  <c r="T1328" i="1"/>
  <c r="S1328" i="1"/>
  <c r="W1327" i="1"/>
  <c r="V1327" i="1"/>
  <c r="U1327" i="1"/>
  <c r="T1327" i="1"/>
  <c r="S1327" i="1"/>
  <c r="W1326" i="1"/>
  <c r="V1326" i="1"/>
  <c r="U1326" i="1"/>
  <c r="T1326" i="1"/>
  <c r="S1326" i="1"/>
  <c r="W1325" i="1"/>
  <c r="V1325" i="1"/>
  <c r="U1325" i="1"/>
  <c r="T1325" i="1"/>
  <c r="S1325" i="1"/>
  <c r="W1324" i="1"/>
  <c r="V1324" i="1"/>
  <c r="U1324" i="1"/>
  <c r="T1324" i="1"/>
  <c r="S1324" i="1"/>
  <c r="W1323" i="1"/>
  <c r="V1323" i="1"/>
  <c r="U1323" i="1"/>
  <c r="T1323" i="1"/>
  <c r="S1323" i="1"/>
  <c r="W1322" i="1"/>
  <c r="V1322" i="1"/>
  <c r="U1322" i="1"/>
  <c r="T1322" i="1"/>
  <c r="S1322" i="1"/>
  <c r="W1321" i="1"/>
  <c r="V1321" i="1"/>
  <c r="U1321" i="1"/>
  <c r="T1321" i="1"/>
  <c r="S1321" i="1"/>
  <c r="W1320" i="1"/>
  <c r="V1320" i="1"/>
  <c r="U1320" i="1"/>
  <c r="T1320" i="1"/>
  <c r="S1320" i="1"/>
  <c r="W1319" i="1"/>
  <c r="V1319" i="1"/>
  <c r="U1319" i="1"/>
  <c r="T1319" i="1"/>
  <c r="S1319" i="1"/>
  <c r="W1318" i="1"/>
  <c r="V1318" i="1"/>
  <c r="U1318" i="1"/>
  <c r="T1318" i="1"/>
  <c r="S1318" i="1"/>
  <c r="W1317" i="1"/>
  <c r="V1317" i="1"/>
  <c r="U1317" i="1"/>
  <c r="T1317" i="1"/>
  <c r="S1317" i="1"/>
  <c r="W1316" i="1"/>
  <c r="V1316" i="1"/>
  <c r="U1316" i="1"/>
  <c r="T1316" i="1"/>
  <c r="S1316" i="1"/>
  <c r="W1315" i="1"/>
  <c r="V1315" i="1"/>
  <c r="U1315" i="1"/>
  <c r="T1315" i="1"/>
  <c r="S1315" i="1"/>
  <c r="W1314" i="1"/>
  <c r="V1314" i="1"/>
  <c r="U1314" i="1"/>
  <c r="T1314" i="1"/>
  <c r="S1314" i="1"/>
  <c r="W1313" i="1"/>
  <c r="V1313" i="1"/>
  <c r="U1313" i="1"/>
  <c r="T1313" i="1"/>
  <c r="S1313" i="1"/>
  <c r="W1312" i="1"/>
  <c r="V1312" i="1"/>
  <c r="U1312" i="1"/>
  <c r="T1312" i="1"/>
  <c r="S1312" i="1"/>
  <c r="W1311" i="1"/>
  <c r="V1311" i="1"/>
  <c r="U1311" i="1"/>
  <c r="T1311" i="1"/>
  <c r="S1311" i="1"/>
  <c r="W1310" i="1"/>
  <c r="V1310" i="1"/>
  <c r="U1310" i="1"/>
  <c r="T1310" i="1"/>
  <c r="S1310" i="1"/>
  <c r="W1309" i="1"/>
  <c r="V1309" i="1"/>
  <c r="U1309" i="1"/>
  <c r="T1309" i="1"/>
  <c r="S1309" i="1"/>
  <c r="W1308" i="1"/>
  <c r="V1308" i="1"/>
  <c r="U1308" i="1"/>
  <c r="T1308" i="1"/>
  <c r="S1308" i="1"/>
  <c r="W1307" i="1"/>
  <c r="V1307" i="1"/>
  <c r="U1307" i="1"/>
  <c r="T1307" i="1"/>
  <c r="S1307" i="1"/>
  <c r="W1306" i="1"/>
  <c r="V1306" i="1"/>
  <c r="U1306" i="1"/>
  <c r="T1306" i="1"/>
  <c r="S1306" i="1"/>
  <c r="W1305" i="1"/>
  <c r="V1305" i="1"/>
  <c r="U1305" i="1"/>
  <c r="T1305" i="1"/>
  <c r="S1305" i="1"/>
  <c r="W1304" i="1"/>
  <c r="V1304" i="1"/>
  <c r="U1304" i="1"/>
  <c r="T1304" i="1"/>
  <c r="S1304" i="1"/>
  <c r="W1303" i="1"/>
  <c r="V1303" i="1"/>
  <c r="U1303" i="1"/>
  <c r="T1303" i="1"/>
  <c r="S1303" i="1"/>
  <c r="W1302" i="1"/>
  <c r="V1302" i="1"/>
  <c r="U1302" i="1"/>
  <c r="T1302" i="1"/>
  <c r="S1302" i="1"/>
  <c r="W1301" i="1"/>
  <c r="V1301" i="1"/>
  <c r="U1301" i="1"/>
  <c r="T1301" i="1"/>
  <c r="S1301" i="1"/>
  <c r="W1300" i="1"/>
  <c r="V1300" i="1"/>
  <c r="U1300" i="1"/>
  <c r="T1300" i="1"/>
  <c r="S1300" i="1"/>
  <c r="W1299" i="1"/>
  <c r="V1299" i="1"/>
  <c r="U1299" i="1"/>
  <c r="T1299" i="1"/>
  <c r="S1299" i="1"/>
  <c r="W1298" i="1"/>
  <c r="V1298" i="1"/>
  <c r="U1298" i="1"/>
  <c r="T1298" i="1"/>
  <c r="S1298" i="1"/>
  <c r="W1297" i="1"/>
  <c r="V1297" i="1"/>
  <c r="U1297" i="1"/>
  <c r="T1297" i="1"/>
  <c r="S1297" i="1"/>
  <c r="W1296" i="1"/>
  <c r="V1296" i="1"/>
  <c r="U1296" i="1"/>
  <c r="T1296" i="1"/>
  <c r="S1296" i="1"/>
  <c r="W1295" i="1"/>
  <c r="V1295" i="1"/>
  <c r="U1295" i="1"/>
  <c r="T1295" i="1"/>
  <c r="S1295" i="1"/>
  <c r="W1294" i="1"/>
  <c r="V1294" i="1"/>
  <c r="U1294" i="1"/>
  <c r="T1294" i="1"/>
  <c r="S1294" i="1"/>
  <c r="W1293" i="1"/>
  <c r="V1293" i="1"/>
  <c r="U1293" i="1"/>
  <c r="T1293" i="1"/>
  <c r="S1293" i="1"/>
  <c r="W1292" i="1"/>
  <c r="V1292" i="1"/>
  <c r="U1292" i="1"/>
  <c r="T1292" i="1"/>
  <c r="S1292" i="1"/>
  <c r="W1291" i="1"/>
  <c r="V1291" i="1"/>
  <c r="U1291" i="1"/>
  <c r="T1291" i="1"/>
  <c r="S1291" i="1"/>
  <c r="W1290" i="1"/>
  <c r="V1290" i="1"/>
  <c r="U1290" i="1"/>
  <c r="T1290" i="1"/>
  <c r="S1290" i="1"/>
  <c r="W1289" i="1"/>
  <c r="V1289" i="1"/>
  <c r="U1289" i="1"/>
  <c r="T1289" i="1"/>
  <c r="S1289" i="1"/>
  <c r="W1288" i="1"/>
  <c r="V1288" i="1"/>
  <c r="U1288" i="1"/>
  <c r="T1288" i="1"/>
  <c r="S1288" i="1"/>
  <c r="W1287" i="1"/>
  <c r="V1287" i="1"/>
  <c r="U1287" i="1"/>
  <c r="T1287" i="1"/>
  <c r="S1287" i="1"/>
  <c r="W1286" i="1"/>
  <c r="V1286" i="1"/>
  <c r="U1286" i="1"/>
  <c r="T1286" i="1"/>
  <c r="S1286" i="1"/>
  <c r="W1285" i="1"/>
  <c r="V1285" i="1"/>
  <c r="U1285" i="1"/>
  <c r="T1285" i="1"/>
  <c r="S1285" i="1"/>
  <c r="W1284" i="1"/>
  <c r="V1284" i="1"/>
  <c r="U1284" i="1"/>
  <c r="T1284" i="1"/>
  <c r="S1284" i="1"/>
  <c r="W1283" i="1"/>
  <c r="V1283" i="1"/>
  <c r="U1283" i="1"/>
  <c r="T1283" i="1"/>
  <c r="S1283" i="1"/>
  <c r="W1282" i="1"/>
  <c r="V1282" i="1"/>
  <c r="U1282" i="1"/>
  <c r="T1282" i="1"/>
  <c r="S1282" i="1"/>
  <c r="W1281" i="1"/>
  <c r="V1281" i="1"/>
  <c r="U1281" i="1"/>
  <c r="T1281" i="1"/>
  <c r="S1281" i="1"/>
  <c r="W1280" i="1"/>
  <c r="V1280" i="1"/>
  <c r="U1280" i="1"/>
  <c r="T1280" i="1"/>
  <c r="S1280" i="1"/>
  <c r="W1279" i="1"/>
  <c r="V1279" i="1"/>
  <c r="U1279" i="1"/>
  <c r="T1279" i="1"/>
  <c r="S1279" i="1"/>
  <c r="W1278" i="1"/>
  <c r="V1278" i="1"/>
  <c r="U1278" i="1"/>
  <c r="T1278" i="1"/>
  <c r="S1278" i="1"/>
  <c r="W1277" i="1"/>
  <c r="V1277" i="1"/>
  <c r="U1277" i="1"/>
  <c r="T1277" i="1"/>
  <c r="S1277" i="1"/>
  <c r="W1276" i="1"/>
  <c r="V1276" i="1"/>
  <c r="U1276" i="1"/>
  <c r="T1276" i="1"/>
  <c r="S1276" i="1"/>
  <c r="W1275" i="1"/>
  <c r="V1275" i="1"/>
  <c r="U1275" i="1"/>
  <c r="T1275" i="1"/>
  <c r="S1275" i="1"/>
  <c r="W1274" i="1"/>
  <c r="V1274" i="1"/>
  <c r="U1274" i="1"/>
  <c r="T1274" i="1"/>
  <c r="S1274" i="1"/>
  <c r="W1273" i="1"/>
  <c r="V1273" i="1"/>
  <c r="U1273" i="1"/>
  <c r="T1273" i="1"/>
  <c r="S1273" i="1"/>
  <c r="W1272" i="1"/>
  <c r="V1272" i="1"/>
  <c r="U1272" i="1"/>
  <c r="T1272" i="1"/>
  <c r="S1272" i="1"/>
  <c r="W1271" i="1"/>
  <c r="V1271" i="1"/>
  <c r="U1271" i="1"/>
  <c r="T1271" i="1"/>
  <c r="S1271" i="1"/>
  <c r="W1270" i="1"/>
  <c r="V1270" i="1"/>
  <c r="U1270" i="1"/>
  <c r="T1270" i="1"/>
  <c r="S1270" i="1"/>
  <c r="W1269" i="1"/>
  <c r="V1269" i="1"/>
  <c r="U1269" i="1"/>
  <c r="T1269" i="1"/>
  <c r="S1269" i="1"/>
  <c r="W1268" i="1"/>
  <c r="V1268" i="1"/>
  <c r="U1268" i="1"/>
  <c r="T1268" i="1"/>
  <c r="S1268" i="1"/>
  <c r="W1267" i="1"/>
  <c r="V1267" i="1"/>
  <c r="U1267" i="1"/>
  <c r="T1267" i="1"/>
  <c r="S1267" i="1"/>
  <c r="W1266" i="1"/>
  <c r="V1266" i="1"/>
  <c r="U1266" i="1"/>
  <c r="T1266" i="1"/>
  <c r="S1266" i="1"/>
  <c r="W1265" i="1"/>
  <c r="V1265" i="1"/>
  <c r="U1265" i="1"/>
  <c r="T1265" i="1"/>
  <c r="S1265" i="1"/>
  <c r="W1264" i="1"/>
  <c r="V1264" i="1"/>
  <c r="U1264" i="1"/>
  <c r="T1264" i="1"/>
  <c r="S1264" i="1"/>
  <c r="W1263" i="1"/>
  <c r="V1263" i="1"/>
  <c r="U1263" i="1"/>
  <c r="T1263" i="1"/>
  <c r="S1263" i="1"/>
  <c r="W1262" i="1"/>
  <c r="V1262" i="1"/>
  <c r="U1262" i="1"/>
  <c r="T1262" i="1"/>
  <c r="S1262" i="1"/>
  <c r="W1261" i="1"/>
  <c r="V1261" i="1"/>
  <c r="U1261" i="1"/>
  <c r="T1261" i="1"/>
  <c r="S1261" i="1"/>
  <c r="W1260" i="1"/>
  <c r="V1260" i="1"/>
  <c r="U1260" i="1"/>
  <c r="T1260" i="1"/>
  <c r="S1260" i="1"/>
  <c r="W1259" i="1"/>
  <c r="V1259" i="1"/>
  <c r="U1259" i="1"/>
  <c r="T1259" i="1"/>
  <c r="S1259" i="1"/>
  <c r="W1258" i="1"/>
  <c r="V1258" i="1"/>
  <c r="U1258" i="1"/>
  <c r="T1258" i="1"/>
  <c r="S1258" i="1"/>
  <c r="W1257" i="1"/>
  <c r="V1257" i="1"/>
  <c r="U1257" i="1"/>
  <c r="T1257" i="1"/>
  <c r="S1257" i="1"/>
  <c r="W1256" i="1"/>
  <c r="V1256" i="1"/>
  <c r="U1256" i="1"/>
  <c r="T1256" i="1"/>
  <c r="S1256" i="1"/>
  <c r="W1255" i="1"/>
  <c r="V1255" i="1"/>
  <c r="U1255" i="1"/>
  <c r="T1255" i="1"/>
  <c r="S1255" i="1"/>
  <c r="W1254" i="1"/>
  <c r="V1254" i="1"/>
  <c r="U1254" i="1"/>
  <c r="T1254" i="1"/>
  <c r="S1254" i="1"/>
  <c r="W1253" i="1"/>
  <c r="V1253" i="1"/>
  <c r="U1253" i="1"/>
  <c r="T1253" i="1"/>
  <c r="S1253" i="1"/>
  <c r="W1252" i="1"/>
  <c r="V1252" i="1"/>
  <c r="U1252" i="1"/>
  <c r="T1252" i="1"/>
  <c r="S1252" i="1"/>
  <c r="W1251" i="1"/>
  <c r="V1251" i="1"/>
  <c r="U1251" i="1"/>
  <c r="T1251" i="1"/>
  <c r="S1251" i="1"/>
  <c r="W1250" i="1"/>
  <c r="V1250" i="1"/>
  <c r="U1250" i="1"/>
  <c r="T1250" i="1"/>
  <c r="S1250" i="1"/>
  <c r="W1249" i="1"/>
  <c r="V1249" i="1"/>
  <c r="U1249" i="1"/>
  <c r="T1249" i="1"/>
  <c r="S1249" i="1"/>
  <c r="W1248" i="1"/>
  <c r="V1248" i="1"/>
  <c r="U1248" i="1"/>
  <c r="T1248" i="1"/>
  <c r="S1248" i="1"/>
  <c r="W1247" i="1"/>
  <c r="V1247" i="1"/>
  <c r="U1247" i="1"/>
  <c r="T1247" i="1"/>
  <c r="S1247" i="1"/>
  <c r="W1246" i="1"/>
  <c r="V1246" i="1"/>
  <c r="U1246" i="1"/>
  <c r="T1246" i="1"/>
  <c r="S1246" i="1"/>
  <c r="W1245" i="1"/>
  <c r="V1245" i="1"/>
  <c r="U1245" i="1"/>
  <c r="T1245" i="1"/>
  <c r="S1245" i="1"/>
  <c r="W1244" i="1"/>
  <c r="V1244" i="1"/>
  <c r="U1244" i="1"/>
  <c r="T1244" i="1"/>
  <c r="S1244" i="1"/>
  <c r="W1243" i="1"/>
  <c r="V1243" i="1"/>
  <c r="U1243" i="1"/>
  <c r="T1243" i="1"/>
  <c r="S1243" i="1"/>
  <c r="W1242" i="1"/>
  <c r="V1242" i="1"/>
  <c r="U1242" i="1"/>
  <c r="T1242" i="1"/>
  <c r="S1242" i="1"/>
  <c r="W1241" i="1"/>
  <c r="V1241" i="1"/>
  <c r="U1241" i="1"/>
  <c r="T1241" i="1"/>
  <c r="S1241" i="1"/>
  <c r="W1240" i="1"/>
  <c r="V1240" i="1"/>
  <c r="U1240" i="1"/>
  <c r="T1240" i="1"/>
  <c r="S1240" i="1"/>
  <c r="W1239" i="1"/>
  <c r="V1239" i="1"/>
  <c r="U1239" i="1"/>
  <c r="T1239" i="1"/>
  <c r="S1239" i="1"/>
  <c r="W1238" i="1"/>
  <c r="V1238" i="1"/>
  <c r="U1238" i="1"/>
  <c r="T1238" i="1"/>
  <c r="S1238" i="1"/>
  <c r="W1237" i="1"/>
  <c r="V1237" i="1"/>
  <c r="U1237" i="1"/>
  <c r="T1237" i="1"/>
  <c r="S1237" i="1"/>
  <c r="W1236" i="1"/>
  <c r="V1236" i="1"/>
  <c r="U1236" i="1"/>
  <c r="T1236" i="1"/>
  <c r="S1236" i="1"/>
  <c r="W1235" i="1"/>
  <c r="V1235" i="1"/>
  <c r="U1235" i="1"/>
  <c r="T1235" i="1"/>
  <c r="S1235" i="1"/>
  <c r="W1234" i="1"/>
  <c r="V1234" i="1"/>
  <c r="U1234" i="1"/>
  <c r="T1234" i="1"/>
  <c r="S1234" i="1"/>
  <c r="W1233" i="1"/>
  <c r="V1233" i="1"/>
  <c r="U1233" i="1"/>
  <c r="T1233" i="1"/>
  <c r="S1233" i="1"/>
  <c r="W1232" i="1"/>
  <c r="V1232" i="1"/>
  <c r="U1232" i="1"/>
  <c r="T1232" i="1"/>
  <c r="S1232" i="1"/>
  <c r="W1231" i="1"/>
  <c r="V1231" i="1"/>
  <c r="U1231" i="1"/>
  <c r="T1231" i="1"/>
  <c r="S1231" i="1"/>
  <c r="W1230" i="1"/>
  <c r="V1230" i="1"/>
  <c r="U1230" i="1"/>
  <c r="T1230" i="1"/>
  <c r="S1230" i="1"/>
  <c r="W1229" i="1"/>
  <c r="V1229" i="1"/>
  <c r="U1229" i="1"/>
  <c r="T1229" i="1"/>
  <c r="S1229" i="1"/>
  <c r="W1228" i="1"/>
  <c r="V1228" i="1"/>
  <c r="U1228" i="1"/>
  <c r="T1228" i="1"/>
  <c r="S1228" i="1"/>
  <c r="W1227" i="1"/>
  <c r="V1227" i="1"/>
  <c r="U1227" i="1"/>
  <c r="T1227" i="1"/>
  <c r="S1227" i="1"/>
  <c r="W1226" i="1"/>
  <c r="V1226" i="1"/>
  <c r="U1226" i="1"/>
  <c r="T1226" i="1"/>
  <c r="S1226" i="1"/>
  <c r="W1225" i="1"/>
  <c r="V1225" i="1"/>
  <c r="U1225" i="1"/>
  <c r="T1225" i="1"/>
  <c r="S1225" i="1"/>
  <c r="W1224" i="1"/>
  <c r="V1224" i="1"/>
  <c r="U1224" i="1"/>
  <c r="T1224" i="1"/>
  <c r="S1224" i="1"/>
  <c r="W1223" i="1"/>
  <c r="V1223" i="1"/>
  <c r="U1223" i="1"/>
  <c r="T1223" i="1"/>
  <c r="S1223" i="1"/>
  <c r="W1222" i="1"/>
  <c r="V1222" i="1"/>
  <c r="U1222" i="1"/>
  <c r="T1222" i="1"/>
  <c r="S1222" i="1"/>
  <c r="W1221" i="1"/>
  <c r="V1221" i="1"/>
  <c r="U1221" i="1"/>
  <c r="T1221" i="1"/>
  <c r="S1221" i="1"/>
  <c r="W1220" i="1"/>
  <c r="V1220" i="1"/>
  <c r="U1220" i="1"/>
  <c r="T1220" i="1"/>
  <c r="S1220" i="1"/>
  <c r="W1219" i="1"/>
  <c r="V1219" i="1"/>
  <c r="U1219" i="1"/>
  <c r="T1219" i="1"/>
  <c r="S1219" i="1"/>
  <c r="W1218" i="1"/>
  <c r="V1218" i="1"/>
  <c r="U1218" i="1"/>
  <c r="T1218" i="1"/>
  <c r="S1218" i="1"/>
  <c r="W1217" i="1"/>
  <c r="V1217" i="1"/>
  <c r="U1217" i="1"/>
  <c r="T1217" i="1"/>
  <c r="S1217" i="1"/>
  <c r="W1216" i="1"/>
  <c r="V1216" i="1"/>
  <c r="U1216" i="1"/>
  <c r="T1216" i="1"/>
  <c r="S1216" i="1"/>
  <c r="W1215" i="1"/>
  <c r="V1215" i="1"/>
  <c r="U1215" i="1"/>
  <c r="T1215" i="1"/>
  <c r="S1215" i="1"/>
  <c r="W1214" i="1"/>
  <c r="V1214" i="1"/>
  <c r="U1214" i="1"/>
  <c r="T1214" i="1"/>
  <c r="S1214" i="1"/>
  <c r="W1213" i="1"/>
  <c r="V1213" i="1"/>
  <c r="U1213" i="1"/>
  <c r="T1213" i="1"/>
  <c r="S1213" i="1"/>
  <c r="W1212" i="1"/>
  <c r="V1212" i="1"/>
  <c r="U1212" i="1"/>
  <c r="T1212" i="1"/>
  <c r="S1212" i="1"/>
  <c r="W1211" i="1"/>
  <c r="V1211" i="1"/>
  <c r="U1211" i="1"/>
  <c r="T1211" i="1"/>
  <c r="S1211" i="1"/>
  <c r="W1210" i="1"/>
  <c r="V1210" i="1"/>
  <c r="U1210" i="1"/>
  <c r="T1210" i="1"/>
  <c r="S1210" i="1"/>
  <c r="W1209" i="1"/>
  <c r="V1209" i="1"/>
  <c r="U1209" i="1"/>
  <c r="T1209" i="1"/>
  <c r="S1209" i="1"/>
  <c r="W1208" i="1"/>
  <c r="V1208" i="1"/>
  <c r="U1208" i="1"/>
  <c r="T1208" i="1"/>
  <c r="S1208" i="1"/>
  <c r="W1207" i="1"/>
  <c r="V1207" i="1"/>
  <c r="U1207" i="1"/>
  <c r="T1207" i="1"/>
  <c r="S1207" i="1"/>
  <c r="W1206" i="1"/>
  <c r="V1206" i="1"/>
  <c r="U1206" i="1"/>
  <c r="T1206" i="1"/>
  <c r="S1206" i="1"/>
  <c r="W1205" i="1"/>
  <c r="V1205" i="1"/>
  <c r="U1205" i="1"/>
  <c r="T1205" i="1"/>
  <c r="S1205" i="1"/>
  <c r="W1204" i="1"/>
  <c r="V1204" i="1"/>
  <c r="U1204" i="1"/>
  <c r="T1204" i="1"/>
  <c r="S1204" i="1"/>
  <c r="W1203" i="1"/>
  <c r="V1203" i="1"/>
  <c r="U1203" i="1"/>
  <c r="T1203" i="1"/>
  <c r="S1203" i="1"/>
  <c r="W1202" i="1"/>
  <c r="V1202" i="1"/>
  <c r="U1202" i="1"/>
  <c r="T1202" i="1"/>
  <c r="S1202" i="1"/>
  <c r="W1201" i="1"/>
  <c r="V1201" i="1"/>
  <c r="U1201" i="1"/>
  <c r="T1201" i="1"/>
  <c r="S1201" i="1"/>
  <c r="W1200" i="1"/>
  <c r="V1200" i="1"/>
  <c r="U1200" i="1"/>
  <c r="T1200" i="1"/>
  <c r="S1200" i="1"/>
  <c r="W1199" i="1"/>
  <c r="V1199" i="1"/>
  <c r="U1199" i="1"/>
  <c r="T1199" i="1"/>
  <c r="S1199" i="1"/>
  <c r="W1198" i="1"/>
  <c r="V1198" i="1"/>
  <c r="U1198" i="1"/>
  <c r="T1198" i="1"/>
  <c r="S1198" i="1"/>
  <c r="W1197" i="1"/>
  <c r="V1197" i="1"/>
  <c r="U1197" i="1"/>
  <c r="T1197" i="1"/>
  <c r="S1197" i="1"/>
  <c r="W1196" i="1"/>
  <c r="V1196" i="1"/>
  <c r="U1196" i="1"/>
  <c r="T1196" i="1"/>
  <c r="S1196" i="1"/>
  <c r="W1195" i="1"/>
  <c r="V1195" i="1"/>
  <c r="U1195" i="1"/>
  <c r="T1195" i="1"/>
  <c r="S1195" i="1"/>
  <c r="W1194" i="1"/>
  <c r="V1194" i="1"/>
  <c r="U1194" i="1"/>
  <c r="T1194" i="1"/>
  <c r="S1194" i="1"/>
  <c r="W1193" i="1"/>
  <c r="V1193" i="1"/>
  <c r="U1193" i="1"/>
  <c r="T1193" i="1"/>
  <c r="S1193" i="1"/>
  <c r="W1192" i="1"/>
  <c r="V1192" i="1"/>
  <c r="U1192" i="1"/>
  <c r="T1192" i="1"/>
  <c r="S1192" i="1"/>
  <c r="W1191" i="1"/>
  <c r="V1191" i="1"/>
  <c r="U1191" i="1"/>
  <c r="T1191" i="1"/>
  <c r="S1191" i="1"/>
  <c r="W1190" i="1"/>
  <c r="V1190" i="1"/>
  <c r="U1190" i="1"/>
  <c r="T1190" i="1"/>
  <c r="S1190" i="1"/>
  <c r="W1189" i="1"/>
  <c r="V1189" i="1"/>
  <c r="U1189" i="1"/>
  <c r="T1189" i="1"/>
  <c r="S1189" i="1"/>
  <c r="W1188" i="1"/>
  <c r="V1188" i="1"/>
  <c r="U1188" i="1"/>
  <c r="T1188" i="1"/>
  <c r="S1188" i="1"/>
  <c r="W1187" i="1"/>
  <c r="V1187" i="1"/>
  <c r="U1187" i="1"/>
  <c r="T1187" i="1"/>
  <c r="S1187" i="1"/>
  <c r="W1186" i="1"/>
  <c r="V1186" i="1"/>
  <c r="U1186" i="1"/>
  <c r="T1186" i="1"/>
  <c r="S1186" i="1"/>
  <c r="W1185" i="1"/>
  <c r="V1185" i="1"/>
  <c r="U1185" i="1"/>
  <c r="T1185" i="1"/>
  <c r="S1185" i="1"/>
  <c r="W1184" i="1"/>
  <c r="V1184" i="1"/>
  <c r="U1184" i="1"/>
  <c r="T1184" i="1"/>
  <c r="S1184" i="1"/>
  <c r="W1183" i="1"/>
  <c r="V1183" i="1"/>
  <c r="U1183" i="1"/>
  <c r="T1183" i="1"/>
  <c r="S1183" i="1"/>
  <c r="W1182" i="1"/>
  <c r="V1182" i="1"/>
  <c r="U1182" i="1"/>
  <c r="T1182" i="1"/>
  <c r="S1182" i="1"/>
  <c r="W1181" i="1"/>
  <c r="V1181" i="1"/>
  <c r="U1181" i="1"/>
  <c r="T1181" i="1"/>
  <c r="S1181" i="1"/>
  <c r="W1180" i="1"/>
  <c r="V1180" i="1"/>
  <c r="U1180" i="1"/>
  <c r="T1180" i="1"/>
  <c r="S1180" i="1"/>
  <c r="W1179" i="1"/>
  <c r="V1179" i="1"/>
  <c r="U1179" i="1"/>
  <c r="T1179" i="1"/>
  <c r="S1179" i="1"/>
  <c r="W1178" i="1"/>
  <c r="V1178" i="1"/>
  <c r="U1178" i="1"/>
  <c r="T1178" i="1"/>
  <c r="S1178" i="1"/>
  <c r="W1177" i="1"/>
  <c r="V1177" i="1"/>
  <c r="U1177" i="1"/>
  <c r="T1177" i="1"/>
  <c r="S1177" i="1"/>
  <c r="W1176" i="1"/>
  <c r="V1176" i="1"/>
  <c r="U1176" i="1"/>
  <c r="T1176" i="1"/>
  <c r="S1176" i="1"/>
  <c r="W1175" i="1"/>
  <c r="V1175" i="1"/>
  <c r="U1175" i="1"/>
  <c r="T1175" i="1"/>
  <c r="S1175" i="1"/>
  <c r="W1174" i="1"/>
  <c r="V1174" i="1"/>
  <c r="U1174" i="1"/>
  <c r="T1174" i="1"/>
  <c r="S1174" i="1"/>
  <c r="W1173" i="1"/>
  <c r="V1173" i="1"/>
  <c r="U1173" i="1"/>
  <c r="T1173" i="1"/>
  <c r="S1173" i="1"/>
  <c r="W1172" i="1"/>
  <c r="V1172" i="1"/>
  <c r="U1172" i="1"/>
  <c r="T1172" i="1"/>
  <c r="S1172" i="1"/>
  <c r="W1171" i="1"/>
  <c r="V1171" i="1"/>
  <c r="U1171" i="1"/>
  <c r="T1171" i="1"/>
  <c r="S1171" i="1"/>
  <c r="W1170" i="1"/>
  <c r="V1170" i="1"/>
  <c r="U1170" i="1"/>
  <c r="T1170" i="1"/>
  <c r="S1170" i="1"/>
  <c r="W1169" i="1"/>
  <c r="V1169" i="1"/>
  <c r="U1169" i="1"/>
  <c r="T1169" i="1"/>
  <c r="S1169" i="1"/>
  <c r="W1168" i="1"/>
  <c r="V1168" i="1"/>
  <c r="U1168" i="1"/>
  <c r="T1168" i="1"/>
  <c r="S1168" i="1"/>
  <c r="W1167" i="1"/>
  <c r="V1167" i="1"/>
  <c r="U1167" i="1"/>
  <c r="T1167" i="1"/>
  <c r="S1167" i="1"/>
  <c r="W1166" i="1"/>
  <c r="V1166" i="1"/>
  <c r="U1166" i="1"/>
  <c r="T1166" i="1"/>
  <c r="S1166" i="1"/>
  <c r="W1165" i="1"/>
  <c r="V1165" i="1"/>
  <c r="U1165" i="1"/>
  <c r="T1165" i="1"/>
  <c r="S1165" i="1"/>
  <c r="W1164" i="1"/>
  <c r="V1164" i="1"/>
  <c r="U1164" i="1"/>
  <c r="T1164" i="1"/>
  <c r="S1164" i="1"/>
  <c r="W1163" i="1"/>
  <c r="V1163" i="1"/>
  <c r="U1163" i="1"/>
  <c r="T1163" i="1"/>
  <c r="S1163" i="1"/>
  <c r="W1162" i="1"/>
  <c r="V1162" i="1"/>
  <c r="U1162" i="1"/>
  <c r="T1162" i="1"/>
  <c r="S1162" i="1"/>
  <c r="W1161" i="1"/>
  <c r="V1161" i="1"/>
  <c r="U1161" i="1"/>
  <c r="T1161" i="1"/>
  <c r="S1161" i="1"/>
  <c r="W1160" i="1"/>
  <c r="V1160" i="1"/>
  <c r="U1160" i="1"/>
  <c r="T1160" i="1"/>
  <c r="S1160" i="1"/>
  <c r="W1159" i="1"/>
  <c r="V1159" i="1"/>
  <c r="U1159" i="1"/>
  <c r="T1159" i="1"/>
  <c r="S1159" i="1"/>
  <c r="W1158" i="1"/>
  <c r="V1158" i="1"/>
  <c r="U1158" i="1"/>
  <c r="T1158" i="1"/>
  <c r="S1158" i="1"/>
  <c r="W1157" i="1"/>
  <c r="V1157" i="1"/>
  <c r="U1157" i="1"/>
  <c r="T1157" i="1"/>
  <c r="S1157" i="1"/>
  <c r="W1156" i="1"/>
  <c r="V1156" i="1"/>
  <c r="U1156" i="1"/>
  <c r="T1156" i="1"/>
  <c r="S1156" i="1"/>
  <c r="W1155" i="1"/>
  <c r="V1155" i="1"/>
  <c r="U1155" i="1"/>
  <c r="T1155" i="1"/>
  <c r="S1155" i="1"/>
  <c r="W1154" i="1"/>
  <c r="V1154" i="1"/>
  <c r="U1154" i="1"/>
  <c r="T1154" i="1"/>
  <c r="S1154" i="1"/>
  <c r="W1153" i="1"/>
  <c r="V1153" i="1"/>
  <c r="U1153" i="1"/>
  <c r="T1153" i="1"/>
  <c r="S1153" i="1"/>
  <c r="W1152" i="1"/>
  <c r="V1152" i="1"/>
  <c r="U1152" i="1"/>
  <c r="T1152" i="1"/>
  <c r="S1152" i="1"/>
  <c r="W1151" i="1"/>
  <c r="V1151" i="1"/>
  <c r="U1151" i="1"/>
  <c r="T1151" i="1"/>
  <c r="S1151" i="1"/>
  <c r="W1150" i="1"/>
  <c r="V1150" i="1"/>
  <c r="U1150" i="1"/>
  <c r="T1150" i="1"/>
  <c r="S1150" i="1"/>
  <c r="W1149" i="1"/>
  <c r="V1149" i="1"/>
  <c r="U1149" i="1"/>
  <c r="T1149" i="1"/>
  <c r="S1149" i="1"/>
  <c r="W1148" i="1"/>
  <c r="V1148" i="1"/>
  <c r="U1148" i="1"/>
  <c r="T1148" i="1"/>
  <c r="S1148" i="1"/>
  <c r="W1147" i="1"/>
  <c r="V1147" i="1"/>
  <c r="U1147" i="1"/>
  <c r="T1147" i="1"/>
  <c r="S1147" i="1"/>
  <c r="W1146" i="1"/>
  <c r="V1146" i="1"/>
  <c r="U1146" i="1"/>
  <c r="T1146" i="1"/>
  <c r="S1146" i="1"/>
  <c r="W1145" i="1"/>
  <c r="V1145" i="1"/>
  <c r="U1145" i="1"/>
  <c r="T1145" i="1"/>
  <c r="S1145" i="1"/>
  <c r="W1144" i="1"/>
  <c r="V1144" i="1"/>
  <c r="U1144" i="1"/>
  <c r="T1144" i="1"/>
  <c r="S1144" i="1"/>
  <c r="W1143" i="1"/>
  <c r="V1143" i="1"/>
  <c r="U1143" i="1"/>
  <c r="T1143" i="1"/>
  <c r="S1143" i="1"/>
  <c r="W1142" i="1"/>
  <c r="V1142" i="1"/>
  <c r="U1142" i="1"/>
  <c r="T1142" i="1"/>
  <c r="S1142" i="1"/>
  <c r="W1141" i="1"/>
  <c r="V1141" i="1"/>
  <c r="U1141" i="1"/>
  <c r="T1141" i="1"/>
  <c r="S1141" i="1"/>
  <c r="W1140" i="1"/>
  <c r="V1140" i="1"/>
  <c r="U1140" i="1"/>
  <c r="T1140" i="1"/>
  <c r="S1140" i="1"/>
  <c r="W1139" i="1"/>
  <c r="V1139" i="1"/>
  <c r="U1139" i="1"/>
  <c r="T1139" i="1"/>
  <c r="S1139" i="1"/>
  <c r="W1138" i="1"/>
  <c r="V1138" i="1"/>
  <c r="U1138" i="1"/>
  <c r="T1138" i="1"/>
  <c r="S1138" i="1"/>
  <c r="W1137" i="1"/>
  <c r="V1137" i="1"/>
  <c r="U1137" i="1"/>
  <c r="T1137" i="1"/>
  <c r="S1137" i="1"/>
  <c r="W1136" i="1"/>
  <c r="V1136" i="1"/>
  <c r="U1136" i="1"/>
  <c r="T1136" i="1"/>
  <c r="S1136" i="1"/>
  <c r="W1135" i="1"/>
  <c r="V1135" i="1"/>
  <c r="U1135" i="1"/>
  <c r="T1135" i="1"/>
  <c r="S1135" i="1"/>
  <c r="W1134" i="1"/>
  <c r="V1134" i="1"/>
  <c r="U1134" i="1"/>
  <c r="T1134" i="1"/>
  <c r="S1134" i="1"/>
  <c r="W1133" i="1"/>
  <c r="V1133" i="1"/>
  <c r="U1133" i="1"/>
  <c r="T1133" i="1"/>
  <c r="S1133" i="1"/>
  <c r="W1132" i="1"/>
  <c r="V1132" i="1"/>
  <c r="U1132" i="1"/>
  <c r="T1132" i="1"/>
  <c r="S1132" i="1"/>
  <c r="W1131" i="1"/>
  <c r="V1131" i="1"/>
  <c r="U1131" i="1"/>
  <c r="T1131" i="1"/>
  <c r="S1131" i="1"/>
  <c r="W1130" i="1"/>
  <c r="V1130" i="1"/>
  <c r="U1130" i="1"/>
  <c r="T1130" i="1"/>
  <c r="S1130" i="1"/>
  <c r="W1129" i="1"/>
  <c r="V1129" i="1"/>
  <c r="U1129" i="1"/>
  <c r="T1129" i="1"/>
  <c r="S1129" i="1"/>
  <c r="W1128" i="1"/>
  <c r="V1128" i="1"/>
  <c r="U1128" i="1"/>
  <c r="T1128" i="1"/>
  <c r="S1128" i="1"/>
  <c r="W1127" i="1"/>
  <c r="V1127" i="1"/>
  <c r="U1127" i="1"/>
  <c r="T1127" i="1"/>
  <c r="S1127" i="1"/>
  <c r="W1126" i="1"/>
  <c r="V1126" i="1"/>
  <c r="U1126" i="1"/>
  <c r="T1126" i="1"/>
  <c r="S1126" i="1"/>
  <c r="W1125" i="1"/>
  <c r="V1125" i="1"/>
  <c r="U1125" i="1"/>
  <c r="T1125" i="1"/>
  <c r="S1125" i="1"/>
  <c r="W1124" i="1"/>
  <c r="V1124" i="1"/>
  <c r="U1124" i="1"/>
  <c r="T1124" i="1"/>
  <c r="S1124" i="1"/>
  <c r="W1123" i="1"/>
  <c r="V1123" i="1"/>
  <c r="U1123" i="1"/>
  <c r="T1123" i="1"/>
  <c r="S1123" i="1"/>
  <c r="W1122" i="1"/>
  <c r="V1122" i="1"/>
  <c r="U1122" i="1"/>
  <c r="T1122" i="1"/>
  <c r="S1122" i="1"/>
  <c r="W1121" i="1"/>
  <c r="V1121" i="1"/>
  <c r="U1121" i="1"/>
  <c r="T1121" i="1"/>
  <c r="S1121" i="1"/>
  <c r="W1120" i="1"/>
  <c r="V1120" i="1"/>
  <c r="U1120" i="1"/>
  <c r="T1120" i="1"/>
  <c r="S1120" i="1"/>
  <c r="W1119" i="1"/>
  <c r="V1119" i="1"/>
  <c r="U1119" i="1"/>
  <c r="T1119" i="1"/>
  <c r="S1119" i="1"/>
  <c r="W1118" i="1"/>
  <c r="V1118" i="1"/>
  <c r="U1118" i="1"/>
  <c r="T1118" i="1"/>
  <c r="S1118" i="1"/>
  <c r="W1117" i="1"/>
  <c r="V1117" i="1"/>
  <c r="U1117" i="1"/>
  <c r="T1117" i="1"/>
  <c r="S1117" i="1"/>
  <c r="W1116" i="1"/>
  <c r="V1116" i="1"/>
  <c r="U1116" i="1"/>
  <c r="T1116" i="1"/>
  <c r="S1116" i="1"/>
  <c r="W1115" i="1"/>
  <c r="V1115" i="1"/>
  <c r="U1115" i="1"/>
  <c r="T1115" i="1"/>
  <c r="S1115" i="1"/>
  <c r="W1114" i="1"/>
  <c r="V1114" i="1"/>
  <c r="U1114" i="1"/>
  <c r="T1114" i="1"/>
  <c r="S1114" i="1"/>
  <c r="W1113" i="1"/>
  <c r="V1113" i="1"/>
  <c r="U1113" i="1"/>
  <c r="T1113" i="1"/>
  <c r="S1113" i="1"/>
  <c r="W1112" i="1"/>
  <c r="V1112" i="1"/>
  <c r="U1112" i="1"/>
  <c r="T1112" i="1"/>
  <c r="S1112" i="1"/>
  <c r="W1111" i="1"/>
  <c r="V1111" i="1"/>
  <c r="U1111" i="1"/>
  <c r="T1111" i="1"/>
  <c r="S1111" i="1"/>
  <c r="W1110" i="1"/>
  <c r="V1110" i="1"/>
  <c r="U1110" i="1"/>
  <c r="T1110" i="1"/>
  <c r="S1110" i="1"/>
  <c r="W1109" i="1"/>
  <c r="V1109" i="1"/>
  <c r="U1109" i="1"/>
  <c r="T1109" i="1"/>
  <c r="S1109" i="1"/>
  <c r="W1108" i="1"/>
  <c r="V1108" i="1"/>
  <c r="U1108" i="1"/>
  <c r="T1108" i="1"/>
  <c r="S1108" i="1"/>
  <c r="W1107" i="1"/>
  <c r="V1107" i="1"/>
  <c r="U1107" i="1"/>
  <c r="T1107" i="1"/>
  <c r="S1107" i="1"/>
  <c r="W1106" i="1"/>
  <c r="V1106" i="1"/>
  <c r="U1106" i="1"/>
  <c r="T1106" i="1"/>
  <c r="S1106" i="1"/>
  <c r="W1105" i="1"/>
  <c r="V1105" i="1"/>
  <c r="U1105" i="1"/>
  <c r="T1105" i="1"/>
  <c r="S1105" i="1"/>
  <c r="W1104" i="1"/>
  <c r="V1104" i="1"/>
  <c r="U1104" i="1"/>
  <c r="T1104" i="1"/>
  <c r="S1104" i="1"/>
  <c r="W1103" i="1"/>
  <c r="V1103" i="1"/>
  <c r="U1103" i="1"/>
  <c r="T1103" i="1"/>
  <c r="S1103" i="1"/>
  <c r="W1102" i="1"/>
  <c r="V1102" i="1"/>
  <c r="U1102" i="1"/>
  <c r="T1102" i="1"/>
  <c r="S1102" i="1"/>
  <c r="W1101" i="1"/>
  <c r="V1101" i="1"/>
  <c r="U1101" i="1"/>
  <c r="T1101" i="1"/>
  <c r="S1101" i="1"/>
  <c r="W1100" i="1"/>
  <c r="V1100" i="1"/>
  <c r="U1100" i="1"/>
  <c r="T1100" i="1"/>
  <c r="S1100" i="1"/>
  <c r="W1099" i="1"/>
  <c r="V1099" i="1"/>
  <c r="U1099" i="1"/>
  <c r="T1099" i="1"/>
  <c r="S1099" i="1"/>
  <c r="W1098" i="1"/>
  <c r="V1098" i="1"/>
  <c r="U1098" i="1"/>
  <c r="T1098" i="1"/>
  <c r="S1098" i="1"/>
  <c r="W1097" i="1"/>
  <c r="V1097" i="1"/>
  <c r="U1097" i="1"/>
  <c r="T1097" i="1"/>
  <c r="S1097" i="1"/>
  <c r="W1096" i="1"/>
  <c r="V1096" i="1"/>
  <c r="U1096" i="1"/>
  <c r="T1096" i="1"/>
  <c r="S1096" i="1"/>
  <c r="W1095" i="1"/>
  <c r="V1095" i="1"/>
  <c r="U1095" i="1"/>
  <c r="T1095" i="1"/>
  <c r="S1095" i="1"/>
  <c r="W1094" i="1"/>
  <c r="V1094" i="1"/>
  <c r="U1094" i="1"/>
  <c r="T1094" i="1"/>
  <c r="S1094" i="1"/>
  <c r="W1093" i="1"/>
  <c r="V1093" i="1"/>
  <c r="U1093" i="1"/>
  <c r="T1093" i="1"/>
  <c r="S1093" i="1"/>
  <c r="W1092" i="1"/>
  <c r="V1092" i="1"/>
  <c r="U1092" i="1"/>
  <c r="T1092" i="1"/>
  <c r="S1092" i="1"/>
  <c r="W1091" i="1"/>
  <c r="V1091" i="1"/>
  <c r="U1091" i="1"/>
  <c r="T1091" i="1"/>
  <c r="S1091" i="1"/>
  <c r="W1090" i="1"/>
  <c r="V1090" i="1"/>
  <c r="U1090" i="1"/>
  <c r="T1090" i="1"/>
  <c r="S1090" i="1"/>
  <c r="W1089" i="1"/>
  <c r="V1089" i="1"/>
  <c r="U1089" i="1"/>
  <c r="T1089" i="1"/>
  <c r="S1089" i="1"/>
  <c r="W1088" i="1"/>
  <c r="V1088" i="1"/>
  <c r="U1088" i="1"/>
  <c r="T1088" i="1"/>
  <c r="S1088" i="1"/>
  <c r="W1087" i="1"/>
  <c r="V1087" i="1"/>
  <c r="U1087" i="1"/>
  <c r="T1087" i="1"/>
  <c r="S1087" i="1"/>
  <c r="W1086" i="1"/>
  <c r="V1086" i="1"/>
  <c r="U1086" i="1"/>
  <c r="T1086" i="1"/>
  <c r="S1086" i="1"/>
  <c r="W1085" i="1"/>
  <c r="V1085" i="1"/>
  <c r="U1085" i="1"/>
  <c r="T1085" i="1"/>
  <c r="S1085" i="1"/>
  <c r="W1084" i="1"/>
  <c r="V1084" i="1"/>
  <c r="U1084" i="1"/>
  <c r="T1084" i="1"/>
  <c r="S1084" i="1"/>
  <c r="W1083" i="1"/>
  <c r="V1083" i="1"/>
  <c r="U1083" i="1"/>
  <c r="T1083" i="1"/>
  <c r="S1083" i="1"/>
  <c r="W1082" i="1"/>
  <c r="V1082" i="1"/>
  <c r="U1082" i="1"/>
  <c r="T1082" i="1"/>
  <c r="S1082" i="1"/>
  <c r="W1081" i="1"/>
  <c r="V1081" i="1"/>
  <c r="U1081" i="1"/>
  <c r="T1081" i="1"/>
  <c r="S1081" i="1"/>
  <c r="W1080" i="1"/>
  <c r="V1080" i="1"/>
  <c r="U1080" i="1"/>
  <c r="T1080" i="1"/>
  <c r="S1080" i="1"/>
  <c r="W1079" i="1"/>
  <c r="V1079" i="1"/>
  <c r="U1079" i="1"/>
  <c r="T1079" i="1"/>
  <c r="S1079" i="1"/>
  <c r="W1078" i="1"/>
  <c r="V1078" i="1"/>
  <c r="U1078" i="1"/>
  <c r="T1078" i="1"/>
  <c r="S1078" i="1"/>
  <c r="W1077" i="1"/>
  <c r="V1077" i="1"/>
  <c r="U1077" i="1"/>
  <c r="T1077" i="1"/>
  <c r="S1077" i="1"/>
  <c r="W1076" i="1"/>
  <c r="V1076" i="1"/>
  <c r="U1076" i="1"/>
  <c r="T1076" i="1"/>
  <c r="S1076" i="1"/>
  <c r="W1075" i="1"/>
  <c r="V1075" i="1"/>
  <c r="U1075" i="1"/>
  <c r="T1075" i="1"/>
  <c r="S1075" i="1"/>
  <c r="W1074" i="1"/>
  <c r="V1074" i="1"/>
  <c r="U1074" i="1"/>
  <c r="T1074" i="1"/>
  <c r="S1074" i="1"/>
  <c r="W1073" i="1"/>
  <c r="V1073" i="1"/>
  <c r="U1073" i="1"/>
  <c r="T1073" i="1"/>
  <c r="S1073" i="1"/>
  <c r="W1072" i="1"/>
  <c r="V1072" i="1"/>
  <c r="U1072" i="1"/>
  <c r="T1072" i="1"/>
  <c r="S1072" i="1"/>
  <c r="W1071" i="1"/>
  <c r="V1071" i="1"/>
  <c r="U1071" i="1"/>
  <c r="T1071" i="1"/>
  <c r="S1071" i="1"/>
  <c r="W1070" i="1"/>
  <c r="V1070" i="1"/>
  <c r="U1070" i="1"/>
  <c r="T1070" i="1"/>
  <c r="S1070" i="1"/>
  <c r="W1069" i="1"/>
  <c r="V1069" i="1"/>
  <c r="U1069" i="1"/>
  <c r="T1069" i="1"/>
  <c r="S1069" i="1"/>
  <c r="W1068" i="1"/>
  <c r="V1068" i="1"/>
  <c r="U1068" i="1"/>
  <c r="T1068" i="1"/>
  <c r="S1068" i="1"/>
  <c r="W1067" i="1"/>
  <c r="V1067" i="1"/>
  <c r="U1067" i="1"/>
  <c r="T1067" i="1"/>
  <c r="S1067" i="1"/>
  <c r="W1066" i="1"/>
  <c r="V1066" i="1"/>
  <c r="U1066" i="1"/>
  <c r="T1066" i="1"/>
  <c r="S1066" i="1"/>
  <c r="W1065" i="1"/>
  <c r="V1065" i="1"/>
  <c r="U1065" i="1"/>
  <c r="T1065" i="1"/>
  <c r="S1065" i="1"/>
  <c r="W1064" i="1"/>
  <c r="V1064" i="1"/>
  <c r="U1064" i="1"/>
  <c r="T1064" i="1"/>
  <c r="S1064" i="1"/>
  <c r="W1063" i="1"/>
  <c r="V1063" i="1"/>
  <c r="U1063" i="1"/>
  <c r="T1063" i="1"/>
  <c r="S1063" i="1"/>
  <c r="W1062" i="1"/>
  <c r="V1062" i="1"/>
  <c r="U1062" i="1"/>
  <c r="T1062" i="1"/>
  <c r="S1062" i="1"/>
  <c r="W1061" i="1"/>
  <c r="V1061" i="1"/>
  <c r="U1061" i="1"/>
  <c r="T1061" i="1"/>
  <c r="S1061" i="1"/>
  <c r="W1060" i="1"/>
  <c r="V1060" i="1"/>
  <c r="U1060" i="1"/>
  <c r="T1060" i="1"/>
  <c r="S1060" i="1"/>
  <c r="W1059" i="1"/>
  <c r="V1059" i="1"/>
  <c r="U1059" i="1"/>
  <c r="T1059" i="1"/>
  <c r="S1059" i="1"/>
  <c r="W1058" i="1"/>
  <c r="V1058" i="1"/>
  <c r="U1058" i="1"/>
  <c r="T1058" i="1"/>
  <c r="S1058" i="1"/>
  <c r="W1057" i="1"/>
  <c r="V1057" i="1"/>
  <c r="U1057" i="1"/>
  <c r="T1057" i="1"/>
  <c r="S1057" i="1"/>
  <c r="W1056" i="1"/>
  <c r="V1056" i="1"/>
  <c r="U1056" i="1"/>
  <c r="T1056" i="1"/>
  <c r="S1056" i="1"/>
  <c r="W1055" i="1"/>
  <c r="V1055" i="1"/>
  <c r="U1055" i="1"/>
  <c r="T1055" i="1"/>
  <c r="S1055" i="1"/>
  <c r="W1054" i="1"/>
  <c r="V1054" i="1"/>
  <c r="U1054" i="1"/>
  <c r="T1054" i="1"/>
  <c r="S1054" i="1"/>
  <c r="W1053" i="1"/>
  <c r="V1053" i="1"/>
  <c r="U1053" i="1"/>
  <c r="T1053" i="1"/>
  <c r="S1053" i="1"/>
  <c r="W1052" i="1"/>
  <c r="V1052" i="1"/>
  <c r="U1052" i="1"/>
  <c r="T1052" i="1"/>
  <c r="S1052" i="1"/>
  <c r="W1051" i="1"/>
  <c r="V1051" i="1"/>
  <c r="U1051" i="1"/>
  <c r="T1051" i="1"/>
  <c r="S1051" i="1"/>
  <c r="W1050" i="1"/>
  <c r="V1050" i="1"/>
  <c r="U1050" i="1"/>
  <c r="T1050" i="1"/>
  <c r="S1050" i="1"/>
  <c r="W1049" i="1"/>
  <c r="V1049" i="1"/>
  <c r="U1049" i="1"/>
  <c r="T1049" i="1"/>
  <c r="S1049" i="1"/>
  <c r="W1048" i="1"/>
  <c r="V1048" i="1"/>
  <c r="U1048" i="1"/>
  <c r="T1048" i="1"/>
  <c r="S1048" i="1"/>
  <c r="W1047" i="1"/>
  <c r="V1047" i="1"/>
  <c r="U1047" i="1"/>
  <c r="T1047" i="1"/>
  <c r="S1047" i="1"/>
  <c r="W1046" i="1"/>
  <c r="V1046" i="1"/>
  <c r="U1046" i="1"/>
  <c r="T1046" i="1"/>
  <c r="S1046" i="1"/>
  <c r="W1045" i="1"/>
  <c r="V1045" i="1"/>
  <c r="U1045" i="1"/>
  <c r="T1045" i="1"/>
  <c r="S1045" i="1"/>
  <c r="W1044" i="1"/>
  <c r="V1044" i="1"/>
  <c r="U1044" i="1"/>
  <c r="T1044" i="1"/>
  <c r="S1044" i="1"/>
  <c r="W1043" i="1"/>
  <c r="V1043" i="1"/>
  <c r="U1043" i="1"/>
  <c r="T1043" i="1"/>
  <c r="S1043" i="1"/>
  <c r="W1042" i="1"/>
  <c r="V1042" i="1"/>
  <c r="U1042" i="1"/>
  <c r="T1042" i="1"/>
  <c r="S1042" i="1"/>
  <c r="W1041" i="1"/>
  <c r="V1041" i="1"/>
  <c r="U1041" i="1"/>
  <c r="T1041" i="1"/>
  <c r="S1041" i="1"/>
  <c r="W1040" i="1"/>
  <c r="V1040" i="1"/>
  <c r="U1040" i="1"/>
  <c r="T1040" i="1"/>
  <c r="S1040" i="1"/>
  <c r="W1039" i="1"/>
  <c r="V1039" i="1"/>
  <c r="U1039" i="1"/>
  <c r="T1039" i="1"/>
  <c r="S1039" i="1"/>
  <c r="W1038" i="1"/>
  <c r="V1038" i="1"/>
  <c r="U1038" i="1"/>
  <c r="T1038" i="1"/>
  <c r="S1038" i="1"/>
  <c r="W1037" i="1"/>
  <c r="V1037" i="1"/>
  <c r="U1037" i="1"/>
  <c r="T1037" i="1"/>
  <c r="S1037" i="1"/>
  <c r="W1036" i="1"/>
  <c r="V1036" i="1"/>
  <c r="U1036" i="1"/>
  <c r="T1036" i="1"/>
  <c r="S1036" i="1"/>
  <c r="W1035" i="1"/>
  <c r="V1035" i="1"/>
  <c r="U1035" i="1"/>
  <c r="T1035" i="1"/>
  <c r="S1035" i="1"/>
  <c r="W1034" i="1"/>
  <c r="V1034" i="1"/>
  <c r="U1034" i="1"/>
  <c r="T1034" i="1"/>
  <c r="S1034" i="1"/>
  <c r="W1033" i="1"/>
  <c r="V1033" i="1"/>
  <c r="U1033" i="1"/>
  <c r="T1033" i="1"/>
  <c r="S1033" i="1"/>
  <c r="W1032" i="1"/>
  <c r="V1032" i="1"/>
  <c r="U1032" i="1"/>
  <c r="T1032" i="1"/>
  <c r="S1032" i="1"/>
  <c r="W1031" i="1"/>
  <c r="V1031" i="1"/>
  <c r="U1031" i="1"/>
  <c r="T1031" i="1"/>
  <c r="S1031" i="1"/>
  <c r="W1030" i="1"/>
  <c r="V1030" i="1"/>
  <c r="U1030" i="1"/>
  <c r="T1030" i="1"/>
  <c r="S1030" i="1"/>
  <c r="W1029" i="1"/>
  <c r="V1029" i="1"/>
  <c r="U1029" i="1"/>
  <c r="T1029" i="1"/>
  <c r="S1029" i="1"/>
  <c r="W1028" i="1"/>
  <c r="V1028" i="1"/>
  <c r="U1028" i="1"/>
  <c r="T1028" i="1"/>
  <c r="S1028" i="1"/>
  <c r="W1027" i="1"/>
  <c r="V1027" i="1"/>
  <c r="U1027" i="1"/>
  <c r="T1027" i="1"/>
  <c r="S1027" i="1"/>
  <c r="W1026" i="1"/>
  <c r="V1026" i="1"/>
  <c r="U1026" i="1"/>
  <c r="T1026" i="1"/>
  <c r="S1026" i="1"/>
  <c r="W1025" i="1"/>
  <c r="V1025" i="1"/>
  <c r="U1025" i="1"/>
  <c r="T1025" i="1"/>
  <c r="S1025" i="1"/>
  <c r="W1024" i="1"/>
  <c r="V1024" i="1"/>
  <c r="U1024" i="1"/>
  <c r="T1024" i="1"/>
  <c r="S1024" i="1"/>
  <c r="W1023" i="1"/>
  <c r="V1023" i="1"/>
  <c r="U1023" i="1"/>
  <c r="T1023" i="1"/>
  <c r="S1023" i="1"/>
  <c r="W1022" i="1"/>
  <c r="V1022" i="1"/>
  <c r="U1022" i="1"/>
  <c r="T1022" i="1"/>
  <c r="S1022" i="1"/>
  <c r="W1021" i="1"/>
  <c r="V1021" i="1"/>
  <c r="U1021" i="1"/>
  <c r="T1021" i="1"/>
  <c r="S1021" i="1"/>
  <c r="W1020" i="1"/>
  <c r="V1020" i="1"/>
  <c r="U1020" i="1"/>
  <c r="T1020" i="1"/>
  <c r="S1020" i="1"/>
  <c r="W1019" i="1"/>
  <c r="V1019" i="1"/>
  <c r="U1019" i="1"/>
  <c r="T1019" i="1"/>
  <c r="S1019" i="1"/>
  <c r="W1018" i="1"/>
  <c r="V1018" i="1"/>
  <c r="U1018" i="1"/>
  <c r="T1018" i="1"/>
  <c r="S1018" i="1"/>
  <c r="W1017" i="1"/>
  <c r="V1017" i="1"/>
  <c r="U1017" i="1"/>
  <c r="T1017" i="1"/>
  <c r="S1017" i="1"/>
  <c r="W1016" i="1"/>
  <c r="V1016" i="1"/>
  <c r="U1016" i="1"/>
  <c r="T1016" i="1"/>
  <c r="S1016" i="1"/>
  <c r="W1015" i="1"/>
  <c r="V1015" i="1"/>
  <c r="U1015" i="1"/>
  <c r="T1015" i="1"/>
  <c r="S1015" i="1"/>
  <c r="W1014" i="1"/>
  <c r="V1014" i="1"/>
  <c r="U1014" i="1"/>
  <c r="T1014" i="1"/>
  <c r="S1014" i="1"/>
  <c r="W1013" i="1"/>
  <c r="V1013" i="1"/>
  <c r="U1013" i="1"/>
  <c r="T1013" i="1"/>
  <c r="S1013" i="1"/>
  <c r="W1012" i="1"/>
  <c r="V1012" i="1"/>
  <c r="U1012" i="1"/>
  <c r="T1012" i="1"/>
  <c r="S1012" i="1"/>
  <c r="W1011" i="1"/>
  <c r="V1011" i="1"/>
  <c r="U1011" i="1"/>
  <c r="T1011" i="1"/>
  <c r="S1011" i="1"/>
  <c r="W1010" i="1"/>
  <c r="V1010" i="1"/>
  <c r="U1010" i="1"/>
  <c r="T1010" i="1"/>
  <c r="S1010" i="1"/>
  <c r="W1009" i="1"/>
  <c r="V1009" i="1"/>
  <c r="U1009" i="1"/>
  <c r="T1009" i="1"/>
  <c r="S1009" i="1"/>
  <c r="W1008" i="1"/>
  <c r="V1008" i="1"/>
  <c r="U1008" i="1"/>
  <c r="T1008" i="1"/>
  <c r="S1008" i="1"/>
  <c r="W1007" i="1"/>
  <c r="V1007" i="1"/>
  <c r="U1007" i="1"/>
  <c r="T1007" i="1"/>
  <c r="S1007" i="1"/>
  <c r="W1006" i="1"/>
  <c r="V1006" i="1"/>
  <c r="U1006" i="1"/>
  <c r="T1006" i="1"/>
  <c r="S1006" i="1"/>
  <c r="W1005" i="1"/>
  <c r="V1005" i="1"/>
  <c r="U1005" i="1"/>
  <c r="T1005" i="1"/>
  <c r="S1005" i="1"/>
  <c r="W1004" i="1"/>
  <c r="V1004" i="1"/>
  <c r="U1004" i="1"/>
  <c r="T1004" i="1"/>
  <c r="S1004" i="1"/>
  <c r="W1003" i="1"/>
  <c r="V1003" i="1"/>
  <c r="U1003" i="1"/>
  <c r="T1003" i="1"/>
  <c r="S1003" i="1"/>
  <c r="W1002" i="1"/>
  <c r="V1002" i="1"/>
  <c r="U1002" i="1"/>
  <c r="T1002" i="1"/>
  <c r="S1002" i="1"/>
  <c r="W1001" i="1"/>
  <c r="V1001" i="1"/>
  <c r="U1001" i="1"/>
  <c r="T1001" i="1"/>
  <c r="S1001" i="1"/>
  <c r="W1000" i="1"/>
  <c r="V1000" i="1"/>
  <c r="U1000" i="1"/>
  <c r="T1000" i="1"/>
  <c r="S1000" i="1"/>
  <c r="W999" i="1"/>
  <c r="V999" i="1"/>
  <c r="U999" i="1"/>
  <c r="T999" i="1"/>
  <c r="S999" i="1"/>
  <c r="W998" i="1"/>
  <c r="V998" i="1"/>
  <c r="U998" i="1"/>
  <c r="T998" i="1"/>
  <c r="S998" i="1"/>
  <c r="W997" i="1"/>
  <c r="V997" i="1"/>
  <c r="U997" i="1"/>
  <c r="T997" i="1"/>
  <c r="S997" i="1"/>
  <c r="W996" i="1"/>
  <c r="V996" i="1"/>
  <c r="U996" i="1"/>
  <c r="T996" i="1"/>
  <c r="S996" i="1"/>
  <c r="W995" i="1"/>
  <c r="V995" i="1"/>
  <c r="U995" i="1"/>
  <c r="T995" i="1"/>
  <c r="S995" i="1"/>
  <c r="W994" i="1"/>
  <c r="V994" i="1"/>
  <c r="U994" i="1"/>
  <c r="T994" i="1"/>
  <c r="S994" i="1"/>
  <c r="W993" i="1"/>
  <c r="V993" i="1"/>
  <c r="U993" i="1"/>
  <c r="T993" i="1"/>
  <c r="S993" i="1"/>
  <c r="W992" i="1"/>
  <c r="V992" i="1"/>
  <c r="U992" i="1"/>
  <c r="T992" i="1"/>
  <c r="S992" i="1"/>
  <c r="W991" i="1"/>
  <c r="V991" i="1"/>
  <c r="U991" i="1"/>
  <c r="T991" i="1"/>
  <c r="S991" i="1"/>
  <c r="W990" i="1"/>
  <c r="V990" i="1"/>
  <c r="U990" i="1"/>
  <c r="T990" i="1"/>
  <c r="S990" i="1"/>
  <c r="W989" i="1"/>
  <c r="V989" i="1"/>
  <c r="U989" i="1"/>
  <c r="T989" i="1"/>
  <c r="S989" i="1"/>
  <c r="W988" i="1"/>
  <c r="V988" i="1"/>
  <c r="U988" i="1"/>
  <c r="T988" i="1"/>
  <c r="S988" i="1"/>
  <c r="W987" i="1"/>
  <c r="V987" i="1"/>
  <c r="U987" i="1"/>
  <c r="T987" i="1"/>
  <c r="S987" i="1"/>
  <c r="W986" i="1"/>
  <c r="V986" i="1"/>
  <c r="U986" i="1"/>
  <c r="T986" i="1"/>
  <c r="S986" i="1"/>
  <c r="W985" i="1"/>
  <c r="V985" i="1"/>
  <c r="U985" i="1"/>
  <c r="T985" i="1"/>
  <c r="S985" i="1"/>
  <c r="W984" i="1"/>
  <c r="V984" i="1"/>
  <c r="U984" i="1"/>
  <c r="T984" i="1"/>
  <c r="S984" i="1"/>
  <c r="W983" i="1"/>
  <c r="V983" i="1"/>
  <c r="U983" i="1"/>
  <c r="T983" i="1"/>
  <c r="S983" i="1"/>
  <c r="W982" i="1"/>
  <c r="V982" i="1"/>
  <c r="U982" i="1"/>
  <c r="T982" i="1"/>
  <c r="S982" i="1"/>
  <c r="W981" i="1"/>
  <c r="V981" i="1"/>
  <c r="U981" i="1"/>
  <c r="T981" i="1"/>
  <c r="S981" i="1"/>
  <c r="W980" i="1"/>
  <c r="V980" i="1"/>
  <c r="U980" i="1"/>
  <c r="T980" i="1"/>
  <c r="S980" i="1"/>
  <c r="W979" i="1"/>
  <c r="V979" i="1"/>
  <c r="U979" i="1"/>
  <c r="T979" i="1"/>
  <c r="S979" i="1"/>
  <c r="W978" i="1"/>
  <c r="V978" i="1"/>
  <c r="U978" i="1"/>
  <c r="T978" i="1"/>
  <c r="S978" i="1"/>
  <c r="W977" i="1"/>
  <c r="V977" i="1"/>
  <c r="U977" i="1"/>
  <c r="T977" i="1"/>
  <c r="S977" i="1"/>
  <c r="W976" i="1"/>
  <c r="V976" i="1"/>
  <c r="U976" i="1"/>
  <c r="T976" i="1"/>
  <c r="S976" i="1"/>
  <c r="W975" i="1"/>
  <c r="V975" i="1"/>
  <c r="U975" i="1"/>
  <c r="T975" i="1"/>
  <c r="S975" i="1"/>
  <c r="W974" i="1"/>
  <c r="V974" i="1"/>
  <c r="U974" i="1"/>
  <c r="T974" i="1"/>
  <c r="S974" i="1"/>
  <c r="W973" i="1"/>
  <c r="V973" i="1"/>
  <c r="U973" i="1"/>
  <c r="T973" i="1"/>
  <c r="S973" i="1"/>
  <c r="W972" i="1"/>
  <c r="V972" i="1"/>
  <c r="U972" i="1"/>
  <c r="T972" i="1"/>
  <c r="S972" i="1"/>
  <c r="W971" i="1"/>
  <c r="V971" i="1"/>
  <c r="U971" i="1"/>
  <c r="T971" i="1"/>
  <c r="S971" i="1"/>
  <c r="W970" i="1"/>
  <c r="V970" i="1"/>
  <c r="U970" i="1"/>
  <c r="T970" i="1"/>
  <c r="S970" i="1"/>
  <c r="W969" i="1"/>
  <c r="V969" i="1"/>
  <c r="U969" i="1"/>
  <c r="T969" i="1"/>
  <c r="S969" i="1"/>
  <c r="W968" i="1"/>
  <c r="V968" i="1"/>
  <c r="U968" i="1"/>
  <c r="T968" i="1"/>
  <c r="S968" i="1"/>
  <c r="W967" i="1"/>
  <c r="V967" i="1"/>
  <c r="U967" i="1"/>
  <c r="T967" i="1"/>
  <c r="S967" i="1"/>
  <c r="W966" i="1"/>
  <c r="V966" i="1"/>
  <c r="U966" i="1"/>
  <c r="T966" i="1"/>
  <c r="S966" i="1"/>
  <c r="W965" i="1"/>
  <c r="V965" i="1"/>
  <c r="U965" i="1"/>
  <c r="T965" i="1"/>
  <c r="S965" i="1"/>
  <c r="W964" i="1"/>
  <c r="V964" i="1"/>
  <c r="U964" i="1"/>
  <c r="T964" i="1"/>
  <c r="S964" i="1"/>
  <c r="W963" i="1"/>
  <c r="V963" i="1"/>
  <c r="U963" i="1"/>
  <c r="T963" i="1"/>
  <c r="S963" i="1"/>
  <c r="W962" i="1"/>
  <c r="V962" i="1"/>
  <c r="U962" i="1"/>
  <c r="T962" i="1"/>
  <c r="S962" i="1"/>
  <c r="W961" i="1"/>
  <c r="V961" i="1"/>
  <c r="U961" i="1"/>
  <c r="T961" i="1"/>
  <c r="S961" i="1"/>
  <c r="W960" i="1"/>
  <c r="V960" i="1"/>
  <c r="U960" i="1"/>
  <c r="T960" i="1"/>
  <c r="S960" i="1"/>
  <c r="W959" i="1"/>
  <c r="V959" i="1"/>
  <c r="U959" i="1"/>
  <c r="T959" i="1"/>
  <c r="S959" i="1"/>
  <c r="W958" i="1"/>
  <c r="V958" i="1"/>
  <c r="U958" i="1"/>
  <c r="T958" i="1"/>
  <c r="S958" i="1"/>
  <c r="W957" i="1"/>
  <c r="V957" i="1"/>
  <c r="U957" i="1"/>
  <c r="T957" i="1"/>
  <c r="S957" i="1"/>
  <c r="W956" i="1"/>
  <c r="V956" i="1"/>
  <c r="U956" i="1"/>
  <c r="T956" i="1"/>
  <c r="S956" i="1"/>
  <c r="W955" i="1"/>
  <c r="V955" i="1"/>
  <c r="U955" i="1"/>
  <c r="T955" i="1"/>
  <c r="S955" i="1"/>
  <c r="W954" i="1"/>
  <c r="V954" i="1"/>
  <c r="U954" i="1"/>
  <c r="T954" i="1"/>
  <c r="S954" i="1"/>
  <c r="W953" i="1"/>
  <c r="V953" i="1"/>
  <c r="U953" i="1"/>
  <c r="T953" i="1"/>
  <c r="S953" i="1"/>
  <c r="W952" i="1"/>
  <c r="V952" i="1"/>
  <c r="U952" i="1"/>
  <c r="T952" i="1"/>
  <c r="S952" i="1"/>
  <c r="W951" i="1"/>
  <c r="V951" i="1"/>
  <c r="U951" i="1"/>
  <c r="T951" i="1"/>
  <c r="S951" i="1"/>
  <c r="W950" i="1"/>
  <c r="V950" i="1"/>
  <c r="U950" i="1"/>
  <c r="T950" i="1"/>
  <c r="S950" i="1"/>
  <c r="W949" i="1"/>
  <c r="V949" i="1"/>
  <c r="U949" i="1"/>
  <c r="T949" i="1"/>
  <c r="S949" i="1"/>
  <c r="W948" i="1"/>
  <c r="V948" i="1"/>
  <c r="U948" i="1"/>
  <c r="T948" i="1"/>
  <c r="S948" i="1"/>
  <c r="W947" i="1"/>
  <c r="V947" i="1"/>
  <c r="U947" i="1"/>
  <c r="T947" i="1"/>
  <c r="S947" i="1"/>
  <c r="W946" i="1"/>
  <c r="V946" i="1"/>
  <c r="U946" i="1"/>
  <c r="T946" i="1"/>
  <c r="S946" i="1"/>
  <c r="W945" i="1"/>
  <c r="V945" i="1"/>
  <c r="U945" i="1"/>
  <c r="T945" i="1"/>
  <c r="S945" i="1"/>
  <c r="W944" i="1"/>
  <c r="V944" i="1"/>
  <c r="U944" i="1"/>
  <c r="T944" i="1"/>
  <c r="S944" i="1"/>
  <c r="W943" i="1"/>
  <c r="V943" i="1"/>
  <c r="U943" i="1"/>
  <c r="T943" i="1"/>
  <c r="S943" i="1"/>
  <c r="W942" i="1"/>
  <c r="V942" i="1"/>
  <c r="U942" i="1"/>
  <c r="T942" i="1"/>
  <c r="S942" i="1"/>
  <c r="W941" i="1"/>
  <c r="V941" i="1"/>
  <c r="U941" i="1"/>
  <c r="T941" i="1"/>
  <c r="S941" i="1"/>
  <c r="W940" i="1"/>
  <c r="V940" i="1"/>
  <c r="U940" i="1"/>
  <c r="T940" i="1"/>
  <c r="S940" i="1"/>
  <c r="W939" i="1"/>
  <c r="V939" i="1"/>
  <c r="U939" i="1"/>
  <c r="T939" i="1"/>
  <c r="S939" i="1"/>
  <c r="W938" i="1"/>
  <c r="V938" i="1"/>
  <c r="U938" i="1"/>
  <c r="T938" i="1"/>
  <c r="S938" i="1"/>
  <c r="W937" i="1"/>
  <c r="V937" i="1"/>
  <c r="U937" i="1"/>
  <c r="T937" i="1"/>
  <c r="S937" i="1"/>
  <c r="W936" i="1"/>
  <c r="V936" i="1"/>
  <c r="U936" i="1"/>
  <c r="T936" i="1"/>
  <c r="S936" i="1"/>
  <c r="W935" i="1"/>
  <c r="V935" i="1"/>
  <c r="U935" i="1"/>
  <c r="T935" i="1"/>
  <c r="S935" i="1"/>
  <c r="W934" i="1"/>
  <c r="V934" i="1"/>
  <c r="U934" i="1"/>
  <c r="T934" i="1"/>
  <c r="S934" i="1"/>
  <c r="W933" i="1"/>
  <c r="V933" i="1"/>
  <c r="U933" i="1"/>
  <c r="T933" i="1"/>
  <c r="S933" i="1"/>
  <c r="W932" i="1"/>
  <c r="V932" i="1"/>
  <c r="U932" i="1"/>
  <c r="T932" i="1"/>
  <c r="S932" i="1"/>
  <c r="W931" i="1"/>
  <c r="V931" i="1"/>
  <c r="U931" i="1"/>
  <c r="T931" i="1"/>
  <c r="S931" i="1"/>
  <c r="W930" i="1"/>
  <c r="V930" i="1"/>
  <c r="U930" i="1"/>
  <c r="T930" i="1"/>
  <c r="S930" i="1"/>
  <c r="W929" i="1"/>
  <c r="V929" i="1"/>
  <c r="U929" i="1"/>
  <c r="T929" i="1"/>
  <c r="S929" i="1"/>
  <c r="W928" i="1"/>
  <c r="V928" i="1"/>
  <c r="U928" i="1"/>
  <c r="T928" i="1"/>
  <c r="S928" i="1"/>
  <c r="W927" i="1"/>
  <c r="V927" i="1"/>
  <c r="U927" i="1"/>
  <c r="T927" i="1"/>
  <c r="S927" i="1"/>
  <c r="W926" i="1"/>
  <c r="V926" i="1"/>
  <c r="U926" i="1"/>
  <c r="T926" i="1"/>
  <c r="S926" i="1"/>
  <c r="W925" i="1"/>
  <c r="V925" i="1"/>
  <c r="U925" i="1"/>
  <c r="T925" i="1"/>
  <c r="S925" i="1"/>
  <c r="W924" i="1"/>
  <c r="V924" i="1"/>
  <c r="U924" i="1"/>
  <c r="T924" i="1"/>
  <c r="S924" i="1"/>
  <c r="W923" i="1"/>
  <c r="V923" i="1"/>
  <c r="U923" i="1"/>
  <c r="T923" i="1"/>
  <c r="S923" i="1"/>
  <c r="W922" i="1"/>
  <c r="V922" i="1"/>
  <c r="U922" i="1"/>
  <c r="T922" i="1"/>
  <c r="S922" i="1"/>
  <c r="W921" i="1"/>
  <c r="V921" i="1"/>
  <c r="U921" i="1"/>
  <c r="T921" i="1"/>
  <c r="S921" i="1"/>
  <c r="W920" i="1"/>
  <c r="V920" i="1"/>
  <c r="U920" i="1"/>
  <c r="T920" i="1"/>
  <c r="S920" i="1"/>
  <c r="W919" i="1"/>
  <c r="V919" i="1"/>
  <c r="U919" i="1"/>
  <c r="T919" i="1"/>
  <c r="S919" i="1"/>
  <c r="W918" i="1"/>
  <c r="V918" i="1"/>
  <c r="U918" i="1"/>
  <c r="T918" i="1"/>
  <c r="S918" i="1"/>
  <c r="W917" i="1"/>
  <c r="V917" i="1"/>
  <c r="U917" i="1"/>
  <c r="T917" i="1"/>
  <c r="S917" i="1"/>
  <c r="W916" i="1"/>
  <c r="V916" i="1"/>
  <c r="U916" i="1"/>
  <c r="T916" i="1"/>
  <c r="S916" i="1"/>
  <c r="W915" i="1"/>
  <c r="V915" i="1"/>
  <c r="U915" i="1"/>
  <c r="T915" i="1"/>
  <c r="S915" i="1"/>
  <c r="W914" i="1"/>
  <c r="V914" i="1"/>
  <c r="U914" i="1"/>
  <c r="T914" i="1"/>
  <c r="S914" i="1"/>
  <c r="W913" i="1"/>
  <c r="V913" i="1"/>
  <c r="U913" i="1"/>
  <c r="T913" i="1"/>
  <c r="S913" i="1"/>
  <c r="W912" i="1"/>
  <c r="V912" i="1"/>
  <c r="U912" i="1"/>
  <c r="T912" i="1"/>
  <c r="S912" i="1"/>
  <c r="W911" i="1"/>
  <c r="V911" i="1"/>
  <c r="U911" i="1"/>
  <c r="T911" i="1"/>
  <c r="S911" i="1"/>
  <c r="W910" i="1"/>
  <c r="V910" i="1"/>
  <c r="U910" i="1"/>
  <c r="T910" i="1"/>
  <c r="S910" i="1"/>
  <c r="W909" i="1"/>
  <c r="V909" i="1"/>
  <c r="U909" i="1"/>
  <c r="T909" i="1"/>
  <c r="S909" i="1"/>
  <c r="W908" i="1"/>
  <c r="V908" i="1"/>
  <c r="U908" i="1"/>
  <c r="T908" i="1"/>
  <c r="S908" i="1"/>
  <c r="W907" i="1"/>
  <c r="V907" i="1"/>
  <c r="U907" i="1"/>
  <c r="T907" i="1"/>
  <c r="S907" i="1"/>
  <c r="W906" i="1"/>
  <c r="V906" i="1"/>
  <c r="U906" i="1"/>
  <c r="T906" i="1"/>
  <c r="S906" i="1"/>
  <c r="W905" i="1"/>
  <c r="V905" i="1"/>
  <c r="U905" i="1"/>
  <c r="T905" i="1"/>
  <c r="S905" i="1"/>
  <c r="W904" i="1"/>
  <c r="V904" i="1"/>
  <c r="U904" i="1"/>
  <c r="T904" i="1"/>
  <c r="S904" i="1"/>
  <c r="W903" i="1"/>
  <c r="V903" i="1"/>
  <c r="U903" i="1"/>
  <c r="T903" i="1"/>
  <c r="S903" i="1"/>
  <c r="W902" i="1"/>
  <c r="V902" i="1"/>
  <c r="U902" i="1"/>
  <c r="T902" i="1"/>
  <c r="S902" i="1"/>
  <c r="W901" i="1"/>
  <c r="V901" i="1"/>
  <c r="U901" i="1"/>
  <c r="T901" i="1"/>
  <c r="S901" i="1"/>
  <c r="W900" i="1"/>
  <c r="V900" i="1"/>
  <c r="U900" i="1"/>
  <c r="T900" i="1"/>
  <c r="S900" i="1"/>
  <c r="W899" i="1"/>
  <c r="V899" i="1"/>
  <c r="U899" i="1"/>
  <c r="T899" i="1"/>
  <c r="S899" i="1"/>
  <c r="W898" i="1"/>
  <c r="V898" i="1"/>
  <c r="U898" i="1"/>
  <c r="T898" i="1"/>
  <c r="S898" i="1"/>
  <c r="W897" i="1"/>
  <c r="V897" i="1"/>
  <c r="U897" i="1"/>
  <c r="T897" i="1"/>
  <c r="S897" i="1"/>
  <c r="W896" i="1"/>
  <c r="V896" i="1"/>
  <c r="U896" i="1"/>
  <c r="T896" i="1"/>
  <c r="S896" i="1"/>
  <c r="W895" i="1"/>
  <c r="V895" i="1"/>
  <c r="U895" i="1"/>
  <c r="T895" i="1"/>
  <c r="S895" i="1"/>
  <c r="W894" i="1"/>
  <c r="V894" i="1"/>
  <c r="U894" i="1"/>
  <c r="T894" i="1"/>
  <c r="S894" i="1"/>
  <c r="W893" i="1"/>
  <c r="V893" i="1"/>
  <c r="U893" i="1"/>
  <c r="T893" i="1"/>
  <c r="S893" i="1"/>
  <c r="W892" i="1"/>
  <c r="V892" i="1"/>
  <c r="U892" i="1"/>
  <c r="T892" i="1"/>
  <c r="S892" i="1"/>
  <c r="W891" i="1"/>
  <c r="V891" i="1"/>
  <c r="U891" i="1"/>
  <c r="T891" i="1"/>
  <c r="S891" i="1"/>
  <c r="W890" i="1"/>
  <c r="V890" i="1"/>
  <c r="U890" i="1"/>
  <c r="T890" i="1"/>
  <c r="S890" i="1"/>
  <c r="W889" i="1"/>
  <c r="V889" i="1"/>
  <c r="U889" i="1"/>
  <c r="T889" i="1"/>
  <c r="S889" i="1"/>
  <c r="W888" i="1"/>
  <c r="V888" i="1"/>
  <c r="U888" i="1"/>
  <c r="T888" i="1"/>
  <c r="S888" i="1"/>
  <c r="W887" i="1"/>
  <c r="V887" i="1"/>
  <c r="U887" i="1"/>
  <c r="T887" i="1"/>
  <c r="S887" i="1"/>
  <c r="W886" i="1"/>
  <c r="V886" i="1"/>
  <c r="U886" i="1"/>
  <c r="T886" i="1"/>
  <c r="S886" i="1"/>
  <c r="W885" i="1"/>
  <c r="V885" i="1"/>
  <c r="U885" i="1"/>
  <c r="T885" i="1"/>
  <c r="S885" i="1"/>
  <c r="W884" i="1"/>
  <c r="V884" i="1"/>
  <c r="U884" i="1"/>
  <c r="T884" i="1"/>
  <c r="S884" i="1"/>
  <c r="W883" i="1"/>
  <c r="V883" i="1"/>
  <c r="U883" i="1"/>
  <c r="T883" i="1"/>
  <c r="S883" i="1"/>
  <c r="W882" i="1"/>
  <c r="V882" i="1"/>
  <c r="U882" i="1"/>
  <c r="T882" i="1"/>
  <c r="S882" i="1"/>
  <c r="W881" i="1"/>
  <c r="V881" i="1"/>
  <c r="U881" i="1"/>
  <c r="T881" i="1"/>
  <c r="S881" i="1"/>
  <c r="W880" i="1"/>
  <c r="V880" i="1"/>
  <c r="U880" i="1"/>
  <c r="T880" i="1"/>
  <c r="S880" i="1"/>
  <c r="W879" i="1"/>
  <c r="V879" i="1"/>
  <c r="U879" i="1"/>
  <c r="T879" i="1"/>
  <c r="S879" i="1"/>
  <c r="W878" i="1"/>
  <c r="V878" i="1"/>
  <c r="U878" i="1"/>
  <c r="T878" i="1"/>
  <c r="S878" i="1"/>
  <c r="W877" i="1"/>
  <c r="V877" i="1"/>
  <c r="U877" i="1"/>
  <c r="T877" i="1"/>
  <c r="S877" i="1"/>
  <c r="W876" i="1"/>
  <c r="V876" i="1"/>
  <c r="U876" i="1"/>
  <c r="T876" i="1"/>
  <c r="S876" i="1"/>
  <c r="W875" i="1"/>
  <c r="V875" i="1"/>
  <c r="U875" i="1"/>
  <c r="T875" i="1"/>
  <c r="S875" i="1"/>
  <c r="W874" i="1"/>
  <c r="V874" i="1"/>
  <c r="U874" i="1"/>
  <c r="T874" i="1"/>
  <c r="S874" i="1"/>
  <c r="W873" i="1"/>
  <c r="V873" i="1"/>
  <c r="U873" i="1"/>
  <c r="T873" i="1"/>
  <c r="S873" i="1"/>
  <c r="W872" i="1"/>
  <c r="V872" i="1"/>
  <c r="U872" i="1"/>
  <c r="T872" i="1"/>
  <c r="S872" i="1"/>
  <c r="W871" i="1"/>
  <c r="V871" i="1"/>
  <c r="U871" i="1"/>
  <c r="T871" i="1"/>
  <c r="S871" i="1"/>
  <c r="W870" i="1"/>
  <c r="V870" i="1"/>
  <c r="U870" i="1"/>
  <c r="T870" i="1"/>
  <c r="S870" i="1"/>
  <c r="W869" i="1"/>
  <c r="V869" i="1"/>
  <c r="U869" i="1"/>
  <c r="T869" i="1"/>
  <c r="S869" i="1"/>
  <c r="W868" i="1"/>
  <c r="V868" i="1"/>
  <c r="U868" i="1"/>
  <c r="T868" i="1"/>
  <c r="S868" i="1"/>
  <c r="W867" i="1"/>
  <c r="V867" i="1"/>
  <c r="U867" i="1"/>
  <c r="T867" i="1"/>
  <c r="S867" i="1"/>
  <c r="W866" i="1"/>
  <c r="V866" i="1"/>
  <c r="U866" i="1"/>
  <c r="T866" i="1"/>
  <c r="S866" i="1"/>
  <c r="W865" i="1"/>
  <c r="V865" i="1"/>
  <c r="U865" i="1"/>
  <c r="T865" i="1"/>
  <c r="S865" i="1"/>
  <c r="W864" i="1"/>
  <c r="V864" i="1"/>
  <c r="U864" i="1"/>
  <c r="T864" i="1"/>
  <c r="S864" i="1"/>
  <c r="W863" i="1"/>
  <c r="V863" i="1"/>
  <c r="U863" i="1"/>
  <c r="T863" i="1"/>
  <c r="S863" i="1"/>
  <c r="W862" i="1"/>
  <c r="V862" i="1"/>
  <c r="U862" i="1"/>
  <c r="T862" i="1"/>
  <c r="S862" i="1"/>
  <c r="W861" i="1"/>
  <c r="V861" i="1"/>
  <c r="U861" i="1"/>
  <c r="T861" i="1"/>
  <c r="S861" i="1"/>
  <c r="W860" i="1"/>
  <c r="V860" i="1"/>
  <c r="U860" i="1"/>
  <c r="T860" i="1"/>
  <c r="S860" i="1"/>
  <c r="W859" i="1"/>
  <c r="V859" i="1"/>
  <c r="U859" i="1"/>
  <c r="T859" i="1"/>
  <c r="S859" i="1"/>
  <c r="W858" i="1"/>
  <c r="V858" i="1"/>
  <c r="U858" i="1"/>
  <c r="T858" i="1"/>
  <c r="S858" i="1"/>
  <c r="W857" i="1"/>
  <c r="V857" i="1"/>
  <c r="U857" i="1"/>
  <c r="T857" i="1"/>
  <c r="S857" i="1"/>
  <c r="W856" i="1"/>
  <c r="V856" i="1"/>
  <c r="U856" i="1"/>
  <c r="T856" i="1"/>
  <c r="S856" i="1"/>
  <c r="W855" i="1"/>
  <c r="V855" i="1"/>
  <c r="U855" i="1"/>
  <c r="T855" i="1"/>
  <c r="S855" i="1"/>
  <c r="W854" i="1"/>
  <c r="V854" i="1"/>
  <c r="U854" i="1"/>
  <c r="T854" i="1"/>
  <c r="S854" i="1"/>
  <c r="W853" i="1"/>
  <c r="V853" i="1"/>
  <c r="U853" i="1"/>
  <c r="T853" i="1"/>
  <c r="S853" i="1"/>
  <c r="W852" i="1"/>
  <c r="V852" i="1"/>
  <c r="U852" i="1"/>
  <c r="T852" i="1"/>
  <c r="S852" i="1"/>
  <c r="W851" i="1"/>
  <c r="V851" i="1"/>
  <c r="U851" i="1"/>
  <c r="T851" i="1"/>
  <c r="S851" i="1"/>
  <c r="W850" i="1"/>
  <c r="V850" i="1"/>
  <c r="U850" i="1"/>
  <c r="T850" i="1"/>
  <c r="S850" i="1"/>
  <c r="W849" i="1"/>
  <c r="V849" i="1"/>
  <c r="U849" i="1"/>
  <c r="T849" i="1"/>
  <c r="S849" i="1"/>
  <c r="W848" i="1"/>
  <c r="V848" i="1"/>
  <c r="U848" i="1"/>
  <c r="T848" i="1"/>
  <c r="S848" i="1"/>
  <c r="W847" i="1"/>
  <c r="V847" i="1"/>
  <c r="U847" i="1"/>
  <c r="T847" i="1"/>
  <c r="S847" i="1"/>
  <c r="W846" i="1"/>
  <c r="V846" i="1"/>
  <c r="U846" i="1"/>
  <c r="T846" i="1"/>
  <c r="S846" i="1"/>
  <c r="W845" i="1"/>
  <c r="V845" i="1"/>
  <c r="U845" i="1"/>
  <c r="T845" i="1"/>
  <c r="S845" i="1"/>
  <c r="W844" i="1"/>
  <c r="V844" i="1"/>
  <c r="U844" i="1"/>
  <c r="T844" i="1"/>
  <c r="S844" i="1"/>
  <c r="W843" i="1"/>
  <c r="V843" i="1"/>
  <c r="U843" i="1"/>
  <c r="T843" i="1"/>
  <c r="S843" i="1"/>
  <c r="W842" i="1"/>
  <c r="V842" i="1"/>
  <c r="U842" i="1"/>
  <c r="T842" i="1"/>
  <c r="S842" i="1"/>
  <c r="W841" i="1"/>
  <c r="V841" i="1"/>
  <c r="U841" i="1"/>
  <c r="T841" i="1"/>
  <c r="S841" i="1"/>
  <c r="W840" i="1"/>
  <c r="V840" i="1"/>
  <c r="U840" i="1"/>
  <c r="T840" i="1"/>
  <c r="S840" i="1"/>
  <c r="W839" i="1"/>
  <c r="V839" i="1"/>
  <c r="U839" i="1"/>
  <c r="T839" i="1"/>
  <c r="S839" i="1"/>
  <c r="W838" i="1"/>
  <c r="V838" i="1"/>
  <c r="U838" i="1"/>
  <c r="T838" i="1"/>
  <c r="S838" i="1"/>
  <c r="W837" i="1"/>
  <c r="V837" i="1"/>
  <c r="U837" i="1"/>
  <c r="T837" i="1"/>
  <c r="S837" i="1"/>
  <c r="W836" i="1"/>
  <c r="V836" i="1"/>
  <c r="U836" i="1"/>
  <c r="T836" i="1"/>
  <c r="S836" i="1"/>
  <c r="W835" i="1"/>
  <c r="V835" i="1"/>
  <c r="U835" i="1"/>
  <c r="T835" i="1"/>
  <c r="S835" i="1"/>
  <c r="W834" i="1"/>
  <c r="V834" i="1"/>
  <c r="U834" i="1"/>
  <c r="T834" i="1"/>
  <c r="S834" i="1"/>
  <c r="W833" i="1"/>
  <c r="V833" i="1"/>
  <c r="U833" i="1"/>
  <c r="T833" i="1"/>
  <c r="S833" i="1"/>
  <c r="W832" i="1"/>
  <c r="V832" i="1"/>
  <c r="U832" i="1"/>
  <c r="T832" i="1"/>
  <c r="S832" i="1"/>
  <c r="W831" i="1"/>
  <c r="V831" i="1"/>
  <c r="U831" i="1"/>
  <c r="T831" i="1"/>
  <c r="S831" i="1"/>
  <c r="W830" i="1"/>
  <c r="V830" i="1"/>
  <c r="U830" i="1"/>
  <c r="T830" i="1"/>
  <c r="S830" i="1"/>
  <c r="W829" i="1"/>
  <c r="V829" i="1"/>
  <c r="U829" i="1"/>
  <c r="T829" i="1"/>
  <c r="S829" i="1"/>
  <c r="W828" i="1"/>
  <c r="V828" i="1"/>
  <c r="U828" i="1"/>
  <c r="T828" i="1"/>
  <c r="S828" i="1"/>
  <c r="W827" i="1"/>
  <c r="V827" i="1"/>
  <c r="U827" i="1"/>
  <c r="T827" i="1"/>
  <c r="S827" i="1"/>
  <c r="W826" i="1"/>
  <c r="V826" i="1"/>
  <c r="U826" i="1"/>
  <c r="T826" i="1"/>
  <c r="S826" i="1"/>
  <c r="W825" i="1"/>
  <c r="V825" i="1"/>
  <c r="U825" i="1"/>
  <c r="T825" i="1"/>
  <c r="S825" i="1"/>
  <c r="W824" i="1"/>
  <c r="V824" i="1"/>
  <c r="U824" i="1"/>
  <c r="T824" i="1"/>
  <c r="S824" i="1"/>
  <c r="W823" i="1"/>
  <c r="V823" i="1"/>
  <c r="U823" i="1"/>
  <c r="T823" i="1"/>
  <c r="S823" i="1"/>
  <c r="W822" i="1"/>
  <c r="V822" i="1"/>
  <c r="U822" i="1"/>
  <c r="T822" i="1"/>
  <c r="S822" i="1"/>
  <c r="W821" i="1"/>
  <c r="V821" i="1"/>
  <c r="U821" i="1"/>
  <c r="T821" i="1"/>
  <c r="S821" i="1"/>
  <c r="W820" i="1"/>
  <c r="V820" i="1"/>
  <c r="U820" i="1"/>
  <c r="T820" i="1"/>
  <c r="S820" i="1"/>
  <c r="W819" i="1"/>
  <c r="V819" i="1"/>
  <c r="U819" i="1"/>
  <c r="T819" i="1"/>
  <c r="S819" i="1"/>
  <c r="W818" i="1"/>
  <c r="V818" i="1"/>
  <c r="U818" i="1"/>
  <c r="T818" i="1"/>
  <c r="S818" i="1"/>
  <c r="W817" i="1"/>
  <c r="V817" i="1"/>
  <c r="U817" i="1"/>
  <c r="T817" i="1"/>
  <c r="S817" i="1"/>
  <c r="W816" i="1"/>
  <c r="V816" i="1"/>
  <c r="U816" i="1"/>
  <c r="T816" i="1"/>
  <c r="S816" i="1"/>
  <c r="W815" i="1"/>
  <c r="V815" i="1"/>
  <c r="U815" i="1"/>
  <c r="T815" i="1"/>
  <c r="S815" i="1"/>
  <c r="W814" i="1"/>
  <c r="V814" i="1"/>
  <c r="U814" i="1"/>
  <c r="T814" i="1"/>
  <c r="S814" i="1"/>
  <c r="W813" i="1"/>
  <c r="V813" i="1"/>
  <c r="U813" i="1"/>
  <c r="T813" i="1"/>
  <c r="S813" i="1"/>
  <c r="W812" i="1"/>
  <c r="V812" i="1"/>
  <c r="U812" i="1"/>
  <c r="T812" i="1"/>
  <c r="S812" i="1"/>
  <c r="W811" i="1"/>
  <c r="V811" i="1"/>
  <c r="U811" i="1"/>
  <c r="T811" i="1"/>
  <c r="S811" i="1"/>
  <c r="W810" i="1"/>
  <c r="V810" i="1"/>
  <c r="U810" i="1"/>
  <c r="T810" i="1"/>
  <c r="S810" i="1"/>
  <c r="W809" i="1"/>
  <c r="V809" i="1"/>
  <c r="U809" i="1"/>
  <c r="T809" i="1"/>
  <c r="S809" i="1"/>
  <c r="W808" i="1"/>
  <c r="V808" i="1"/>
  <c r="U808" i="1"/>
  <c r="T808" i="1"/>
  <c r="S808" i="1"/>
  <c r="W807" i="1"/>
  <c r="V807" i="1"/>
  <c r="U807" i="1"/>
  <c r="T807" i="1"/>
  <c r="S807" i="1"/>
  <c r="W806" i="1"/>
  <c r="V806" i="1"/>
  <c r="U806" i="1"/>
  <c r="T806" i="1"/>
  <c r="S806" i="1"/>
  <c r="W805" i="1"/>
  <c r="V805" i="1"/>
  <c r="U805" i="1"/>
  <c r="T805" i="1"/>
  <c r="S805" i="1"/>
  <c r="W804" i="1"/>
  <c r="V804" i="1"/>
  <c r="U804" i="1"/>
  <c r="T804" i="1"/>
  <c r="S804" i="1"/>
  <c r="W803" i="1"/>
  <c r="V803" i="1"/>
  <c r="U803" i="1"/>
  <c r="T803" i="1"/>
  <c r="S803" i="1"/>
  <c r="W802" i="1"/>
  <c r="V802" i="1"/>
  <c r="U802" i="1"/>
  <c r="T802" i="1"/>
  <c r="S802" i="1"/>
  <c r="W801" i="1"/>
  <c r="V801" i="1"/>
  <c r="U801" i="1"/>
  <c r="T801" i="1"/>
  <c r="S801" i="1"/>
  <c r="W800" i="1"/>
  <c r="V800" i="1"/>
  <c r="U800" i="1"/>
  <c r="T800" i="1"/>
  <c r="S800" i="1"/>
  <c r="W799" i="1"/>
  <c r="V799" i="1"/>
  <c r="U799" i="1"/>
  <c r="T799" i="1"/>
  <c r="S799" i="1"/>
  <c r="W798" i="1"/>
  <c r="V798" i="1"/>
  <c r="U798" i="1"/>
  <c r="T798" i="1"/>
  <c r="S798" i="1"/>
  <c r="W797" i="1"/>
  <c r="V797" i="1"/>
  <c r="U797" i="1"/>
  <c r="T797" i="1"/>
  <c r="S797" i="1"/>
  <c r="W796" i="1"/>
  <c r="V796" i="1"/>
  <c r="U796" i="1"/>
  <c r="T796" i="1"/>
  <c r="S796" i="1"/>
  <c r="W795" i="1"/>
  <c r="V795" i="1"/>
  <c r="U795" i="1"/>
  <c r="T795" i="1"/>
  <c r="S795" i="1"/>
  <c r="W794" i="1"/>
  <c r="V794" i="1"/>
  <c r="U794" i="1"/>
  <c r="T794" i="1"/>
  <c r="S794" i="1"/>
  <c r="W793" i="1"/>
  <c r="V793" i="1"/>
  <c r="U793" i="1"/>
  <c r="T793" i="1"/>
  <c r="S793" i="1"/>
  <c r="W792" i="1"/>
  <c r="V792" i="1"/>
  <c r="U792" i="1"/>
  <c r="T792" i="1"/>
  <c r="S792" i="1"/>
  <c r="W791" i="1"/>
  <c r="V791" i="1"/>
  <c r="U791" i="1"/>
  <c r="T791" i="1"/>
  <c r="S791" i="1"/>
  <c r="W790" i="1"/>
  <c r="V790" i="1"/>
  <c r="U790" i="1"/>
  <c r="T790" i="1"/>
  <c r="S790" i="1"/>
  <c r="W789" i="1"/>
  <c r="V789" i="1"/>
  <c r="U789" i="1"/>
  <c r="T789" i="1"/>
  <c r="S789" i="1"/>
  <c r="W788" i="1"/>
  <c r="V788" i="1"/>
  <c r="U788" i="1"/>
  <c r="T788" i="1"/>
  <c r="S788" i="1"/>
  <c r="W787" i="1"/>
  <c r="V787" i="1"/>
  <c r="U787" i="1"/>
  <c r="T787" i="1"/>
  <c r="S787" i="1"/>
  <c r="W786" i="1"/>
  <c r="V786" i="1"/>
  <c r="U786" i="1"/>
  <c r="T786" i="1"/>
  <c r="S786" i="1"/>
  <c r="W785" i="1"/>
  <c r="V785" i="1"/>
  <c r="U785" i="1"/>
  <c r="T785" i="1"/>
  <c r="S785" i="1"/>
  <c r="W784" i="1"/>
  <c r="V784" i="1"/>
  <c r="U784" i="1"/>
  <c r="T784" i="1"/>
  <c r="S784" i="1"/>
  <c r="W783" i="1"/>
  <c r="V783" i="1"/>
  <c r="U783" i="1"/>
  <c r="T783" i="1"/>
  <c r="S783" i="1"/>
  <c r="W782" i="1"/>
  <c r="V782" i="1"/>
  <c r="U782" i="1"/>
  <c r="T782" i="1"/>
  <c r="S782" i="1"/>
  <c r="W781" i="1"/>
  <c r="V781" i="1"/>
  <c r="U781" i="1"/>
  <c r="T781" i="1"/>
  <c r="S781" i="1"/>
  <c r="W780" i="1"/>
  <c r="V780" i="1"/>
  <c r="U780" i="1"/>
  <c r="T780" i="1"/>
  <c r="S780" i="1"/>
  <c r="W779" i="1"/>
  <c r="V779" i="1"/>
  <c r="U779" i="1"/>
  <c r="T779" i="1"/>
  <c r="S779" i="1"/>
  <c r="W778" i="1"/>
  <c r="V778" i="1"/>
  <c r="U778" i="1"/>
  <c r="T778" i="1"/>
  <c r="S778" i="1"/>
  <c r="W777" i="1"/>
  <c r="V777" i="1"/>
  <c r="U777" i="1"/>
  <c r="T777" i="1"/>
  <c r="S777" i="1"/>
  <c r="W776" i="1"/>
  <c r="V776" i="1"/>
  <c r="U776" i="1"/>
  <c r="T776" i="1"/>
  <c r="S776" i="1"/>
  <c r="W775" i="1"/>
  <c r="V775" i="1"/>
  <c r="U775" i="1"/>
  <c r="T775" i="1"/>
  <c r="S775" i="1"/>
  <c r="W774" i="1"/>
  <c r="V774" i="1"/>
  <c r="U774" i="1"/>
  <c r="T774" i="1"/>
  <c r="S774" i="1"/>
  <c r="W773" i="1"/>
  <c r="V773" i="1"/>
  <c r="U773" i="1"/>
  <c r="T773" i="1"/>
  <c r="S773" i="1"/>
  <c r="W772" i="1"/>
  <c r="V772" i="1"/>
  <c r="U772" i="1"/>
  <c r="T772" i="1"/>
  <c r="S772" i="1"/>
  <c r="W771" i="1"/>
  <c r="V771" i="1"/>
  <c r="U771" i="1"/>
  <c r="T771" i="1"/>
  <c r="S771" i="1"/>
  <c r="W770" i="1"/>
  <c r="V770" i="1"/>
  <c r="U770" i="1"/>
  <c r="T770" i="1"/>
  <c r="S770" i="1"/>
  <c r="W769" i="1"/>
  <c r="V769" i="1"/>
  <c r="U769" i="1"/>
  <c r="T769" i="1"/>
  <c r="S769" i="1"/>
  <c r="W768" i="1"/>
  <c r="V768" i="1"/>
  <c r="U768" i="1"/>
  <c r="T768" i="1"/>
  <c r="S768" i="1"/>
  <c r="W767" i="1"/>
  <c r="V767" i="1"/>
  <c r="U767" i="1"/>
  <c r="T767" i="1"/>
  <c r="S767" i="1"/>
  <c r="W766" i="1"/>
  <c r="V766" i="1"/>
  <c r="U766" i="1"/>
  <c r="T766" i="1"/>
  <c r="S766" i="1"/>
  <c r="W765" i="1"/>
  <c r="V765" i="1"/>
  <c r="U765" i="1"/>
  <c r="T765" i="1"/>
  <c r="S765" i="1"/>
  <c r="W764" i="1"/>
  <c r="V764" i="1"/>
  <c r="U764" i="1"/>
  <c r="T764" i="1"/>
  <c r="S764" i="1"/>
  <c r="W763" i="1"/>
  <c r="V763" i="1"/>
  <c r="U763" i="1"/>
  <c r="T763" i="1"/>
  <c r="S763" i="1"/>
  <c r="W762" i="1"/>
  <c r="V762" i="1"/>
  <c r="U762" i="1"/>
  <c r="T762" i="1"/>
  <c r="S762" i="1"/>
  <c r="W761" i="1"/>
  <c r="V761" i="1"/>
  <c r="U761" i="1"/>
  <c r="T761" i="1"/>
  <c r="S761" i="1"/>
  <c r="W760" i="1"/>
  <c r="V760" i="1"/>
  <c r="U760" i="1"/>
  <c r="T760" i="1"/>
  <c r="S760" i="1"/>
  <c r="W759" i="1"/>
  <c r="V759" i="1"/>
  <c r="U759" i="1"/>
  <c r="T759" i="1"/>
  <c r="S759" i="1"/>
  <c r="W758" i="1"/>
  <c r="V758" i="1"/>
  <c r="U758" i="1"/>
  <c r="T758" i="1"/>
  <c r="S758" i="1"/>
  <c r="W757" i="1"/>
  <c r="V757" i="1"/>
  <c r="U757" i="1"/>
  <c r="T757" i="1"/>
  <c r="S757" i="1"/>
  <c r="W756" i="1"/>
  <c r="V756" i="1"/>
  <c r="U756" i="1"/>
  <c r="T756" i="1"/>
  <c r="S756" i="1"/>
  <c r="W755" i="1"/>
  <c r="V755" i="1"/>
  <c r="U755" i="1"/>
  <c r="T755" i="1"/>
  <c r="S755" i="1"/>
  <c r="W754" i="1"/>
  <c r="V754" i="1"/>
  <c r="U754" i="1"/>
  <c r="T754" i="1"/>
  <c r="S754" i="1"/>
  <c r="W753" i="1"/>
  <c r="V753" i="1"/>
  <c r="U753" i="1"/>
  <c r="T753" i="1"/>
  <c r="S753" i="1"/>
  <c r="W752" i="1"/>
  <c r="V752" i="1"/>
  <c r="U752" i="1"/>
  <c r="T752" i="1"/>
  <c r="S752" i="1"/>
  <c r="W751" i="1"/>
  <c r="V751" i="1"/>
  <c r="U751" i="1"/>
  <c r="T751" i="1"/>
  <c r="S751" i="1"/>
  <c r="W750" i="1"/>
  <c r="V750" i="1"/>
  <c r="U750" i="1"/>
  <c r="T750" i="1"/>
  <c r="S750" i="1"/>
  <c r="W749" i="1"/>
  <c r="V749" i="1"/>
  <c r="U749" i="1"/>
  <c r="T749" i="1"/>
  <c r="S749" i="1"/>
  <c r="W748" i="1"/>
  <c r="V748" i="1"/>
  <c r="U748" i="1"/>
  <c r="T748" i="1"/>
  <c r="S748" i="1"/>
  <c r="W747" i="1"/>
  <c r="V747" i="1"/>
  <c r="U747" i="1"/>
  <c r="T747" i="1"/>
  <c r="S747" i="1"/>
  <c r="W746" i="1"/>
  <c r="V746" i="1"/>
  <c r="U746" i="1"/>
  <c r="T746" i="1"/>
  <c r="S746" i="1"/>
  <c r="W745" i="1"/>
  <c r="V745" i="1"/>
  <c r="U745" i="1"/>
  <c r="T745" i="1"/>
  <c r="S745" i="1"/>
  <c r="W744" i="1"/>
  <c r="V744" i="1"/>
  <c r="U744" i="1"/>
  <c r="T744" i="1"/>
  <c r="S744" i="1"/>
  <c r="W743" i="1"/>
  <c r="V743" i="1"/>
  <c r="U743" i="1"/>
  <c r="T743" i="1"/>
  <c r="S743" i="1"/>
  <c r="W742" i="1"/>
  <c r="V742" i="1"/>
  <c r="U742" i="1"/>
  <c r="T742" i="1"/>
  <c r="S742" i="1"/>
  <c r="W741" i="1"/>
  <c r="V741" i="1"/>
  <c r="U741" i="1"/>
  <c r="T741" i="1"/>
  <c r="S741" i="1"/>
  <c r="W740" i="1"/>
  <c r="V740" i="1"/>
  <c r="U740" i="1"/>
  <c r="T740" i="1"/>
  <c r="S740" i="1"/>
  <c r="W739" i="1"/>
  <c r="V739" i="1"/>
  <c r="U739" i="1"/>
  <c r="T739" i="1"/>
  <c r="S739" i="1"/>
  <c r="W738" i="1"/>
  <c r="V738" i="1"/>
  <c r="U738" i="1"/>
  <c r="T738" i="1"/>
  <c r="S738" i="1"/>
  <c r="W737" i="1"/>
  <c r="V737" i="1"/>
  <c r="U737" i="1"/>
  <c r="T737" i="1"/>
  <c r="S737" i="1"/>
  <c r="W736" i="1"/>
  <c r="V736" i="1"/>
  <c r="U736" i="1"/>
  <c r="T736" i="1"/>
  <c r="S736" i="1"/>
  <c r="W735" i="1"/>
  <c r="V735" i="1"/>
  <c r="U735" i="1"/>
  <c r="T735" i="1"/>
  <c r="S735" i="1"/>
  <c r="W734" i="1"/>
  <c r="V734" i="1"/>
  <c r="U734" i="1"/>
  <c r="T734" i="1"/>
  <c r="S734" i="1"/>
  <c r="W733" i="1"/>
  <c r="V733" i="1"/>
  <c r="U733" i="1"/>
  <c r="T733" i="1"/>
  <c r="S733" i="1"/>
  <c r="W732" i="1"/>
  <c r="V732" i="1"/>
  <c r="U732" i="1"/>
  <c r="T732" i="1"/>
  <c r="S732" i="1"/>
  <c r="W731" i="1"/>
  <c r="V731" i="1"/>
  <c r="U731" i="1"/>
  <c r="T731" i="1"/>
  <c r="S731" i="1"/>
  <c r="W730" i="1"/>
  <c r="V730" i="1"/>
  <c r="U730" i="1"/>
  <c r="T730" i="1"/>
  <c r="S730" i="1"/>
  <c r="W729" i="1"/>
  <c r="V729" i="1"/>
  <c r="U729" i="1"/>
  <c r="T729" i="1"/>
  <c r="S729" i="1"/>
  <c r="W728" i="1"/>
  <c r="V728" i="1"/>
  <c r="U728" i="1"/>
  <c r="T728" i="1"/>
  <c r="S728" i="1"/>
  <c r="W727" i="1"/>
  <c r="V727" i="1"/>
  <c r="U727" i="1"/>
  <c r="T727" i="1"/>
  <c r="S727" i="1"/>
  <c r="W726" i="1"/>
  <c r="V726" i="1"/>
  <c r="U726" i="1"/>
  <c r="T726" i="1"/>
  <c r="S726" i="1"/>
  <c r="W725" i="1"/>
  <c r="V725" i="1"/>
  <c r="U725" i="1"/>
  <c r="T725" i="1"/>
  <c r="S725" i="1"/>
  <c r="W724" i="1"/>
  <c r="V724" i="1"/>
  <c r="U724" i="1"/>
  <c r="T724" i="1"/>
  <c r="S724" i="1"/>
  <c r="W723" i="1"/>
  <c r="V723" i="1"/>
  <c r="U723" i="1"/>
  <c r="T723" i="1"/>
  <c r="S723" i="1"/>
  <c r="W722" i="1"/>
  <c r="V722" i="1"/>
  <c r="U722" i="1"/>
  <c r="T722" i="1"/>
  <c r="S722" i="1"/>
  <c r="W721" i="1"/>
  <c r="V721" i="1"/>
  <c r="U721" i="1"/>
  <c r="T721" i="1"/>
  <c r="S721" i="1"/>
  <c r="W720" i="1"/>
  <c r="V720" i="1"/>
  <c r="U720" i="1"/>
  <c r="T720" i="1"/>
  <c r="S720" i="1"/>
  <c r="W719" i="1"/>
  <c r="V719" i="1"/>
  <c r="U719" i="1"/>
  <c r="T719" i="1"/>
  <c r="S719" i="1"/>
  <c r="W718" i="1"/>
  <c r="V718" i="1"/>
  <c r="U718" i="1"/>
  <c r="T718" i="1"/>
  <c r="S718" i="1"/>
  <c r="W717" i="1"/>
  <c r="V717" i="1"/>
  <c r="U717" i="1"/>
  <c r="T717" i="1"/>
  <c r="S717" i="1"/>
  <c r="W716" i="1"/>
  <c r="V716" i="1"/>
  <c r="U716" i="1"/>
  <c r="T716" i="1"/>
  <c r="S716" i="1"/>
  <c r="W715" i="1"/>
  <c r="V715" i="1"/>
  <c r="U715" i="1"/>
  <c r="T715" i="1"/>
  <c r="S715" i="1"/>
  <c r="W714" i="1"/>
  <c r="V714" i="1"/>
  <c r="U714" i="1"/>
  <c r="T714" i="1"/>
  <c r="S714" i="1"/>
  <c r="W713" i="1"/>
  <c r="V713" i="1"/>
  <c r="U713" i="1"/>
  <c r="T713" i="1"/>
  <c r="S713" i="1"/>
  <c r="W712" i="1"/>
  <c r="V712" i="1"/>
  <c r="U712" i="1"/>
  <c r="T712" i="1"/>
  <c r="S712" i="1"/>
  <c r="W711" i="1"/>
  <c r="V711" i="1"/>
  <c r="U711" i="1"/>
  <c r="T711" i="1"/>
  <c r="S711" i="1"/>
  <c r="W710" i="1"/>
  <c r="V710" i="1"/>
  <c r="U710" i="1"/>
  <c r="T710" i="1"/>
  <c r="S710" i="1"/>
  <c r="W709" i="1"/>
  <c r="V709" i="1"/>
  <c r="U709" i="1"/>
  <c r="T709" i="1"/>
  <c r="S709" i="1"/>
  <c r="W708" i="1"/>
  <c r="V708" i="1"/>
  <c r="U708" i="1"/>
  <c r="T708" i="1"/>
  <c r="S708" i="1"/>
  <c r="W707" i="1"/>
  <c r="V707" i="1"/>
  <c r="U707" i="1"/>
  <c r="T707" i="1"/>
  <c r="S707" i="1"/>
  <c r="W706" i="1"/>
  <c r="V706" i="1"/>
  <c r="U706" i="1"/>
  <c r="T706" i="1"/>
  <c r="S706" i="1"/>
  <c r="W705" i="1"/>
  <c r="V705" i="1"/>
  <c r="U705" i="1"/>
  <c r="T705" i="1"/>
  <c r="S705" i="1"/>
  <c r="W704" i="1"/>
  <c r="V704" i="1"/>
  <c r="U704" i="1"/>
  <c r="T704" i="1"/>
  <c r="S704" i="1"/>
  <c r="W703" i="1"/>
  <c r="V703" i="1"/>
  <c r="U703" i="1"/>
  <c r="T703" i="1"/>
  <c r="S703" i="1"/>
  <c r="W702" i="1"/>
  <c r="V702" i="1"/>
  <c r="U702" i="1"/>
  <c r="T702" i="1"/>
  <c r="S702" i="1"/>
  <c r="W701" i="1"/>
  <c r="V701" i="1"/>
  <c r="U701" i="1"/>
  <c r="T701" i="1"/>
  <c r="S701" i="1"/>
  <c r="W700" i="1"/>
  <c r="V700" i="1"/>
  <c r="U700" i="1"/>
  <c r="T700" i="1"/>
  <c r="S700" i="1"/>
  <c r="W699" i="1"/>
  <c r="V699" i="1"/>
  <c r="U699" i="1"/>
  <c r="T699" i="1"/>
  <c r="S699" i="1"/>
  <c r="W698" i="1"/>
  <c r="V698" i="1"/>
  <c r="U698" i="1"/>
  <c r="T698" i="1"/>
  <c r="S698" i="1"/>
  <c r="W697" i="1"/>
  <c r="V697" i="1"/>
  <c r="U697" i="1"/>
  <c r="T697" i="1"/>
  <c r="S697" i="1"/>
  <c r="W696" i="1"/>
  <c r="V696" i="1"/>
  <c r="U696" i="1"/>
  <c r="T696" i="1"/>
  <c r="S696" i="1"/>
  <c r="W695" i="1"/>
  <c r="V695" i="1"/>
  <c r="U695" i="1"/>
  <c r="T695" i="1"/>
  <c r="S695" i="1"/>
  <c r="W694" i="1"/>
  <c r="V694" i="1"/>
  <c r="U694" i="1"/>
  <c r="T694" i="1"/>
  <c r="S694" i="1"/>
  <c r="W693" i="1"/>
  <c r="V693" i="1"/>
  <c r="U693" i="1"/>
  <c r="T693" i="1"/>
  <c r="S693" i="1"/>
  <c r="W692" i="1"/>
  <c r="V692" i="1"/>
  <c r="U692" i="1"/>
  <c r="T692" i="1"/>
  <c r="S692" i="1"/>
  <c r="W691" i="1"/>
  <c r="V691" i="1"/>
  <c r="U691" i="1"/>
  <c r="T691" i="1"/>
  <c r="S691" i="1"/>
  <c r="W690" i="1"/>
  <c r="V690" i="1"/>
  <c r="U690" i="1"/>
  <c r="T690" i="1"/>
  <c r="S690" i="1"/>
  <c r="W689" i="1"/>
  <c r="V689" i="1"/>
  <c r="U689" i="1"/>
  <c r="T689" i="1"/>
  <c r="S689" i="1"/>
  <c r="W688" i="1"/>
  <c r="V688" i="1"/>
  <c r="U688" i="1"/>
  <c r="T688" i="1"/>
  <c r="S688" i="1"/>
  <c r="W687" i="1"/>
  <c r="V687" i="1"/>
  <c r="U687" i="1"/>
  <c r="T687" i="1"/>
  <c r="S687" i="1"/>
  <c r="W686" i="1"/>
  <c r="V686" i="1"/>
  <c r="U686" i="1"/>
  <c r="T686" i="1"/>
  <c r="S686" i="1"/>
  <c r="W685" i="1"/>
  <c r="V685" i="1"/>
  <c r="U685" i="1"/>
  <c r="T685" i="1"/>
  <c r="S685" i="1"/>
  <c r="W684" i="1"/>
  <c r="V684" i="1"/>
  <c r="U684" i="1"/>
  <c r="T684" i="1"/>
  <c r="S684" i="1"/>
  <c r="W683" i="1"/>
  <c r="V683" i="1"/>
  <c r="U683" i="1"/>
  <c r="T683" i="1"/>
  <c r="S683" i="1"/>
  <c r="W682" i="1"/>
  <c r="V682" i="1"/>
  <c r="U682" i="1"/>
  <c r="T682" i="1"/>
  <c r="S682" i="1"/>
  <c r="W681" i="1"/>
  <c r="V681" i="1"/>
  <c r="U681" i="1"/>
  <c r="T681" i="1"/>
  <c r="S681" i="1"/>
  <c r="W680" i="1"/>
  <c r="V680" i="1"/>
  <c r="U680" i="1"/>
  <c r="T680" i="1"/>
  <c r="S680" i="1"/>
  <c r="W679" i="1"/>
  <c r="V679" i="1"/>
  <c r="U679" i="1"/>
  <c r="T679" i="1"/>
  <c r="S679" i="1"/>
  <c r="W678" i="1"/>
  <c r="V678" i="1"/>
  <c r="U678" i="1"/>
  <c r="T678" i="1"/>
  <c r="S678" i="1"/>
  <c r="W677" i="1"/>
  <c r="V677" i="1"/>
  <c r="U677" i="1"/>
  <c r="T677" i="1"/>
  <c r="S677" i="1"/>
  <c r="W676" i="1"/>
  <c r="V676" i="1"/>
  <c r="U676" i="1"/>
  <c r="T676" i="1"/>
  <c r="S676" i="1"/>
  <c r="W675" i="1"/>
  <c r="V675" i="1"/>
  <c r="U675" i="1"/>
  <c r="T675" i="1"/>
  <c r="S675" i="1"/>
  <c r="W674" i="1"/>
  <c r="V674" i="1"/>
  <c r="U674" i="1"/>
  <c r="T674" i="1"/>
  <c r="S674" i="1"/>
  <c r="W673" i="1"/>
  <c r="V673" i="1"/>
  <c r="U673" i="1"/>
  <c r="T673" i="1"/>
  <c r="S673" i="1"/>
  <c r="W672" i="1"/>
  <c r="V672" i="1"/>
  <c r="U672" i="1"/>
  <c r="T672" i="1"/>
  <c r="S672" i="1"/>
  <c r="W671" i="1"/>
  <c r="V671" i="1"/>
  <c r="U671" i="1"/>
  <c r="T671" i="1"/>
  <c r="S671" i="1"/>
  <c r="W670" i="1"/>
  <c r="V670" i="1"/>
  <c r="U670" i="1"/>
  <c r="T670" i="1"/>
  <c r="S670" i="1"/>
  <c r="W669" i="1"/>
  <c r="V669" i="1"/>
  <c r="U669" i="1"/>
  <c r="T669" i="1"/>
  <c r="S669" i="1"/>
  <c r="W668" i="1"/>
  <c r="V668" i="1"/>
  <c r="U668" i="1"/>
  <c r="T668" i="1"/>
  <c r="S668" i="1"/>
  <c r="W667" i="1"/>
  <c r="V667" i="1"/>
  <c r="U667" i="1"/>
  <c r="T667" i="1"/>
  <c r="S667" i="1"/>
  <c r="W666" i="1"/>
  <c r="V666" i="1"/>
  <c r="U666" i="1"/>
  <c r="T666" i="1"/>
  <c r="S666" i="1"/>
  <c r="W665" i="1"/>
  <c r="V665" i="1"/>
  <c r="U665" i="1"/>
  <c r="T665" i="1"/>
  <c r="S665" i="1"/>
  <c r="W664" i="1"/>
  <c r="V664" i="1"/>
  <c r="U664" i="1"/>
  <c r="T664" i="1"/>
  <c r="S664" i="1"/>
  <c r="W663" i="1"/>
  <c r="V663" i="1"/>
  <c r="U663" i="1"/>
  <c r="T663" i="1"/>
  <c r="S663" i="1"/>
  <c r="W662" i="1"/>
  <c r="V662" i="1"/>
  <c r="U662" i="1"/>
  <c r="T662" i="1"/>
  <c r="S662" i="1"/>
  <c r="W661" i="1"/>
  <c r="V661" i="1"/>
  <c r="U661" i="1"/>
  <c r="T661" i="1"/>
  <c r="S661" i="1"/>
  <c r="W660" i="1"/>
  <c r="V660" i="1"/>
  <c r="U660" i="1"/>
  <c r="T660" i="1"/>
  <c r="S660" i="1"/>
  <c r="W659" i="1"/>
  <c r="V659" i="1"/>
  <c r="U659" i="1"/>
  <c r="T659" i="1"/>
  <c r="S659" i="1"/>
  <c r="W658" i="1"/>
  <c r="V658" i="1"/>
  <c r="U658" i="1"/>
  <c r="T658" i="1"/>
  <c r="S658" i="1"/>
  <c r="W657" i="1"/>
  <c r="V657" i="1"/>
  <c r="U657" i="1"/>
  <c r="T657" i="1"/>
  <c r="S657" i="1"/>
  <c r="W656" i="1"/>
  <c r="V656" i="1"/>
  <c r="U656" i="1"/>
  <c r="T656" i="1"/>
  <c r="S656" i="1"/>
  <c r="W655" i="1"/>
  <c r="V655" i="1"/>
  <c r="U655" i="1"/>
  <c r="T655" i="1"/>
  <c r="S655" i="1"/>
  <c r="W654" i="1"/>
  <c r="V654" i="1"/>
  <c r="U654" i="1"/>
  <c r="T654" i="1"/>
  <c r="S654" i="1"/>
  <c r="W653" i="1"/>
  <c r="V653" i="1"/>
  <c r="U653" i="1"/>
  <c r="T653" i="1"/>
  <c r="S653" i="1"/>
  <c r="W652" i="1"/>
  <c r="V652" i="1"/>
  <c r="U652" i="1"/>
  <c r="T652" i="1"/>
  <c r="S652" i="1"/>
  <c r="W651" i="1"/>
  <c r="V651" i="1"/>
  <c r="U651" i="1"/>
  <c r="T651" i="1"/>
  <c r="S651" i="1"/>
  <c r="W650" i="1"/>
  <c r="V650" i="1"/>
  <c r="U650" i="1"/>
  <c r="T650" i="1"/>
  <c r="S650" i="1"/>
  <c r="W649" i="1"/>
  <c r="V649" i="1"/>
  <c r="U649" i="1"/>
  <c r="T649" i="1"/>
  <c r="S649" i="1"/>
  <c r="W648" i="1"/>
  <c r="V648" i="1"/>
  <c r="U648" i="1"/>
  <c r="T648" i="1"/>
  <c r="S648" i="1"/>
  <c r="W647" i="1"/>
  <c r="V647" i="1"/>
  <c r="U647" i="1"/>
  <c r="T647" i="1"/>
  <c r="S647" i="1"/>
  <c r="W646" i="1"/>
  <c r="V646" i="1"/>
  <c r="U646" i="1"/>
  <c r="T646" i="1"/>
  <c r="S646" i="1"/>
  <c r="W645" i="1"/>
  <c r="V645" i="1"/>
  <c r="U645" i="1"/>
  <c r="T645" i="1"/>
  <c r="S645" i="1"/>
  <c r="W644" i="1"/>
  <c r="V644" i="1"/>
  <c r="U644" i="1"/>
  <c r="T644" i="1"/>
  <c r="S644" i="1"/>
  <c r="W643" i="1"/>
  <c r="V643" i="1"/>
  <c r="U643" i="1"/>
  <c r="T643" i="1"/>
  <c r="S643" i="1"/>
  <c r="W642" i="1"/>
  <c r="V642" i="1"/>
  <c r="U642" i="1"/>
  <c r="T642" i="1"/>
  <c r="S642" i="1"/>
  <c r="W641" i="1"/>
  <c r="V641" i="1"/>
  <c r="U641" i="1"/>
  <c r="T641" i="1"/>
  <c r="S641" i="1"/>
  <c r="W640" i="1"/>
  <c r="V640" i="1"/>
  <c r="U640" i="1"/>
  <c r="T640" i="1"/>
  <c r="S640" i="1"/>
  <c r="W639" i="1"/>
  <c r="V639" i="1"/>
  <c r="U639" i="1"/>
  <c r="T639" i="1"/>
  <c r="S639" i="1"/>
  <c r="W638" i="1"/>
  <c r="V638" i="1"/>
  <c r="U638" i="1"/>
  <c r="T638" i="1"/>
  <c r="S638" i="1"/>
  <c r="W637" i="1"/>
  <c r="V637" i="1"/>
  <c r="U637" i="1"/>
  <c r="T637" i="1"/>
  <c r="S637" i="1"/>
  <c r="W636" i="1"/>
  <c r="V636" i="1"/>
  <c r="U636" i="1"/>
  <c r="T636" i="1"/>
  <c r="S636" i="1"/>
  <c r="W635" i="1"/>
  <c r="V635" i="1"/>
  <c r="U635" i="1"/>
  <c r="T635" i="1"/>
  <c r="S635" i="1"/>
  <c r="W634" i="1"/>
  <c r="V634" i="1"/>
  <c r="U634" i="1"/>
  <c r="T634" i="1"/>
  <c r="S634" i="1"/>
  <c r="W633" i="1"/>
  <c r="V633" i="1"/>
  <c r="U633" i="1"/>
  <c r="T633" i="1"/>
  <c r="S633" i="1"/>
  <c r="W632" i="1"/>
  <c r="V632" i="1"/>
  <c r="U632" i="1"/>
  <c r="T632" i="1"/>
  <c r="S632" i="1"/>
  <c r="W631" i="1"/>
  <c r="V631" i="1"/>
  <c r="U631" i="1"/>
  <c r="T631" i="1"/>
  <c r="S631" i="1"/>
  <c r="W630" i="1"/>
  <c r="V630" i="1"/>
  <c r="U630" i="1"/>
  <c r="T630" i="1"/>
  <c r="S630" i="1"/>
  <c r="W629" i="1"/>
  <c r="V629" i="1"/>
  <c r="U629" i="1"/>
  <c r="T629" i="1"/>
  <c r="S629" i="1"/>
  <c r="W628" i="1"/>
  <c r="V628" i="1"/>
  <c r="U628" i="1"/>
  <c r="T628" i="1"/>
  <c r="S628" i="1"/>
  <c r="W627" i="1"/>
  <c r="V627" i="1"/>
  <c r="U627" i="1"/>
  <c r="T627" i="1"/>
  <c r="S627" i="1"/>
  <c r="W626" i="1"/>
  <c r="V626" i="1"/>
  <c r="U626" i="1"/>
  <c r="T626" i="1"/>
  <c r="S626" i="1"/>
  <c r="W625" i="1"/>
  <c r="V625" i="1"/>
  <c r="U625" i="1"/>
  <c r="T625" i="1"/>
  <c r="S625" i="1"/>
  <c r="W624" i="1"/>
  <c r="V624" i="1"/>
  <c r="U624" i="1"/>
  <c r="T624" i="1"/>
  <c r="S624" i="1"/>
  <c r="W623" i="1"/>
  <c r="V623" i="1"/>
  <c r="U623" i="1"/>
  <c r="T623" i="1"/>
  <c r="S623" i="1"/>
  <c r="W622" i="1"/>
  <c r="V622" i="1"/>
  <c r="U622" i="1"/>
  <c r="T622" i="1"/>
  <c r="S622" i="1"/>
  <c r="W621" i="1"/>
  <c r="V621" i="1"/>
  <c r="U621" i="1"/>
  <c r="T621" i="1"/>
  <c r="S621" i="1"/>
  <c r="W620" i="1"/>
  <c r="V620" i="1"/>
  <c r="U620" i="1"/>
  <c r="T620" i="1"/>
  <c r="S620" i="1"/>
  <c r="W619" i="1"/>
  <c r="V619" i="1"/>
  <c r="U619" i="1"/>
  <c r="T619" i="1"/>
  <c r="S619" i="1"/>
  <c r="W618" i="1"/>
  <c r="V618" i="1"/>
  <c r="U618" i="1"/>
  <c r="T618" i="1"/>
  <c r="S618" i="1"/>
  <c r="W617" i="1"/>
  <c r="V617" i="1"/>
  <c r="U617" i="1"/>
  <c r="T617" i="1"/>
  <c r="S617" i="1"/>
  <c r="W616" i="1"/>
  <c r="V616" i="1"/>
  <c r="U616" i="1"/>
  <c r="T616" i="1"/>
  <c r="S616" i="1"/>
  <c r="W615" i="1"/>
  <c r="V615" i="1"/>
  <c r="U615" i="1"/>
  <c r="T615" i="1"/>
  <c r="S615" i="1"/>
  <c r="W614" i="1"/>
  <c r="V614" i="1"/>
  <c r="U614" i="1"/>
  <c r="T614" i="1"/>
  <c r="S614" i="1"/>
  <c r="W613" i="1"/>
  <c r="V613" i="1"/>
  <c r="U613" i="1"/>
  <c r="T613" i="1"/>
  <c r="S613" i="1"/>
  <c r="W612" i="1"/>
  <c r="V612" i="1"/>
  <c r="U612" i="1"/>
  <c r="T612" i="1"/>
  <c r="S612" i="1"/>
  <c r="W611" i="1"/>
  <c r="V611" i="1"/>
  <c r="U611" i="1"/>
  <c r="T611" i="1"/>
  <c r="S611" i="1"/>
  <c r="W610" i="1"/>
  <c r="V610" i="1"/>
  <c r="U610" i="1"/>
  <c r="T610" i="1"/>
  <c r="S610" i="1"/>
  <c r="W609" i="1"/>
  <c r="V609" i="1"/>
  <c r="U609" i="1"/>
  <c r="T609" i="1"/>
  <c r="S609" i="1"/>
  <c r="W608" i="1"/>
  <c r="V608" i="1"/>
  <c r="U608" i="1"/>
  <c r="T608" i="1"/>
  <c r="S608" i="1"/>
  <c r="W607" i="1"/>
  <c r="V607" i="1"/>
  <c r="U607" i="1"/>
  <c r="T607" i="1"/>
  <c r="S607" i="1"/>
  <c r="W606" i="1"/>
  <c r="V606" i="1"/>
  <c r="U606" i="1"/>
  <c r="T606" i="1"/>
  <c r="S606" i="1"/>
  <c r="W605" i="1"/>
  <c r="V605" i="1"/>
  <c r="U605" i="1"/>
  <c r="T605" i="1"/>
  <c r="S605" i="1"/>
  <c r="W604" i="1"/>
  <c r="V604" i="1"/>
  <c r="U604" i="1"/>
  <c r="T604" i="1"/>
  <c r="S604" i="1"/>
  <c r="W603" i="1"/>
  <c r="V603" i="1"/>
  <c r="U603" i="1"/>
  <c r="T603" i="1"/>
  <c r="S603" i="1"/>
  <c r="W602" i="1"/>
  <c r="V602" i="1"/>
  <c r="U602" i="1"/>
  <c r="T602" i="1"/>
  <c r="S602" i="1"/>
  <c r="W601" i="1"/>
  <c r="V601" i="1"/>
  <c r="U601" i="1"/>
  <c r="T601" i="1"/>
  <c r="S601" i="1"/>
  <c r="W600" i="1"/>
  <c r="V600" i="1"/>
  <c r="U600" i="1"/>
  <c r="T600" i="1"/>
  <c r="S600" i="1"/>
  <c r="W599" i="1"/>
  <c r="V599" i="1"/>
  <c r="U599" i="1"/>
  <c r="T599" i="1"/>
  <c r="S599" i="1"/>
  <c r="W598" i="1"/>
  <c r="V598" i="1"/>
  <c r="U598" i="1"/>
  <c r="T598" i="1"/>
  <c r="S598" i="1"/>
  <c r="W597" i="1"/>
  <c r="V597" i="1"/>
  <c r="U597" i="1"/>
  <c r="T597" i="1"/>
  <c r="S597" i="1"/>
  <c r="W596" i="1"/>
  <c r="V596" i="1"/>
  <c r="U596" i="1"/>
  <c r="T596" i="1"/>
  <c r="S596" i="1"/>
  <c r="W595" i="1"/>
  <c r="V595" i="1"/>
  <c r="U595" i="1"/>
  <c r="T595" i="1"/>
  <c r="S595" i="1"/>
  <c r="W594" i="1"/>
  <c r="V594" i="1"/>
  <c r="U594" i="1"/>
  <c r="T594" i="1"/>
  <c r="S594" i="1"/>
  <c r="W593" i="1"/>
  <c r="V593" i="1"/>
  <c r="U593" i="1"/>
  <c r="T593" i="1"/>
  <c r="S593" i="1"/>
  <c r="W592" i="1"/>
  <c r="V592" i="1"/>
  <c r="U592" i="1"/>
  <c r="T592" i="1"/>
  <c r="S592" i="1"/>
  <c r="W591" i="1"/>
  <c r="V591" i="1"/>
  <c r="U591" i="1"/>
  <c r="T591" i="1"/>
  <c r="S591" i="1"/>
  <c r="W590" i="1"/>
  <c r="V590" i="1"/>
  <c r="U590" i="1"/>
  <c r="T590" i="1"/>
  <c r="S590" i="1"/>
  <c r="W589" i="1"/>
  <c r="V589" i="1"/>
  <c r="U589" i="1"/>
  <c r="T589" i="1"/>
  <c r="S589" i="1"/>
  <c r="W588" i="1"/>
  <c r="V588" i="1"/>
  <c r="U588" i="1"/>
  <c r="T588" i="1"/>
  <c r="S588" i="1"/>
  <c r="W587" i="1"/>
  <c r="V587" i="1"/>
  <c r="U587" i="1"/>
  <c r="T587" i="1"/>
  <c r="S587" i="1"/>
  <c r="W586" i="1"/>
  <c r="V586" i="1"/>
  <c r="U586" i="1"/>
  <c r="T586" i="1"/>
  <c r="S586" i="1"/>
  <c r="W585" i="1"/>
  <c r="V585" i="1"/>
  <c r="U585" i="1"/>
  <c r="T585" i="1"/>
  <c r="S585" i="1"/>
  <c r="W584" i="1"/>
  <c r="V584" i="1"/>
  <c r="U584" i="1"/>
  <c r="T584" i="1"/>
  <c r="S584" i="1"/>
  <c r="W583" i="1"/>
  <c r="V583" i="1"/>
  <c r="U583" i="1"/>
  <c r="T583" i="1"/>
  <c r="S583" i="1"/>
  <c r="W582" i="1"/>
  <c r="V582" i="1"/>
  <c r="U582" i="1"/>
  <c r="T582" i="1"/>
  <c r="S582" i="1"/>
  <c r="W581" i="1"/>
  <c r="V581" i="1"/>
  <c r="U581" i="1"/>
  <c r="T581" i="1"/>
  <c r="S581" i="1"/>
  <c r="W580" i="1"/>
  <c r="V580" i="1"/>
  <c r="U580" i="1"/>
  <c r="T580" i="1"/>
  <c r="S580" i="1"/>
  <c r="W579" i="1"/>
  <c r="V579" i="1"/>
  <c r="U579" i="1"/>
  <c r="T579" i="1"/>
  <c r="S579" i="1"/>
  <c r="W578" i="1"/>
  <c r="V578" i="1"/>
  <c r="U578" i="1"/>
  <c r="T578" i="1"/>
  <c r="S578" i="1"/>
  <c r="W577" i="1"/>
  <c r="V577" i="1"/>
  <c r="U577" i="1"/>
  <c r="T577" i="1"/>
  <c r="S577" i="1"/>
  <c r="W576" i="1"/>
  <c r="V576" i="1"/>
  <c r="U576" i="1"/>
  <c r="T576" i="1"/>
  <c r="S576" i="1"/>
  <c r="W575" i="1"/>
  <c r="V575" i="1"/>
  <c r="U575" i="1"/>
  <c r="T575" i="1"/>
  <c r="S575" i="1"/>
  <c r="W574" i="1"/>
  <c r="V574" i="1"/>
  <c r="U574" i="1"/>
  <c r="T574" i="1"/>
  <c r="S574" i="1"/>
  <c r="W573" i="1"/>
  <c r="V573" i="1"/>
  <c r="U573" i="1"/>
  <c r="T573" i="1"/>
  <c r="S573" i="1"/>
  <c r="W572" i="1"/>
  <c r="V572" i="1"/>
  <c r="U572" i="1"/>
  <c r="T572" i="1"/>
  <c r="S572" i="1"/>
  <c r="W571" i="1"/>
  <c r="V571" i="1"/>
  <c r="U571" i="1"/>
  <c r="T571" i="1"/>
  <c r="S571" i="1"/>
  <c r="W570" i="1"/>
  <c r="V570" i="1"/>
  <c r="U570" i="1"/>
  <c r="T570" i="1"/>
  <c r="S570" i="1"/>
  <c r="W569" i="1"/>
  <c r="V569" i="1"/>
  <c r="U569" i="1"/>
  <c r="T569" i="1"/>
  <c r="S569" i="1"/>
  <c r="W568" i="1"/>
  <c r="V568" i="1"/>
  <c r="U568" i="1"/>
  <c r="T568" i="1"/>
  <c r="S568" i="1"/>
  <c r="W567" i="1"/>
  <c r="V567" i="1"/>
  <c r="U567" i="1"/>
  <c r="T567" i="1"/>
  <c r="S567" i="1"/>
  <c r="W566" i="1"/>
  <c r="V566" i="1"/>
  <c r="U566" i="1"/>
  <c r="T566" i="1"/>
  <c r="S566" i="1"/>
  <c r="W565" i="1"/>
  <c r="V565" i="1"/>
  <c r="U565" i="1"/>
  <c r="T565" i="1"/>
  <c r="S565" i="1"/>
  <c r="W564" i="1"/>
  <c r="V564" i="1"/>
  <c r="U564" i="1"/>
  <c r="T564" i="1"/>
  <c r="S564" i="1"/>
  <c r="W563" i="1"/>
  <c r="V563" i="1"/>
  <c r="U563" i="1"/>
  <c r="T563" i="1"/>
  <c r="S563" i="1"/>
  <c r="W562" i="1"/>
  <c r="V562" i="1"/>
  <c r="U562" i="1"/>
  <c r="T562" i="1"/>
  <c r="S562" i="1"/>
  <c r="W561" i="1"/>
  <c r="V561" i="1"/>
  <c r="U561" i="1"/>
  <c r="T561" i="1"/>
  <c r="S561" i="1"/>
  <c r="W560" i="1"/>
  <c r="V560" i="1"/>
  <c r="U560" i="1"/>
  <c r="T560" i="1"/>
  <c r="S560" i="1"/>
  <c r="W559" i="1"/>
  <c r="V559" i="1"/>
  <c r="U559" i="1"/>
  <c r="T559" i="1"/>
  <c r="S559" i="1"/>
  <c r="W558" i="1"/>
  <c r="V558" i="1"/>
  <c r="U558" i="1"/>
  <c r="T558" i="1"/>
  <c r="S558" i="1"/>
  <c r="W557" i="1"/>
  <c r="V557" i="1"/>
  <c r="U557" i="1"/>
  <c r="T557" i="1"/>
  <c r="S557" i="1"/>
  <c r="W556" i="1"/>
  <c r="V556" i="1"/>
  <c r="U556" i="1"/>
  <c r="T556" i="1"/>
  <c r="S556" i="1"/>
  <c r="W555" i="1"/>
  <c r="V555" i="1"/>
  <c r="U555" i="1"/>
  <c r="T555" i="1"/>
  <c r="S555" i="1"/>
  <c r="W554" i="1"/>
  <c r="V554" i="1"/>
  <c r="U554" i="1"/>
  <c r="T554" i="1"/>
  <c r="S554" i="1"/>
  <c r="W553" i="1"/>
  <c r="V553" i="1"/>
  <c r="U553" i="1"/>
  <c r="T553" i="1"/>
  <c r="S553" i="1"/>
  <c r="W552" i="1"/>
  <c r="V552" i="1"/>
  <c r="U552" i="1"/>
  <c r="T552" i="1"/>
  <c r="S552" i="1"/>
  <c r="W551" i="1"/>
  <c r="V551" i="1"/>
  <c r="U551" i="1"/>
  <c r="T551" i="1"/>
  <c r="S551" i="1"/>
  <c r="W550" i="1"/>
  <c r="V550" i="1"/>
  <c r="U550" i="1"/>
  <c r="T550" i="1"/>
  <c r="S550" i="1"/>
  <c r="W549" i="1"/>
  <c r="V549" i="1"/>
  <c r="U549" i="1"/>
  <c r="T549" i="1"/>
  <c r="S549" i="1"/>
  <c r="W548" i="1"/>
  <c r="V548" i="1"/>
  <c r="U548" i="1"/>
  <c r="T548" i="1"/>
  <c r="S548" i="1"/>
  <c r="W547" i="1"/>
  <c r="V547" i="1"/>
  <c r="U547" i="1"/>
  <c r="T547" i="1"/>
  <c r="S547" i="1"/>
  <c r="W546" i="1"/>
  <c r="V546" i="1"/>
  <c r="U546" i="1"/>
  <c r="T546" i="1"/>
  <c r="S546" i="1"/>
  <c r="W545" i="1"/>
  <c r="V545" i="1"/>
  <c r="U545" i="1"/>
  <c r="T545" i="1"/>
  <c r="S545" i="1"/>
  <c r="W544" i="1"/>
  <c r="V544" i="1"/>
  <c r="U544" i="1"/>
  <c r="T544" i="1"/>
  <c r="S544" i="1"/>
  <c r="W543" i="1"/>
  <c r="V543" i="1"/>
  <c r="U543" i="1"/>
  <c r="T543" i="1"/>
  <c r="S543" i="1"/>
  <c r="W542" i="1"/>
  <c r="V542" i="1"/>
  <c r="U542" i="1"/>
  <c r="T542" i="1"/>
  <c r="S542" i="1"/>
  <c r="W541" i="1"/>
  <c r="V541" i="1"/>
  <c r="U541" i="1"/>
  <c r="T541" i="1"/>
  <c r="S541" i="1"/>
  <c r="W540" i="1"/>
  <c r="V540" i="1"/>
  <c r="U540" i="1"/>
  <c r="T540" i="1"/>
  <c r="S540" i="1"/>
  <c r="W539" i="1"/>
  <c r="V539" i="1"/>
  <c r="U539" i="1"/>
  <c r="T539" i="1"/>
  <c r="S539" i="1"/>
  <c r="W538" i="1"/>
  <c r="V538" i="1"/>
  <c r="U538" i="1"/>
  <c r="T538" i="1"/>
  <c r="S538" i="1"/>
  <c r="W537" i="1"/>
  <c r="V537" i="1"/>
  <c r="U537" i="1"/>
  <c r="T537" i="1"/>
  <c r="S537" i="1"/>
  <c r="W536" i="1"/>
  <c r="V536" i="1"/>
  <c r="U536" i="1"/>
  <c r="T536" i="1"/>
  <c r="S536" i="1"/>
  <c r="W535" i="1"/>
  <c r="V535" i="1"/>
  <c r="U535" i="1"/>
  <c r="T535" i="1"/>
  <c r="S535" i="1"/>
  <c r="W534" i="1"/>
  <c r="V534" i="1"/>
  <c r="U534" i="1"/>
  <c r="T534" i="1"/>
  <c r="S534" i="1"/>
  <c r="W533" i="1"/>
  <c r="V533" i="1"/>
  <c r="U533" i="1"/>
  <c r="T533" i="1"/>
  <c r="S533" i="1"/>
  <c r="W532" i="1"/>
  <c r="V532" i="1"/>
  <c r="U532" i="1"/>
  <c r="T532" i="1"/>
  <c r="S532" i="1"/>
  <c r="W531" i="1"/>
  <c r="V531" i="1"/>
  <c r="U531" i="1"/>
  <c r="T531" i="1"/>
  <c r="S531" i="1"/>
  <c r="W530" i="1"/>
  <c r="V530" i="1"/>
  <c r="U530" i="1"/>
  <c r="T530" i="1"/>
  <c r="S530" i="1"/>
  <c r="W529" i="1"/>
  <c r="V529" i="1"/>
  <c r="U529" i="1"/>
  <c r="T529" i="1"/>
  <c r="S529" i="1"/>
  <c r="W528" i="1"/>
  <c r="V528" i="1"/>
  <c r="U528" i="1"/>
  <c r="T528" i="1"/>
  <c r="S528" i="1"/>
  <c r="W527" i="1"/>
  <c r="V527" i="1"/>
  <c r="U527" i="1"/>
  <c r="T527" i="1"/>
  <c r="S527" i="1"/>
  <c r="W526" i="1"/>
  <c r="V526" i="1"/>
  <c r="U526" i="1"/>
  <c r="T526" i="1"/>
  <c r="S526" i="1"/>
  <c r="W525" i="1"/>
  <c r="V525" i="1"/>
  <c r="U525" i="1"/>
  <c r="T525" i="1"/>
  <c r="S525" i="1"/>
  <c r="W524" i="1"/>
  <c r="V524" i="1"/>
  <c r="U524" i="1"/>
  <c r="T524" i="1"/>
  <c r="S524" i="1"/>
  <c r="W523" i="1"/>
  <c r="V523" i="1"/>
  <c r="U523" i="1"/>
  <c r="T523" i="1"/>
  <c r="S523" i="1"/>
  <c r="W522" i="1"/>
  <c r="V522" i="1"/>
  <c r="U522" i="1"/>
  <c r="T522" i="1"/>
  <c r="S522" i="1"/>
  <c r="W521" i="1"/>
  <c r="V521" i="1"/>
  <c r="U521" i="1"/>
  <c r="T521" i="1"/>
  <c r="S521" i="1"/>
  <c r="W520" i="1"/>
  <c r="V520" i="1"/>
  <c r="U520" i="1"/>
  <c r="T520" i="1"/>
  <c r="S520" i="1"/>
  <c r="W519" i="1"/>
  <c r="V519" i="1"/>
  <c r="U519" i="1"/>
  <c r="T519" i="1"/>
  <c r="S519" i="1"/>
  <c r="W518" i="1"/>
  <c r="V518" i="1"/>
  <c r="U518" i="1"/>
  <c r="T518" i="1"/>
  <c r="S518" i="1"/>
  <c r="W517" i="1"/>
  <c r="V517" i="1"/>
  <c r="U517" i="1"/>
  <c r="T517" i="1"/>
  <c r="S517" i="1"/>
  <c r="W516" i="1"/>
  <c r="V516" i="1"/>
  <c r="U516" i="1"/>
  <c r="T516" i="1"/>
  <c r="S516" i="1"/>
  <c r="W515" i="1"/>
  <c r="V515" i="1"/>
  <c r="U515" i="1"/>
  <c r="T515" i="1"/>
  <c r="S515" i="1"/>
  <c r="W514" i="1"/>
  <c r="V514" i="1"/>
  <c r="U514" i="1"/>
  <c r="T514" i="1"/>
  <c r="S514" i="1"/>
  <c r="W513" i="1"/>
  <c r="V513" i="1"/>
  <c r="U513" i="1"/>
  <c r="T513" i="1"/>
  <c r="S513" i="1"/>
  <c r="W512" i="1"/>
  <c r="V512" i="1"/>
  <c r="U512" i="1"/>
  <c r="T512" i="1"/>
  <c r="S512" i="1"/>
  <c r="W511" i="1"/>
  <c r="V511" i="1"/>
  <c r="U511" i="1"/>
  <c r="T511" i="1"/>
  <c r="S511" i="1"/>
  <c r="W510" i="1"/>
  <c r="V510" i="1"/>
  <c r="U510" i="1"/>
  <c r="T510" i="1"/>
  <c r="S510" i="1"/>
  <c r="W509" i="1"/>
  <c r="V509" i="1"/>
  <c r="U509" i="1"/>
  <c r="T509" i="1"/>
  <c r="S509" i="1"/>
  <c r="W508" i="1"/>
  <c r="V508" i="1"/>
  <c r="U508" i="1"/>
  <c r="T508" i="1"/>
  <c r="S508" i="1"/>
  <c r="W507" i="1"/>
  <c r="V507" i="1"/>
  <c r="U507" i="1"/>
  <c r="T507" i="1"/>
  <c r="S507" i="1"/>
  <c r="W506" i="1"/>
  <c r="V506" i="1"/>
  <c r="U506" i="1"/>
  <c r="T506" i="1"/>
  <c r="S506" i="1"/>
  <c r="W505" i="1"/>
  <c r="V505" i="1"/>
  <c r="U505" i="1"/>
  <c r="T505" i="1"/>
  <c r="S505" i="1"/>
  <c r="W504" i="1"/>
  <c r="V504" i="1"/>
  <c r="U504" i="1"/>
  <c r="T504" i="1"/>
  <c r="S504" i="1"/>
  <c r="W503" i="1"/>
  <c r="V503" i="1"/>
  <c r="U503" i="1"/>
  <c r="T503" i="1"/>
  <c r="S503" i="1"/>
  <c r="W502" i="1"/>
  <c r="V502" i="1"/>
  <c r="U502" i="1"/>
  <c r="T502" i="1"/>
  <c r="S502" i="1"/>
  <c r="W501" i="1"/>
  <c r="V501" i="1"/>
  <c r="U501" i="1"/>
  <c r="T501" i="1"/>
  <c r="S501" i="1"/>
  <c r="W500" i="1"/>
  <c r="V500" i="1"/>
  <c r="U500" i="1"/>
  <c r="T500" i="1"/>
  <c r="S500" i="1"/>
  <c r="W499" i="1"/>
  <c r="V499" i="1"/>
  <c r="U499" i="1"/>
  <c r="T499" i="1"/>
  <c r="S499" i="1"/>
  <c r="W498" i="1"/>
  <c r="V498" i="1"/>
  <c r="U498" i="1"/>
  <c r="T498" i="1"/>
  <c r="S498" i="1"/>
  <c r="W497" i="1"/>
  <c r="V497" i="1"/>
  <c r="U497" i="1"/>
  <c r="T497" i="1"/>
  <c r="S497" i="1"/>
  <c r="W496" i="1"/>
  <c r="V496" i="1"/>
  <c r="U496" i="1"/>
  <c r="T496" i="1"/>
  <c r="S496" i="1"/>
  <c r="W495" i="1"/>
  <c r="V495" i="1"/>
  <c r="U495" i="1"/>
  <c r="T495" i="1"/>
  <c r="S495" i="1"/>
  <c r="W494" i="1"/>
  <c r="V494" i="1"/>
  <c r="U494" i="1"/>
  <c r="T494" i="1"/>
  <c r="S494" i="1"/>
  <c r="W493" i="1"/>
  <c r="V493" i="1"/>
  <c r="U493" i="1"/>
  <c r="T493" i="1"/>
  <c r="S493" i="1"/>
  <c r="W492" i="1"/>
  <c r="V492" i="1"/>
  <c r="U492" i="1"/>
  <c r="T492" i="1"/>
  <c r="S492" i="1"/>
  <c r="W491" i="1"/>
  <c r="V491" i="1"/>
  <c r="U491" i="1"/>
  <c r="T491" i="1"/>
  <c r="S491" i="1"/>
  <c r="W490" i="1"/>
  <c r="V490" i="1"/>
  <c r="U490" i="1"/>
  <c r="T490" i="1"/>
  <c r="S490" i="1"/>
  <c r="W489" i="1"/>
  <c r="V489" i="1"/>
  <c r="U489" i="1"/>
  <c r="T489" i="1"/>
  <c r="S489" i="1"/>
  <c r="W488" i="1"/>
  <c r="V488" i="1"/>
  <c r="U488" i="1"/>
  <c r="T488" i="1"/>
  <c r="S488" i="1"/>
  <c r="W487" i="1"/>
  <c r="V487" i="1"/>
  <c r="U487" i="1"/>
  <c r="T487" i="1"/>
  <c r="S487" i="1"/>
  <c r="W486" i="1"/>
  <c r="V486" i="1"/>
  <c r="U486" i="1"/>
  <c r="T486" i="1"/>
  <c r="S486" i="1"/>
  <c r="W485" i="1"/>
  <c r="V485" i="1"/>
  <c r="U485" i="1"/>
  <c r="T485" i="1"/>
  <c r="S485" i="1"/>
  <c r="W484" i="1"/>
  <c r="V484" i="1"/>
  <c r="U484" i="1"/>
  <c r="T484" i="1"/>
  <c r="S484" i="1"/>
  <c r="W483" i="1"/>
  <c r="V483" i="1"/>
  <c r="U483" i="1"/>
  <c r="T483" i="1"/>
  <c r="S483" i="1"/>
  <c r="W482" i="1"/>
  <c r="V482" i="1"/>
  <c r="U482" i="1"/>
  <c r="T482" i="1"/>
  <c r="S482" i="1"/>
  <c r="W481" i="1"/>
  <c r="V481" i="1"/>
  <c r="U481" i="1"/>
  <c r="T481" i="1"/>
  <c r="S481" i="1"/>
  <c r="W480" i="1"/>
  <c r="V480" i="1"/>
  <c r="U480" i="1"/>
  <c r="T480" i="1"/>
  <c r="S480" i="1"/>
  <c r="W479" i="1"/>
  <c r="V479" i="1"/>
  <c r="U479" i="1"/>
  <c r="T479" i="1"/>
  <c r="S479" i="1"/>
  <c r="W478" i="1"/>
  <c r="V478" i="1"/>
  <c r="U478" i="1"/>
  <c r="T478" i="1"/>
  <c r="S478" i="1"/>
  <c r="W477" i="1"/>
  <c r="V477" i="1"/>
  <c r="U477" i="1"/>
  <c r="T477" i="1"/>
  <c r="S477" i="1"/>
  <c r="W476" i="1"/>
  <c r="V476" i="1"/>
  <c r="U476" i="1"/>
  <c r="T476" i="1"/>
  <c r="S476" i="1"/>
  <c r="W475" i="1"/>
  <c r="V475" i="1"/>
  <c r="U475" i="1"/>
  <c r="T475" i="1"/>
  <c r="S475" i="1"/>
  <c r="W474" i="1"/>
  <c r="V474" i="1"/>
  <c r="U474" i="1"/>
  <c r="T474" i="1"/>
  <c r="S474" i="1"/>
  <c r="W473" i="1"/>
  <c r="V473" i="1"/>
  <c r="U473" i="1"/>
  <c r="T473" i="1"/>
  <c r="S473" i="1"/>
  <c r="W472" i="1"/>
  <c r="V472" i="1"/>
  <c r="U472" i="1"/>
  <c r="T472" i="1"/>
  <c r="S472" i="1"/>
  <c r="W471" i="1"/>
  <c r="V471" i="1"/>
  <c r="U471" i="1"/>
  <c r="T471" i="1"/>
  <c r="S471" i="1"/>
  <c r="W470" i="1"/>
  <c r="V470" i="1"/>
  <c r="U470" i="1"/>
  <c r="T470" i="1"/>
  <c r="S470" i="1"/>
  <c r="W469" i="1"/>
  <c r="V469" i="1"/>
  <c r="U469" i="1"/>
  <c r="T469" i="1"/>
  <c r="S469" i="1"/>
  <c r="W468" i="1"/>
  <c r="V468" i="1"/>
  <c r="U468" i="1"/>
  <c r="T468" i="1"/>
  <c r="S468" i="1"/>
  <c r="W467" i="1"/>
  <c r="V467" i="1"/>
  <c r="U467" i="1"/>
  <c r="T467" i="1"/>
  <c r="S467" i="1"/>
  <c r="W466" i="1"/>
  <c r="V466" i="1"/>
  <c r="U466" i="1"/>
  <c r="T466" i="1"/>
  <c r="S466" i="1"/>
  <c r="W465" i="1"/>
  <c r="V465" i="1"/>
  <c r="U465" i="1"/>
  <c r="T465" i="1"/>
  <c r="S465" i="1"/>
  <c r="W464" i="1"/>
  <c r="V464" i="1"/>
  <c r="U464" i="1"/>
  <c r="T464" i="1"/>
  <c r="S464" i="1"/>
  <c r="W463" i="1"/>
  <c r="V463" i="1"/>
  <c r="U463" i="1"/>
  <c r="T463" i="1"/>
  <c r="S463" i="1"/>
  <c r="W462" i="1"/>
  <c r="V462" i="1"/>
  <c r="U462" i="1"/>
  <c r="T462" i="1"/>
  <c r="S462" i="1"/>
  <c r="W461" i="1"/>
  <c r="V461" i="1"/>
  <c r="U461" i="1"/>
  <c r="T461" i="1"/>
  <c r="S461" i="1"/>
  <c r="W460" i="1"/>
  <c r="V460" i="1"/>
  <c r="U460" i="1"/>
  <c r="T460" i="1"/>
  <c r="S460" i="1"/>
  <c r="W459" i="1"/>
  <c r="V459" i="1"/>
  <c r="U459" i="1"/>
  <c r="T459" i="1"/>
  <c r="S459" i="1"/>
  <c r="W458" i="1"/>
  <c r="V458" i="1"/>
  <c r="U458" i="1"/>
  <c r="T458" i="1"/>
  <c r="S458" i="1"/>
  <c r="W457" i="1"/>
  <c r="V457" i="1"/>
  <c r="U457" i="1"/>
  <c r="T457" i="1"/>
  <c r="S457" i="1"/>
  <c r="W456" i="1"/>
  <c r="V456" i="1"/>
  <c r="U456" i="1"/>
  <c r="T456" i="1"/>
  <c r="S456" i="1"/>
  <c r="W455" i="1"/>
  <c r="V455" i="1"/>
  <c r="U455" i="1"/>
  <c r="T455" i="1"/>
  <c r="S455" i="1"/>
  <c r="W454" i="1"/>
  <c r="V454" i="1"/>
  <c r="U454" i="1"/>
  <c r="T454" i="1"/>
  <c r="S454" i="1"/>
  <c r="W453" i="1"/>
  <c r="V453" i="1"/>
  <c r="U453" i="1"/>
  <c r="T453" i="1"/>
  <c r="S453" i="1"/>
  <c r="W452" i="1"/>
  <c r="V452" i="1"/>
  <c r="U452" i="1"/>
  <c r="T452" i="1"/>
  <c r="S452" i="1"/>
  <c r="W451" i="1"/>
  <c r="V451" i="1"/>
  <c r="U451" i="1"/>
  <c r="T451" i="1"/>
  <c r="S451" i="1"/>
  <c r="W450" i="1"/>
  <c r="V450" i="1"/>
  <c r="U450" i="1"/>
  <c r="T450" i="1"/>
  <c r="S450" i="1"/>
  <c r="W449" i="1"/>
  <c r="V449" i="1"/>
  <c r="U449" i="1"/>
  <c r="T449" i="1"/>
  <c r="S449" i="1"/>
  <c r="W448" i="1"/>
  <c r="V448" i="1"/>
  <c r="U448" i="1"/>
  <c r="T448" i="1"/>
  <c r="S448" i="1"/>
  <c r="W447" i="1"/>
  <c r="V447" i="1"/>
  <c r="U447" i="1"/>
  <c r="T447" i="1"/>
  <c r="S447" i="1"/>
  <c r="W446" i="1"/>
  <c r="V446" i="1"/>
  <c r="U446" i="1"/>
  <c r="T446" i="1"/>
  <c r="S446" i="1"/>
  <c r="W445" i="1"/>
  <c r="V445" i="1"/>
  <c r="U445" i="1"/>
  <c r="T445" i="1"/>
  <c r="S445" i="1"/>
  <c r="W444" i="1"/>
  <c r="V444" i="1"/>
  <c r="U444" i="1"/>
  <c r="T444" i="1"/>
  <c r="S444" i="1"/>
  <c r="W443" i="1"/>
  <c r="V443" i="1"/>
  <c r="U443" i="1"/>
  <c r="T443" i="1"/>
  <c r="S443" i="1"/>
  <c r="W442" i="1"/>
  <c r="V442" i="1"/>
  <c r="U442" i="1"/>
  <c r="T442" i="1"/>
  <c r="S442" i="1"/>
  <c r="W441" i="1"/>
  <c r="V441" i="1"/>
  <c r="U441" i="1"/>
  <c r="T441" i="1"/>
  <c r="S441" i="1"/>
  <c r="W440" i="1"/>
  <c r="V440" i="1"/>
  <c r="U440" i="1"/>
  <c r="T440" i="1"/>
  <c r="S440" i="1"/>
  <c r="W439" i="1"/>
  <c r="V439" i="1"/>
  <c r="U439" i="1"/>
  <c r="T439" i="1"/>
  <c r="S439" i="1"/>
  <c r="W438" i="1"/>
  <c r="V438" i="1"/>
  <c r="U438" i="1"/>
  <c r="T438" i="1"/>
  <c r="S438" i="1"/>
  <c r="W437" i="1"/>
  <c r="V437" i="1"/>
  <c r="U437" i="1"/>
  <c r="T437" i="1"/>
  <c r="S437" i="1"/>
  <c r="W436" i="1"/>
  <c r="V436" i="1"/>
  <c r="U436" i="1"/>
  <c r="T436" i="1"/>
  <c r="S436" i="1"/>
  <c r="W435" i="1"/>
  <c r="V435" i="1"/>
  <c r="U435" i="1"/>
  <c r="T435" i="1"/>
  <c r="S435" i="1"/>
  <c r="W434" i="1"/>
  <c r="V434" i="1"/>
  <c r="U434" i="1"/>
  <c r="T434" i="1"/>
  <c r="S434" i="1"/>
  <c r="W433" i="1"/>
  <c r="V433" i="1"/>
  <c r="U433" i="1"/>
  <c r="T433" i="1"/>
  <c r="S433" i="1"/>
  <c r="W432" i="1"/>
  <c r="V432" i="1"/>
  <c r="U432" i="1"/>
  <c r="T432" i="1"/>
  <c r="S432" i="1"/>
  <c r="W431" i="1"/>
  <c r="V431" i="1"/>
  <c r="U431" i="1"/>
  <c r="T431" i="1"/>
  <c r="S431" i="1"/>
  <c r="W430" i="1"/>
  <c r="V430" i="1"/>
  <c r="U430" i="1"/>
  <c r="T430" i="1"/>
  <c r="S430" i="1"/>
  <c r="W429" i="1"/>
  <c r="V429" i="1"/>
  <c r="U429" i="1"/>
  <c r="T429" i="1"/>
  <c r="S429" i="1"/>
  <c r="W428" i="1"/>
  <c r="V428" i="1"/>
  <c r="U428" i="1"/>
  <c r="T428" i="1"/>
  <c r="S428" i="1"/>
  <c r="W427" i="1"/>
  <c r="V427" i="1"/>
  <c r="U427" i="1"/>
  <c r="T427" i="1"/>
  <c r="S427" i="1"/>
  <c r="W426" i="1"/>
  <c r="V426" i="1"/>
  <c r="U426" i="1"/>
  <c r="T426" i="1"/>
  <c r="S426" i="1"/>
  <c r="W425" i="1"/>
  <c r="V425" i="1"/>
  <c r="U425" i="1"/>
  <c r="T425" i="1"/>
  <c r="S425" i="1"/>
  <c r="W424" i="1"/>
  <c r="V424" i="1"/>
  <c r="U424" i="1"/>
  <c r="T424" i="1"/>
  <c r="S424" i="1"/>
  <c r="W423" i="1"/>
  <c r="V423" i="1"/>
  <c r="U423" i="1"/>
  <c r="T423" i="1"/>
  <c r="S423" i="1"/>
  <c r="W422" i="1"/>
  <c r="V422" i="1"/>
  <c r="U422" i="1"/>
  <c r="T422" i="1"/>
  <c r="S422" i="1"/>
  <c r="W421" i="1"/>
  <c r="V421" i="1"/>
  <c r="U421" i="1"/>
  <c r="T421" i="1"/>
  <c r="S421" i="1"/>
  <c r="W420" i="1"/>
  <c r="V420" i="1"/>
  <c r="U420" i="1"/>
  <c r="T420" i="1"/>
  <c r="S420" i="1"/>
  <c r="W419" i="1"/>
  <c r="V419" i="1"/>
  <c r="U419" i="1"/>
  <c r="T419" i="1"/>
  <c r="S419" i="1"/>
  <c r="W418" i="1"/>
  <c r="V418" i="1"/>
  <c r="U418" i="1"/>
  <c r="T418" i="1"/>
  <c r="S418" i="1"/>
  <c r="W417" i="1"/>
  <c r="V417" i="1"/>
  <c r="U417" i="1"/>
  <c r="T417" i="1"/>
  <c r="S417" i="1"/>
  <c r="W416" i="1"/>
  <c r="V416" i="1"/>
  <c r="U416" i="1"/>
  <c r="T416" i="1"/>
  <c r="S416" i="1"/>
  <c r="W415" i="1"/>
  <c r="V415" i="1"/>
  <c r="U415" i="1"/>
  <c r="T415" i="1"/>
  <c r="S415" i="1"/>
  <c r="W414" i="1"/>
  <c r="V414" i="1"/>
  <c r="U414" i="1"/>
  <c r="T414" i="1"/>
  <c r="S414" i="1"/>
  <c r="W413" i="1"/>
  <c r="V413" i="1"/>
  <c r="U413" i="1"/>
  <c r="T413" i="1"/>
  <c r="S413" i="1"/>
  <c r="W412" i="1"/>
  <c r="V412" i="1"/>
  <c r="U412" i="1"/>
  <c r="T412" i="1"/>
  <c r="S412" i="1"/>
  <c r="W411" i="1"/>
  <c r="V411" i="1"/>
  <c r="U411" i="1"/>
  <c r="T411" i="1"/>
  <c r="S411" i="1"/>
  <c r="W410" i="1"/>
  <c r="V410" i="1"/>
  <c r="U410" i="1"/>
  <c r="T410" i="1"/>
  <c r="S410" i="1"/>
  <c r="W409" i="1"/>
  <c r="V409" i="1"/>
  <c r="U409" i="1"/>
  <c r="T409" i="1"/>
  <c r="S409" i="1"/>
  <c r="W408" i="1"/>
  <c r="V408" i="1"/>
  <c r="U408" i="1"/>
  <c r="T408" i="1"/>
  <c r="S408" i="1"/>
  <c r="W407" i="1"/>
  <c r="V407" i="1"/>
  <c r="U407" i="1"/>
  <c r="T407" i="1"/>
  <c r="S407" i="1"/>
  <c r="W406" i="1"/>
  <c r="V406" i="1"/>
  <c r="U406" i="1"/>
  <c r="T406" i="1"/>
  <c r="S406" i="1"/>
  <c r="W405" i="1"/>
  <c r="V405" i="1"/>
  <c r="U405" i="1"/>
  <c r="T405" i="1"/>
  <c r="S405" i="1"/>
  <c r="W404" i="1"/>
  <c r="V404" i="1"/>
  <c r="U404" i="1"/>
  <c r="T404" i="1"/>
  <c r="S404" i="1"/>
  <c r="W403" i="1"/>
  <c r="V403" i="1"/>
  <c r="U403" i="1"/>
  <c r="T403" i="1"/>
  <c r="S403" i="1"/>
  <c r="W402" i="1"/>
  <c r="V402" i="1"/>
  <c r="U402" i="1"/>
  <c r="T402" i="1"/>
  <c r="S402" i="1"/>
  <c r="W401" i="1"/>
  <c r="V401" i="1"/>
  <c r="U401" i="1"/>
  <c r="T401" i="1"/>
  <c r="S401" i="1"/>
  <c r="W400" i="1"/>
  <c r="V400" i="1"/>
  <c r="U400" i="1"/>
  <c r="T400" i="1"/>
  <c r="S400" i="1"/>
  <c r="W399" i="1"/>
  <c r="V399" i="1"/>
  <c r="U399" i="1"/>
  <c r="T399" i="1"/>
  <c r="S399" i="1"/>
  <c r="W398" i="1"/>
  <c r="V398" i="1"/>
  <c r="U398" i="1"/>
  <c r="T398" i="1"/>
  <c r="S398" i="1"/>
  <c r="W397" i="1"/>
  <c r="V397" i="1"/>
  <c r="U397" i="1"/>
  <c r="T397" i="1"/>
  <c r="S397" i="1"/>
  <c r="W396" i="1"/>
  <c r="V396" i="1"/>
  <c r="U396" i="1"/>
  <c r="T396" i="1"/>
  <c r="S396" i="1"/>
  <c r="W395" i="1"/>
  <c r="V395" i="1"/>
  <c r="U395" i="1"/>
  <c r="T395" i="1"/>
  <c r="S395" i="1"/>
  <c r="W394" i="1"/>
  <c r="V394" i="1"/>
  <c r="U394" i="1"/>
  <c r="T394" i="1"/>
  <c r="S394" i="1"/>
  <c r="W393" i="1"/>
  <c r="V393" i="1"/>
  <c r="U393" i="1"/>
  <c r="T393" i="1"/>
  <c r="S393" i="1"/>
  <c r="W392" i="1"/>
  <c r="V392" i="1"/>
  <c r="U392" i="1"/>
  <c r="T392" i="1"/>
  <c r="S392" i="1"/>
  <c r="W391" i="1"/>
  <c r="V391" i="1"/>
  <c r="U391" i="1"/>
  <c r="T391" i="1"/>
  <c r="S391" i="1"/>
  <c r="W390" i="1"/>
  <c r="V390" i="1"/>
  <c r="U390" i="1"/>
  <c r="T390" i="1"/>
  <c r="S390" i="1"/>
  <c r="W389" i="1"/>
  <c r="V389" i="1"/>
  <c r="U389" i="1"/>
  <c r="T389" i="1"/>
  <c r="S389" i="1"/>
  <c r="W388" i="1"/>
  <c r="V388" i="1"/>
  <c r="U388" i="1"/>
  <c r="T388" i="1"/>
  <c r="S388" i="1"/>
  <c r="W387" i="1"/>
  <c r="V387" i="1"/>
  <c r="U387" i="1"/>
  <c r="T387" i="1"/>
  <c r="S387" i="1"/>
  <c r="W386" i="1"/>
  <c r="V386" i="1"/>
  <c r="U386" i="1"/>
  <c r="T386" i="1"/>
  <c r="S386" i="1"/>
  <c r="W385" i="1"/>
  <c r="V385" i="1"/>
  <c r="U385" i="1"/>
  <c r="T385" i="1"/>
  <c r="S385" i="1"/>
  <c r="W384" i="1"/>
  <c r="V384" i="1"/>
  <c r="U384" i="1"/>
  <c r="T384" i="1"/>
  <c r="S384" i="1"/>
  <c r="W383" i="1"/>
  <c r="V383" i="1"/>
  <c r="U383" i="1"/>
  <c r="T383" i="1"/>
  <c r="S383" i="1"/>
  <c r="W382" i="1"/>
  <c r="V382" i="1"/>
  <c r="U382" i="1"/>
  <c r="T382" i="1"/>
  <c r="S382" i="1"/>
  <c r="W381" i="1"/>
  <c r="V381" i="1"/>
  <c r="U381" i="1"/>
  <c r="T381" i="1"/>
  <c r="S381" i="1"/>
  <c r="W380" i="1"/>
  <c r="V380" i="1"/>
  <c r="U380" i="1"/>
  <c r="T380" i="1"/>
  <c r="S380" i="1"/>
  <c r="W379" i="1"/>
  <c r="V379" i="1"/>
  <c r="U379" i="1"/>
  <c r="T379" i="1"/>
  <c r="S379" i="1"/>
  <c r="W378" i="1"/>
  <c r="V378" i="1"/>
  <c r="U378" i="1"/>
  <c r="T378" i="1"/>
  <c r="S378" i="1"/>
  <c r="W377" i="1"/>
  <c r="V377" i="1"/>
  <c r="U377" i="1"/>
  <c r="T377" i="1"/>
  <c r="S377" i="1"/>
  <c r="W376" i="1"/>
  <c r="V376" i="1"/>
  <c r="U376" i="1"/>
  <c r="T376" i="1"/>
  <c r="S376" i="1"/>
  <c r="W375" i="1"/>
  <c r="V375" i="1"/>
  <c r="U375" i="1"/>
  <c r="T375" i="1"/>
  <c r="S375" i="1"/>
  <c r="W374" i="1"/>
  <c r="V374" i="1"/>
  <c r="U374" i="1"/>
  <c r="T374" i="1"/>
  <c r="S374" i="1"/>
  <c r="W373" i="1"/>
  <c r="V373" i="1"/>
  <c r="U373" i="1"/>
  <c r="T373" i="1"/>
  <c r="S373" i="1"/>
  <c r="W372" i="1"/>
  <c r="V372" i="1"/>
  <c r="U372" i="1"/>
  <c r="T372" i="1"/>
  <c r="S372" i="1"/>
  <c r="W371" i="1"/>
  <c r="V371" i="1"/>
  <c r="U371" i="1"/>
  <c r="T371" i="1"/>
  <c r="S371" i="1"/>
  <c r="W370" i="1"/>
  <c r="V370" i="1"/>
  <c r="U370" i="1"/>
  <c r="T370" i="1"/>
  <c r="S370" i="1"/>
  <c r="W369" i="1"/>
  <c r="V369" i="1"/>
  <c r="U369" i="1"/>
  <c r="T369" i="1"/>
  <c r="S369" i="1"/>
  <c r="W368" i="1"/>
  <c r="V368" i="1"/>
  <c r="U368" i="1"/>
  <c r="T368" i="1"/>
  <c r="S368" i="1"/>
  <c r="W367" i="1"/>
  <c r="V367" i="1"/>
  <c r="U367" i="1"/>
  <c r="T367" i="1"/>
  <c r="S367" i="1"/>
  <c r="W366" i="1"/>
  <c r="V366" i="1"/>
  <c r="U366" i="1"/>
  <c r="T366" i="1"/>
  <c r="S366" i="1"/>
  <c r="W365" i="1"/>
  <c r="V365" i="1"/>
  <c r="U365" i="1"/>
  <c r="T365" i="1"/>
  <c r="S365" i="1"/>
  <c r="W364" i="1"/>
  <c r="V364" i="1"/>
  <c r="U364" i="1"/>
  <c r="T364" i="1"/>
  <c r="S364" i="1"/>
  <c r="W363" i="1"/>
  <c r="V363" i="1"/>
  <c r="U363" i="1"/>
  <c r="T363" i="1"/>
  <c r="S363" i="1"/>
  <c r="W362" i="1"/>
  <c r="V362" i="1"/>
  <c r="U362" i="1"/>
  <c r="T362" i="1"/>
  <c r="S362" i="1"/>
  <c r="W361" i="1"/>
  <c r="V361" i="1"/>
  <c r="U361" i="1"/>
  <c r="T361" i="1"/>
  <c r="S361" i="1"/>
  <c r="W360" i="1"/>
  <c r="V360" i="1"/>
  <c r="U360" i="1"/>
  <c r="T360" i="1"/>
  <c r="S360" i="1"/>
  <c r="W359" i="1"/>
  <c r="V359" i="1"/>
  <c r="U359" i="1"/>
  <c r="T359" i="1"/>
  <c r="S359" i="1"/>
  <c r="W358" i="1"/>
  <c r="V358" i="1"/>
  <c r="U358" i="1"/>
  <c r="T358" i="1"/>
  <c r="S358" i="1"/>
  <c r="W357" i="1"/>
  <c r="V357" i="1"/>
  <c r="U357" i="1"/>
  <c r="T357" i="1"/>
  <c r="S357" i="1"/>
  <c r="W356" i="1"/>
  <c r="V356" i="1"/>
  <c r="U356" i="1"/>
  <c r="T356" i="1"/>
  <c r="S356" i="1"/>
  <c r="W355" i="1"/>
  <c r="V355" i="1"/>
  <c r="U355" i="1"/>
  <c r="T355" i="1"/>
  <c r="S355" i="1"/>
  <c r="W354" i="1"/>
  <c r="V354" i="1"/>
  <c r="U354" i="1"/>
  <c r="T354" i="1"/>
  <c r="S354" i="1"/>
  <c r="W353" i="1"/>
  <c r="V353" i="1"/>
  <c r="U353" i="1"/>
  <c r="T353" i="1"/>
  <c r="S353" i="1"/>
  <c r="W352" i="1"/>
  <c r="V352" i="1"/>
  <c r="U352" i="1"/>
  <c r="T352" i="1"/>
  <c r="S352" i="1"/>
  <c r="W351" i="1"/>
  <c r="V351" i="1"/>
  <c r="U351" i="1"/>
  <c r="T351" i="1"/>
  <c r="S351" i="1"/>
  <c r="W350" i="1"/>
  <c r="V350" i="1"/>
  <c r="U350" i="1"/>
  <c r="T350" i="1"/>
  <c r="S350" i="1"/>
  <c r="W349" i="1"/>
  <c r="V349" i="1"/>
  <c r="U349" i="1"/>
  <c r="T349" i="1"/>
  <c r="S349" i="1"/>
  <c r="W348" i="1"/>
  <c r="V348" i="1"/>
  <c r="U348" i="1"/>
  <c r="T348" i="1"/>
  <c r="S348" i="1"/>
  <c r="W347" i="1"/>
  <c r="V347" i="1"/>
  <c r="U347" i="1"/>
  <c r="T347" i="1"/>
  <c r="S347" i="1"/>
  <c r="W346" i="1"/>
  <c r="V346" i="1"/>
  <c r="U346" i="1"/>
  <c r="T346" i="1"/>
  <c r="S346" i="1"/>
  <c r="W345" i="1"/>
  <c r="V345" i="1"/>
  <c r="U345" i="1"/>
  <c r="T345" i="1"/>
  <c r="S345" i="1"/>
  <c r="W344" i="1"/>
  <c r="V344" i="1"/>
  <c r="U344" i="1"/>
  <c r="T344" i="1"/>
  <c r="S344" i="1"/>
  <c r="W343" i="1"/>
  <c r="V343" i="1"/>
  <c r="U343" i="1"/>
  <c r="T343" i="1"/>
  <c r="S343" i="1"/>
  <c r="W342" i="1"/>
  <c r="V342" i="1"/>
  <c r="U342" i="1"/>
  <c r="T342" i="1"/>
  <c r="S342" i="1"/>
  <c r="W341" i="1"/>
  <c r="V341" i="1"/>
  <c r="U341" i="1"/>
  <c r="T341" i="1"/>
  <c r="S341" i="1"/>
  <c r="W340" i="1"/>
  <c r="V340" i="1"/>
  <c r="U340" i="1"/>
  <c r="T340" i="1"/>
  <c r="S340" i="1"/>
  <c r="W339" i="1"/>
  <c r="V339" i="1"/>
  <c r="U339" i="1"/>
  <c r="T339" i="1"/>
  <c r="S339" i="1"/>
  <c r="W338" i="1"/>
  <c r="V338" i="1"/>
  <c r="U338" i="1"/>
  <c r="T338" i="1"/>
  <c r="S338" i="1"/>
  <c r="W337" i="1"/>
  <c r="V337" i="1"/>
  <c r="U337" i="1"/>
  <c r="T337" i="1"/>
  <c r="S337" i="1"/>
  <c r="W336" i="1"/>
  <c r="V336" i="1"/>
  <c r="U336" i="1"/>
  <c r="T336" i="1"/>
  <c r="S336" i="1"/>
  <c r="W335" i="1"/>
  <c r="V335" i="1"/>
  <c r="U335" i="1"/>
  <c r="T335" i="1"/>
  <c r="S335" i="1"/>
  <c r="W334" i="1"/>
  <c r="V334" i="1"/>
  <c r="U334" i="1"/>
  <c r="T334" i="1"/>
  <c r="S334" i="1"/>
  <c r="W333" i="1"/>
  <c r="V333" i="1"/>
  <c r="U333" i="1"/>
  <c r="T333" i="1"/>
  <c r="S333" i="1"/>
  <c r="W332" i="1"/>
  <c r="V332" i="1"/>
  <c r="U332" i="1"/>
  <c r="T332" i="1"/>
  <c r="S332" i="1"/>
  <c r="W331" i="1"/>
  <c r="V331" i="1"/>
  <c r="U331" i="1"/>
  <c r="T331" i="1"/>
  <c r="S331" i="1"/>
  <c r="W330" i="1"/>
  <c r="V330" i="1"/>
  <c r="U330" i="1"/>
  <c r="T330" i="1"/>
  <c r="S330" i="1"/>
  <c r="W329" i="1"/>
  <c r="V329" i="1"/>
  <c r="U329" i="1"/>
  <c r="T329" i="1"/>
  <c r="S329" i="1"/>
  <c r="W328" i="1"/>
  <c r="V328" i="1"/>
  <c r="U328" i="1"/>
  <c r="T328" i="1"/>
  <c r="S328" i="1"/>
  <c r="W327" i="1"/>
  <c r="V327" i="1"/>
  <c r="U327" i="1"/>
  <c r="T327" i="1"/>
  <c r="S327" i="1"/>
  <c r="W326" i="1"/>
  <c r="V326" i="1"/>
  <c r="U326" i="1"/>
  <c r="T326" i="1"/>
  <c r="S326" i="1"/>
  <c r="W325" i="1"/>
  <c r="V325" i="1"/>
  <c r="U325" i="1"/>
  <c r="T325" i="1"/>
  <c r="S325" i="1"/>
  <c r="W324" i="1"/>
  <c r="V324" i="1"/>
  <c r="U324" i="1"/>
  <c r="T324" i="1"/>
  <c r="S324" i="1"/>
  <c r="W323" i="1"/>
  <c r="V323" i="1"/>
  <c r="U323" i="1"/>
  <c r="T323" i="1"/>
  <c r="S323" i="1"/>
  <c r="W322" i="1"/>
  <c r="V322" i="1"/>
  <c r="U322" i="1"/>
  <c r="T322" i="1"/>
  <c r="S322" i="1"/>
  <c r="W321" i="1"/>
  <c r="V321" i="1"/>
  <c r="U321" i="1"/>
  <c r="T321" i="1"/>
  <c r="S321" i="1"/>
  <c r="W320" i="1"/>
  <c r="V320" i="1"/>
  <c r="U320" i="1"/>
  <c r="T320" i="1"/>
  <c r="S320" i="1"/>
  <c r="W319" i="1"/>
  <c r="V319" i="1"/>
  <c r="U319" i="1"/>
  <c r="T319" i="1"/>
  <c r="S319" i="1"/>
  <c r="W318" i="1"/>
  <c r="V318" i="1"/>
  <c r="U318" i="1"/>
  <c r="T318" i="1"/>
  <c r="S318" i="1"/>
  <c r="W317" i="1"/>
  <c r="V317" i="1"/>
  <c r="U317" i="1"/>
  <c r="T317" i="1"/>
  <c r="S317" i="1"/>
  <c r="W316" i="1"/>
  <c r="V316" i="1"/>
  <c r="U316" i="1"/>
  <c r="T316" i="1"/>
  <c r="S316" i="1"/>
  <c r="W315" i="1"/>
  <c r="V315" i="1"/>
  <c r="U315" i="1"/>
  <c r="T315" i="1"/>
  <c r="S315" i="1"/>
  <c r="W314" i="1"/>
  <c r="V314" i="1"/>
  <c r="U314" i="1"/>
  <c r="T314" i="1"/>
  <c r="S314" i="1"/>
  <c r="W313" i="1"/>
  <c r="V313" i="1"/>
  <c r="U313" i="1"/>
  <c r="T313" i="1"/>
  <c r="S313" i="1"/>
  <c r="W312" i="1"/>
  <c r="V312" i="1"/>
  <c r="U312" i="1"/>
  <c r="T312" i="1"/>
  <c r="S312" i="1"/>
  <c r="W311" i="1"/>
  <c r="V311" i="1"/>
  <c r="U311" i="1"/>
  <c r="T311" i="1"/>
  <c r="S311" i="1"/>
  <c r="W310" i="1"/>
  <c r="V310" i="1"/>
  <c r="U310" i="1"/>
  <c r="T310" i="1"/>
  <c r="S310" i="1"/>
  <c r="W309" i="1"/>
  <c r="V309" i="1"/>
  <c r="U309" i="1"/>
  <c r="T309" i="1"/>
  <c r="S309" i="1"/>
  <c r="W308" i="1"/>
  <c r="V308" i="1"/>
  <c r="U308" i="1"/>
  <c r="T308" i="1"/>
  <c r="S308" i="1"/>
  <c r="W307" i="1"/>
  <c r="V307" i="1"/>
  <c r="U307" i="1"/>
  <c r="T307" i="1"/>
  <c r="S307" i="1"/>
  <c r="W306" i="1"/>
  <c r="V306" i="1"/>
  <c r="U306" i="1"/>
  <c r="T306" i="1"/>
  <c r="S306" i="1"/>
  <c r="W305" i="1"/>
  <c r="V305" i="1"/>
  <c r="U305" i="1"/>
  <c r="T305" i="1"/>
  <c r="S305" i="1"/>
  <c r="W304" i="1"/>
  <c r="V304" i="1"/>
  <c r="U304" i="1"/>
  <c r="T304" i="1"/>
  <c r="S304" i="1"/>
  <c r="W303" i="1"/>
  <c r="V303" i="1"/>
  <c r="U303" i="1"/>
  <c r="T303" i="1"/>
  <c r="S303" i="1"/>
  <c r="W302" i="1"/>
  <c r="V302" i="1"/>
  <c r="U302" i="1"/>
  <c r="T302" i="1"/>
  <c r="S302" i="1"/>
  <c r="W301" i="1"/>
  <c r="V301" i="1"/>
  <c r="U301" i="1"/>
  <c r="T301" i="1"/>
  <c r="S301" i="1"/>
  <c r="W300" i="1"/>
  <c r="V300" i="1"/>
  <c r="U300" i="1"/>
  <c r="T300" i="1"/>
  <c r="S300" i="1"/>
  <c r="W299" i="1"/>
  <c r="V299" i="1"/>
  <c r="U299" i="1"/>
  <c r="T299" i="1"/>
  <c r="S299" i="1"/>
  <c r="W298" i="1"/>
  <c r="V298" i="1"/>
  <c r="U298" i="1"/>
  <c r="T298" i="1"/>
  <c r="S298" i="1"/>
  <c r="W297" i="1"/>
  <c r="V297" i="1"/>
  <c r="U297" i="1"/>
  <c r="T297" i="1"/>
  <c r="S297" i="1"/>
  <c r="W296" i="1"/>
  <c r="V296" i="1"/>
  <c r="U296" i="1"/>
  <c r="T296" i="1"/>
  <c r="S296" i="1"/>
  <c r="W295" i="1"/>
  <c r="V295" i="1"/>
  <c r="U295" i="1"/>
  <c r="T295" i="1"/>
  <c r="S295" i="1"/>
  <c r="W294" i="1"/>
  <c r="V294" i="1"/>
  <c r="U294" i="1"/>
  <c r="T294" i="1"/>
  <c r="S294" i="1"/>
  <c r="W293" i="1"/>
  <c r="V293" i="1"/>
  <c r="U293" i="1"/>
  <c r="T293" i="1"/>
  <c r="S293" i="1"/>
  <c r="W292" i="1"/>
  <c r="V292" i="1"/>
  <c r="U292" i="1"/>
  <c r="T292" i="1"/>
  <c r="S292" i="1"/>
  <c r="W291" i="1"/>
  <c r="V291" i="1"/>
  <c r="U291" i="1"/>
  <c r="T291" i="1"/>
  <c r="S291" i="1"/>
  <c r="W290" i="1"/>
  <c r="V290" i="1"/>
  <c r="U290" i="1"/>
  <c r="T290" i="1"/>
  <c r="S290" i="1"/>
  <c r="W289" i="1"/>
  <c r="V289" i="1"/>
  <c r="U289" i="1"/>
  <c r="T289" i="1"/>
  <c r="S289" i="1"/>
  <c r="W288" i="1"/>
  <c r="V288" i="1"/>
  <c r="U288" i="1"/>
  <c r="T288" i="1"/>
  <c r="S288" i="1"/>
  <c r="W287" i="1"/>
  <c r="V287" i="1"/>
  <c r="U287" i="1"/>
  <c r="T287" i="1"/>
  <c r="S287" i="1"/>
  <c r="W286" i="1"/>
  <c r="V286" i="1"/>
  <c r="U286" i="1"/>
  <c r="T286" i="1"/>
  <c r="S286" i="1"/>
  <c r="W285" i="1"/>
  <c r="V285" i="1"/>
  <c r="U285" i="1"/>
  <c r="T285" i="1"/>
  <c r="S285" i="1"/>
  <c r="W284" i="1"/>
  <c r="V284" i="1"/>
  <c r="U284" i="1"/>
  <c r="T284" i="1"/>
  <c r="S284" i="1"/>
  <c r="W283" i="1"/>
  <c r="V283" i="1"/>
  <c r="U283" i="1"/>
  <c r="T283" i="1"/>
  <c r="S283" i="1"/>
  <c r="W282" i="1"/>
  <c r="V282" i="1"/>
  <c r="U282" i="1"/>
  <c r="T282" i="1"/>
  <c r="S282" i="1"/>
  <c r="W281" i="1"/>
  <c r="V281" i="1"/>
  <c r="U281" i="1"/>
  <c r="T281" i="1"/>
  <c r="S281" i="1"/>
  <c r="W280" i="1"/>
  <c r="V280" i="1"/>
  <c r="U280" i="1"/>
  <c r="T280" i="1"/>
  <c r="S280" i="1"/>
  <c r="W279" i="1"/>
  <c r="V279" i="1"/>
  <c r="U279" i="1"/>
  <c r="T279" i="1"/>
  <c r="S279" i="1"/>
  <c r="W278" i="1"/>
  <c r="V278" i="1"/>
  <c r="U278" i="1"/>
  <c r="T278" i="1"/>
  <c r="S278" i="1"/>
  <c r="W277" i="1"/>
  <c r="V277" i="1"/>
  <c r="U277" i="1"/>
  <c r="T277" i="1"/>
  <c r="S277" i="1"/>
  <c r="W276" i="1"/>
  <c r="V276" i="1"/>
  <c r="U276" i="1"/>
  <c r="T276" i="1"/>
  <c r="S276" i="1"/>
  <c r="W275" i="1"/>
  <c r="V275" i="1"/>
  <c r="U275" i="1"/>
  <c r="T275" i="1"/>
  <c r="S275" i="1"/>
  <c r="W274" i="1"/>
  <c r="V274" i="1"/>
  <c r="U274" i="1"/>
  <c r="T274" i="1"/>
  <c r="S274" i="1"/>
  <c r="W273" i="1"/>
  <c r="V273" i="1"/>
  <c r="U273" i="1"/>
  <c r="T273" i="1"/>
  <c r="S273" i="1"/>
  <c r="W272" i="1"/>
  <c r="V272" i="1"/>
  <c r="U272" i="1"/>
  <c r="T272" i="1"/>
  <c r="S272" i="1"/>
  <c r="W271" i="1"/>
  <c r="V271" i="1"/>
  <c r="U271" i="1"/>
  <c r="T271" i="1"/>
  <c r="S271" i="1"/>
  <c r="W270" i="1"/>
  <c r="V270" i="1"/>
  <c r="U270" i="1"/>
  <c r="T270" i="1"/>
  <c r="S270" i="1"/>
  <c r="W269" i="1"/>
  <c r="V269" i="1"/>
  <c r="U269" i="1"/>
  <c r="T269" i="1"/>
  <c r="S269" i="1"/>
  <c r="W268" i="1"/>
  <c r="V268" i="1"/>
  <c r="U268" i="1"/>
  <c r="T268" i="1"/>
  <c r="S268" i="1"/>
  <c r="W267" i="1"/>
  <c r="V267" i="1"/>
  <c r="U267" i="1"/>
  <c r="T267" i="1"/>
  <c r="S267" i="1"/>
  <c r="W266" i="1"/>
  <c r="V266" i="1"/>
  <c r="U266" i="1"/>
  <c r="T266" i="1"/>
  <c r="S266" i="1"/>
  <c r="W265" i="1"/>
  <c r="V265" i="1"/>
  <c r="U265" i="1"/>
  <c r="T265" i="1"/>
  <c r="S265" i="1"/>
  <c r="W264" i="1"/>
  <c r="V264" i="1"/>
  <c r="U264" i="1"/>
  <c r="T264" i="1"/>
  <c r="S264" i="1"/>
  <c r="W263" i="1"/>
  <c r="V263" i="1"/>
  <c r="U263" i="1"/>
  <c r="T263" i="1"/>
  <c r="S263" i="1"/>
  <c r="W262" i="1"/>
  <c r="V262" i="1"/>
  <c r="U262" i="1"/>
  <c r="T262" i="1"/>
  <c r="S262" i="1"/>
  <c r="W261" i="1"/>
  <c r="V261" i="1"/>
  <c r="U261" i="1"/>
  <c r="T261" i="1"/>
  <c r="S261" i="1"/>
  <c r="W260" i="1"/>
  <c r="V260" i="1"/>
  <c r="U260" i="1"/>
  <c r="T260" i="1"/>
  <c r="S260" i="1"/>
  <c r="W259" i="1"/>
  <c r="V259" i="1"/>
  <c r="U259" i="1"/>
  <c r="T259" i="1"/>
  <c r="S259" i="1"/>
  <c r="W258" i="1"/>
  <c r="V258" i="1"/>
  <c r="U258" i="1"/>
  <c r="T258" i="1"/>
  <c r="S258" i="1"/>
  <c r="W257" i="1"/>
  <c r="V257" i="1"/>
  <c r="U257" i="1"/>
  <c r="T257" i="1"/>
  <c r="S257" i="1"/>
  <c r="W256" i="1"/>
  <c r="V256" i="1"/>
  <c r="U256" i="1"/>
  <c r="T256" i="1"/>
  <c r="S256" i="1"/>
  <c r="W255" i="1"/>
  <c r="V255" i="1"/>
  <c r="U255" i="1"/>
  <c r="T255" i="1"/>
  <c r="S255" i="1"/>
  <c r="W254" i="1"/>
  <c r="V254" i="1"/>
  <c r="U254" i="1"/>
  <c r="T254" i="1"/>
  <c r="S254" i="1"/>
  <c r="W253" i="1"/>
  <c r="V253" i="1"/>
  <c r="U253" i="1"/>
  <c r="T253" i="1"/>
  <c r="S253" i="1"/>
  <c r="W252" i="1"/>
  <c r="V252" i="1"/>
  <c r="U252" i="1"/>
  <c r="T252" i="1"/>
  <c r="S252" i="1"/>
  <c r="W251" i="1"/>
  <c r="V251" i="1"/>
  <c r="U251" i="1"/>
  <c r="T251" i="1"/>
  <c r="S251" i="1"/>
  <c r="W250" i="1"/>
  <c r="V250" i="1"/>
  <c r="U250" i="1"/>
  <c r="T250" i="1"/>
  <c r="S250" i="1"/>
  <c r="W249" i="1"/>
  <c r="V249" i="1"/>
  <c r="U249" i="1"/>
  <c r="T249" i="1"/>
  <c r="S249" i="1"/>
  <c r="W248" i="1"/>
  <c r="V248" i="1"/>
  <c r="U248" i="1"/>
  <c r="T248" i="1"/>
  <c r="S248" i="1"/>
  <c r="W247" i="1"/>
  <c r="V247" i="1"/>
  <c r="U247" i="1"/>
  <c r="T247" i="1"/>
  <c r="S247" i="1"/>
  <c r="W246" i="1"/>
  <c r="V246" i="1"/>
  <c r="U246" i="1"/>
  <c r="T246" i="1"/>
  <c r="S246" i="1"/>
  <c r="W245" i="1"/>
  <c r="V245" i="1"/>
  <c r="U245" i="1"/>
  <c r="T245" i="1"/>
  <c r="S245" i="1"/>
  <c r="W244" i="1"/>
  <c r="V244" i="1"/>
  <c r="U244" i="1"/>
  <c r="T244" i="1"/>
  <c r="S244" i="1"/>
  <c r="W243" i="1"/>
  <c r="V243" i="1"/>
  <c r="U243" i="1"/>
  <c r="T243" i="1"/>
  <c r="S243" i="1"/>
  <c r="W242" i="1"/>
  <c r="V242" i="1"/>
  <c r="U242" i="1"/>
  <c r="T242" i="1"/>
  <c r="S242" i="1"/>
  <c r="W241" i="1"/>
  <c r="V241" i="1"/>
  <c r="U241" i="1"/>
  <c r="T241" i="1"/>
  <c r="S241" i="1"/>
  <c r="W240" i="1"/>
  <c r="V240" i="1"/>
  <c r="U240" i="1"/>
  <c r="T240" i="1"/>
  <c r="S240" i="1"/>
  <c r="W239" i="1"/>
  <c r="V239" i="1"/>
  <c r="U239" i="1"/>
  <c r="T239" i="1"/>
  <c r="S239" i="1"/>
  <c r="W238" i="1"/>
  <c r="V238" i="1"/>
  <c r="U238" i="1"/>
  <c r="T238" i="1"/>
  <c r="S238" i="1"/>
  <c r="W237" i="1"/>
  <c r="V237" i="1"/>
  <c r="U237" i="1"/>
  <c r="T237" i="1"/>
  <c r="S237" i="1"/>
  <c r="W236" i="1"/>
  <c r="V236" i="1"/>
  <c r="U236" i="1"/>
  <c r="T236" i="1"/>
  <c r="S236" i="1"/>
  <c r="W235" i="1"/>
  <c r="V235" i="1"/>
  <c r="U235" i="1"/>
  <c r="T235" i="1"/>
  <c r="S235" i="1"/>
  <c r="W234" i="1"/>
  <c r="V234" i="1"/>
  <c r="U234" i="1"/>
  <c r="T234" i="1"/>
  <c r="S234" i="1"/>
  <c r="W233" i="1"/>
  <c r="V233" i="1"/>
  <c r="U233" i="1"/>
  <c r="T233" i="1"/>
  <c r="S233" i="1"/>
  <c r="W232" i="1"/>
  <c r="V232" i="1"/>
  <c r="U232" i="1"/>
  <c r="T232" i="1"/>
  <c r="S232" i="1"/>
  <c r="W231" i="1"/>
  <c r="V231" i="1"/>
  <c r="U231" i="1"/>
  <c r="T231" i="1"/>
  <c r="S231" i="1"/>
  <c r="W230" i="1"/>
  <c r="V230" i="1"/>
  <c r="U230" i="1"/>
  <c r="T230" i="1"/>
  <c r="S230" i="1"/>
  <c r="W229" i="1"/>
  <c r="V229" i="1"/>
  <c r="U229" i="1"/>
  <c r="T229" i="1"/>
  <c r="S229" i="1"/>
  <c r="W228" i="1"/>
  <c r="V228" i="1"/>
  <c r="U228" i="1"/>
  <c r="T228" i="1"/>
  <c r="S228" i="1"/>
  <c r="W227" i="1"/>
  <c r="V227" i="1"/>
  <c r="U227" i="1"/>
  <c r="T227" i="1"/>
  <c r="S227" i="1"/>
  <c r="W226" i="1"/>
  <c r="V226" i="1"/>
  <c r="U226" i="1"/>
  <c r="T226" i="1"/>
  <c r="S226" i="1"/>
  <c r="W225" i="1"/>
  <c r="V225" i="1"/>
  <c r="U225" i="1"/>
  <c r="T225" i="1"/>
  <c r="S225" i="1"/>
  <c r="W224" i="1"/>
  <c r="V224" i="1"/>
  <c r="U224" i="1"/>
  <c r="T224" i="1"/>
  <c r="S224" i="1"/>
  <c r="W223" i="1"/>
  <c r="V223" i="1"/>
  <c r="U223" i="1"/>
  <c r="T223" i="1"/>
  <c r="S223" i="1"/>
  <c r="W222" i="1"/>
  <c r="V222" i="1"/>
  <c r="U222" i="1"/>
  <c r="T222" i="1"/>
  <c r="S222" i="1"/>
  <c r="W221" i="1"/>
  <c r="V221" i="1"/>
  <c r="U221" i="1"/>
  <c r="T221" i="1"/>
  <c r="S221" i="1"/>
  <c r="W220" i="1"/>
  <c r="V220" i="1"/>
  <c r="U220" i="1"/>
  <c r="T220" i="1"/>
  <c r="S220" i="1"/>
  <c r="W219" i="1"/>
  <c r="V219" i="1"/>
  <c r="U219" i="1"/>
  <c r="T219" i="1"/>
  <c r="S219" i="1"/>
  <c r="W218" i="1"/>
  <c r="V218" i="1"/>
  <c r="U218" i="1"/>
  <c r="T218" i="1"/>
  <c r="S218" i="1"/>
  <c r="W217" i="1"/>
  <c r="V217" i="1"/>
  <c r="U217" i="1"/>
  <c r="T217" i="1"/>
  <c r="S217" i="1"/>
  <c r="W216" i="1"/>
  <c r="V216" i="1"/>
  <c r="U216" i="1"/>
  <c r="T216" i="1"/>
  <c r="S216" i="1"/>
  <c r="W215" i="1"/>
  <c r="V215" i="1"/>
  <c r="U215" i="1"/>
  <c r="T215" i="1"/>
  <c r="S215" i="1"/>
  <c r="W214" i="1"/>
  <c r="V214" i="1"/>
  <c r="U214" i="1"/>
  <c r="T214" i="1"/>
  <c r="S214" i="1"/>
  <c r="W213" i="1"/>
  <c r="V213" i="1"/>
  <c r="U213" i="1"/>
  <c r="T213" i="1"/>
  <c r="S213" i="1"/>
  <c r="W212" i="1"/>
  <c r="V212" i="1"/>
  <c r="U212" i="1"/>
  <c r="T212" i="1"/>
  <c r="S212" i="1"/>
  <c r="W211" i="1"/>
  <c r="V211" i="1"/>
  <c r="U211" i="1"/>
  <c r="T211" i="1"/>
  <c r="S211" i="1"/>
  <c r="W210" i="1"/>
  <c r="V210" i="1"/>
  <c r="U210" i="1"/>
  <c r="T210" i="1"/>
  <c r="S210" i="1"/>
  <c r="W209" i="1"/>
  <c r="V209" i="1"/>
  <c r="U209" i="1"/>
  <c r="T209" i="1"/>
  <c r="S209" i="1"/>
  <c r="W208" i="1"/>
  <c r="V208" i="1"/>
  <c r="U208" i="1"/>
  <c r="T208" i="1"/>
  <c r="S208" i="1"/>
  <c r="W207" i="1"/>
  <c r="V207" i="1"/>
  <c r="U207" i="1"/>
  <c r="T207" i="1"/>
  <c r="S207" i="1"/>
  <c r="W206" i="1"/>
  <c r="V206" i="1"/>
  <c r="U206" i="1"/>
  <c r="T206" i="1"/>
  <c r="S206" i="1"/>
  <c r="W205" i="1"/>
  <c r="V205" i="1"/>
  <c r="U205" i="1"/>
  <c r="T205" i="1"/>
  <c r="S205" i="1"/>
  <c r="W204" i="1"/>
  <c r="V204" i="1"/>
  <c r="U204" i="1"/>
  <c r="T204" i="1"/>
  <c r="S204" i="1"/>
  <c r="W203" i="1"/>
  <c r="V203" i="1"/>
  <c r="U203" i="1"/>
  <c r="T203" i="1"/>
  <c r="S203" i="1"/>
  <c r="W202" i="1"/>
  <c r="V202" i="1"/>
  <c r="U202" i="1"/>
  <c r="T202" i="1"/>
  <c r="S202" i="1"/>
  <c r="W201" i="1"/>
  <c r="V201" i="1"/>
  <c r="U201" i="1"/>
  <c r="T201" i="1"/>
  <c r="S201" i="1"/>
  <c r="W200" i="1"/>
  <c r="V200" i="1"/>
  <c r="U200" i="1"/>
  <c r="T200" i="1"/>
  <c r="S200" i="1"/>
  <c r="W199" i="1"/>
  <c r="V199" i="1"/>
  <c r="U199" i="1"/>
  <c r="T199" i="1"/>
  <c r="S199" i="1"/>
  <c r="W198" i="1"/>
  <c r="V198" i="1"/>
  <c r="U198" i="1"/>
  <c r="T198" i="1"/>
  <c r="S198" i="1"/>
  <c r="W197" i="1"/>
  <c r="V197" i="1"/>
  <c r="U197" i="1"/>
  <c r="T197" i="1"/>
  <c r="S197" i="1"/>
  <c r="W196" i="1"/>
  <c r="V196" i="1"/>
  <c r="U196" i="1"/>
  <c r="T196" i="1"/>
  <c r="S196" i="1"/>
  <c r="W195" i="1"/>
  <c r="V195" i="1"/>
  <c r="U195" i="1"/>
  <c r="T195" i="1"/>
  <c r="S195" i="1"/>
  <c r="W194" i="1"/>
  <c r="V194" i="1"/>
  <c r="U194" i="1"/>
  <c r="T194" i="1"/>
  <c r="S194" i="1"/>
  <c r="W193" i="1"/>
  <c r="V193" i="1"/>
  <c r="U193" i="1"/>
  <c r="T193" i="1"/>
  <c r="S193" i="1"/>
  <c r="W192" i="1"/>
  <c r="V192" i="1"/>
  <c r="U192" i="1"/>
  <c r="T192" i="1"/>
  <c r="S192" i="1"/>
  <c r="W191" i="1"/>
  <c r="V191" i="1"/>
  <c r="U191" i="1"/>
  <c r="T191" i="1"/>
  <c r="S191" i="1"/>
  <c r="W190" i="1"/>
  <c r="V190" i="1"/>
  <c r="U190" i="1"/>
  <c r="T190" i="1"/>
  <c r="S190" i="1"/>
  <c r="W189" i="1"/>
  <c r="V189" i="1"/>
  <c r="U189" i="1"/>
  <c r="T189" i="1"/>
  <c r="S189" i="1"/>
  <c r="W188" i="1"/>
  <c r="V188" i="1"/>
  <c r="U188" i="1"/>
  <c r="T188" i="1"/>
  <c r="S188" i="1"/>
  <c r="W187" i="1"/>
  <c r="V187" i="1"/>
  <c r="U187" i="1"/>
  <c r="T187" i="1"/>
  <c r="S187" i="1"/>
  <c r="W186" i="1"/>
  <c r="V186" i="1"/>
  <c r="U186" i="1"/>
  <c r="T186" i="1"/>
  <c r="S186" i="1"/>
  <c r="W185" i="1"/>
  <c r="V185" i="1"/>
  <c r="U185" i="1"/>
  <c r="T185" i="1"/>
  <c r="S185" i="1"/>
  <c r="W184" i="1"/>
  <c r="V184" i="1"/>
  <c r="U184" i="1"/>
  <c r="T184" i="1"/>
  <c r="S184" i="1"/>
  <c r="W183" i="1"/>
  <c r="V183" i="1"/>
  <c r="U183" i="1"/>
  <c r="T183" i="1"/>
  <c r="S183" i="1"/>
  <c r="W182" i="1"/>
  <c r="V182" i="1"/>
  <c r="U182" i="1"/>
  <c r="T182" i="1"/>
  <c r="S182" i="1"/>
  <c r="W181" i="1"/>
  <c r="V181" i="1"/>
  <c r="U181" i="1"/>
  <c r="T181" i="1"/>
  <c r="S181" i="1"/>
  <c r="W180" i="1"/>
  <c r="V180" i="1"/>
  <c r="U180" i="1"/>
  <c r="T180" i="1"/>
  <c r="S180" i="1"/>
  <c r="W179" i="1"/>
  <c r="V179" i="1"/>
  <c r="U179" i="1"/>
  <c r="T179" i="1"/>
  <c r="S179" i="1"/>
  <c r="W178" i="1"/>
  <c r="V178" i="1"/>
  <c r="U178" i="1"/>
  <c r="T178" i="1"/>
  <c r="S178" i="1"/>
  <c r="W177" i="1"/>
  <c r="V177" i="1"/>
  <c r="U177" i="1"/>
  <c r="T177" i="1"/>
  <c r="S177" i="1"/>
  <c r="W176" i="1"/>
  <c r="V176" i="1"/>
  <c r="U176" i="1"/>
  <c r="T176" i="1"/>
  <c r="S176" i="1"/>
  <c r="W175" i="1"/>
  <c r="V175" i="1"/>
  <c r="U175" i="1"/>
  <c r="T175" i="1"/>
  <c r="S175" i="1"/>
  <c r="W174" i="1"/>
  <c r="V174" i="1"/>
  <c r="U174" i="1"/>
  <c r="T174" i="1"/>
  <c r="S174" i="1"/>
  <c r="W173" i="1"/>
  <c r="V173" i="1"/>
  <c r="U173" i="1"/>
  <c r="T173" i="1"/>
  <c r="S173" i="1"/>
  <c r="W172" i="1"/>
  <c r="V172" i="1"/>
  <c r="U172" i="1"/>
  <c r="T172" i="1"/>
  <c r="S172" i="1"/>
  <c r="W171" i="1"/>
  <c r="V171" i="1"/>
  <c r="U171" i="1"/>
  <c r="T171" i="1"/>
  <c r="S171" i="1"/>
  <c r="W170" i="1"/>
  <c r="V170" i="1"/>
  <c r="U170" i="1"/>
  <c r="T170" i="1"/>
  <c r="S170" i="1"/>
  <c r="W169" i="1"/>
  <c r="V169" i="1"/>
  <c r="U169" i="1"/>
  <c r="T169" i="1"/>
  <c r="S169" i="1"/>
  <c r="W168" i="1"/>
  <c r="V168" i="1"/>
  <c r="U168" i="1"/>
  <c r="T168" i="1"/>
  <c r="S168" i="1"/>
  <c r="W167" i="1"/>
  <c r="V167" i="1"/>
  <c r="U167" i="1"/>
  <c r="T167" i="1"/>
  <c r="S167" i="1"/>
  <c r="W166" i="1"/>
  <c r="V166" i="1"/>
  <c r="U166" i="1"/>
  <c r="T166" i="1"/>
  <c r="S166" i="1"/>
  <c r="W165" i="1"/>
  <c r="V165" i="1"/>
  <c r="U165" i="1"/>
  <c r="T165" i="1"/>
  <c r="S165" i="1"/>
  <c r="W164" i="1"/>
  <c r="V164" i="1"/>
  <c r="U164" i="1"/>
  <c r="T164" i="1"/>
  <c r="S164" i="1"/>
  <c r="W163" i="1"/>
  <c r="V163" i="1"/>
  <c r="U163" i="1"/>
  <c r="T163" i="1"/>
  <c r="S163" i="1"/>
  <c r="W162" i="1"/>
  <c r="V162" i="1"/>
  <c r="U162" i="1"/>
  <c r="T162" i="1"/>
  <c r="S162" i="1"/>
  <c r="W161" i="1"/>
  <c r="V161" i="1"/>
  <c r="U161" i="1"/>
  <c r="T161" i="1"/>
  <c r="S161" i="1"/>
  <c r="W160" i="1"/>
  <c r="V160" i="1"/>
  <c r="U160" i="1"/>
  <c r="T160" i="1"/>
  <c r="S160" i="1"/>
  <c r="W159" i="1"/>
  <c r="V159" i="1"/>
  <c r="U159" i="1"/>
  <c r="T159" i="1"/>
  <c r="S159" i="1"/>
  <c r="W158" i="1"/>
  <c r="V158" i="1"/>
  <c r="U158" i="1"/>
  <c r="T158" i="1"/>
  <c r="S158" i="1"/>
  <c r="W157" i="1"/>
  <c r="V157" i="1"/>
  <c r="U157" i="1"/>
  <c r="T157" i="1"/>
  <c r="S157" i="1"/>
  <c r="W156" i="1"/>
  <c r="V156" i="1"/>
  <c r="U156" i="1"/>
  <c r="T156" i="1"/>
  <c r="S156" i="1"/>
  <c r="W155" i="1"/>
  <c r="V155" i="1"/>
  <c r="U155" i="1"/>
  <c r="T155" i="1"/>
  <c r="S155" i="1"/>
  <c r="W154" i="1"/>
  <c r="V154" i="1"/>
  <c r="U154" i="1"/>
  <c r="T154" i="1"/>
  <c r="S154" i="1"/>
  <c r="W153" i="1"/>
  <c r="V153" i="1"/>
  <c r="U153" i="1"/>
  <c r="T153" i="1"/>
  <c r="S153" i="1"/>
  <c r="W152" i="1"/>
  <c r="V152" i="1"/>
  <c r="U152" i="1"/>
  <c r="T152" i="1"/>
  <c r="S152" i="1"/>
  <c r="W151" i="1"/>
  <c r="V151" i="1"/>
  <c r="U151" i="1"/>
  <c r="T151" i="1"/>
  <c r="S151" i="1"/>
  <c r="W150" i="1"/>
  <c r="V150" i="1"/>
  <c r="U150" i="1"/>
  <c r="T150" i="1"/>
  <c r="S150" i="1"/>
  <c r="W149" i="1"/>
  <c r="V149" i="1"/>
  <c r="U149" i="1"/>
  <c r="T149" i="1"/>
  <c r="S149" i="1"/>
  <c r="W148" i="1"/>
  <c r="V148" i="1"/>
  <c r="U148" i="1"/>
  <c r="T148" i="1"/>
  <c r="S148" i="1"/>
  <c r="W147" i="1"/>
  <c r="V147" i="1"/>
  <c r="U147" i="1"/>
  <c r="T147" i="1"/>
  <c r="S147" i="1"/>
  <c r="W146" i="1"/>
  <c r="V146" i="1"/>
  <c r="U146" i="1"/>
  <c r="T146" i="1"/>
  <c r="S146" i="1"/>
  <c r="W145" i="1"/>
  <c r="V145" i="1"/>
  <c r="U145" i="1"/>
  <c r="T145" i="1"/>
  <c r="S145" i="1"/>
  <c r="W144" i="1"/>
  <c r="V144" i="1"/>
  <c r="U144" i="1"/>
  <c r="T144" i="1"/>
  <c r="S144" i="1"/>
  <c r="W143" i="1"/>
  <c r="V143" i="1"/>
  <c r="U143" i="1"/>
  <c r="T143" i="1"/>
  <c r="S143" i="1"/>
  <c r="W142" i="1"/>
  <c r="V142" i="1"/>
  <c r="U142" i="1"/>
  <c r="T142" i="1"/>
  <c r="S142" i="1"/>
  <c r="W141" i="1"/>
  <c r="V141" i="1"/>
  <c r="U141" i="1"/>
  <c r="T141" i="1"/>
  <c r="S141" i="1"/>
  <c r="W140" i="1"/>
  <c r="V140" i="1"/>
  <c r="U140" i="1"/>
  <c r="T140" i="1"/>
  <c r="S140" i="1"/>
  <c r="W139" i="1"/>
  <c r="V139" i="1"/>
  <c r="U139" i="1"/>
  <c r="T139" i="1"/>
  <c r="S139" i="1"/>
  <c r="W138" i="1"/>
  <c r="V138" i="1"/>
  <c r="U138" i="1"/>
  <c r="T138" i="1"/>
  <c r="S138" i="1"/>
  <c r="W137" i="1"/>
  <c r="V137" i="1"/>
  <c r="U137" i="1"/>
  <c r="T137" i="1"/>
  <c r="S137" i="1"/>
  <c r="W136" i="1"/>
  <c r="V136" i="1"/>
  <c r="U136" i="1"/>
  <c r="T136" i="1"/>
  <c r="S136" i="1"/>
  <c r="W135" i="1"/>
  <c r="V135" i="1"/>
  <c r="U135" i="1"/>
  <c r="T135" i="1"/>
  <c r="S135" i="1"/>
  <c r="W134" i="1"/>
  <c r="V134" i="1"/>
  <c r="U134" i="1"/>
  <c r="T134" i="1"/>
  <c r="S134" i="1"/>
  <c r="W133" i="1"/>
  <c r="V133" i="1"/>
  <c r="U133" i="1"/>
  <c r="T133" i="1"/>
  <c r="S133" i="1"/>
  <c r="W132" i="1"/>
  <c r="V132" i="1"/>
  <c r="U132" i="1"/>
  <c r="T132" i="1"/>
  <c r="S132" i="1"/>
  <c r="W131" i="1"/>
  <c r="V131" i="1"/>
  <c r="U131" i="1"/>
  <c r="T131" i="1"/>
  <c r="S131" i="1"/>
  <c r="W130" i="1"/>
  <c r="V130" i="1"/>
  <c r="U130" i="1"/>
  <c r="T130" i="1"/>
  <c r="S130" i="1"/>
  <c r="W129" i="1"/>
  <c r="V129" i="1"/>
  <c r="U129" i="1"/>
  <c r="T129" i="1"/>
  <c r="S129" i="1"/>
  <c r="W128" i="1"/>
  <c r="V128" i="1"/>
  <c r="U128" i="1"/>
  <c r="T128" i="1"/>
  <c r="S128" i="1"/>
  <c r="W127" i="1"/>
  <c r="V127" i="1"/>
  <c r="U127" i="1"/>
  <c r="T127" i="1"/>
  <c r="S127" i="1"/>
  <c r="W126" i="1"/>
  <c r="V126" i="1"/>
  <c r="U126" i="1"/>
  <c r="T126" i="1"/>
  <c r="S126" i="1"/>
  <c r="W125" i="1"/>
  <c r="V125" i="1"/>
  <c r="U125" i="1"/>
  <c r="T125" i="1"/>
  <c r="S125" i="1"/>
  <c r="W124" i="1"/>
  <c r="V124" i="1"/>
  <c r="U124" i="1"/>
  <c r="T124" i="1"/>
  <c r="S124" i="1"/>
  <c r="W123" i="1"/>
  <c r="V123" i="1"/>
  <c r="U123" i="1"/>
  <c r="T123" i="1"/>
  <c r="S123" i="1"/>
  <c r="W122" i="1"/>
  <c r="V122" i="1"/>
  <c r="U122" i="1"/>
  <c r="T122" i="1"/>
  <c r="S122" i="1"/>
  <c r="W121" i="1"/>
  <c r="V121" i="1"/>
  <c r="U121" i="1"/>
  <c r="T121" i="1"/>
  <c r="S121" i="1"/>
  <c r="W120" i="1"/>
  <c r="V120" i="1"/>
  <c r="U120" i="1"/>
  <c r="T120" i="1"/>
  <c r="S120" i="1"/>
  <c r="W119" i="1"/>
  <c r="V119" i="1"/>
  <c r="U119" i="1"/>
  <c r="T119" i="1"/>
  <c r="S119" i="1"/>
  <c r="W118" i="1"/>
  <c r="V118" i="1"/>
  <c r="U118" i="1"/>
  <c r="T118" i="1"/>
  <c r="S118" i="1"/>
  <c r="W117" i="1"/>
  <c r="V117" i="1"/>
  <c r="U117" i="1"/>
  <c r="T117" i="1"/>
  <c r="S117" i="1"/>
  <c r="W116" i="1"/>
  <c r="V116" i="1"/>
  <c r="U116" i="1"/>
  <c r="T116" i="1"/>
  <c r="S116" i="1"/>
  <c r="W115" i="1"/>
  <c r="V115" i="1"/>
  <c r="U115" i="1"/>
  <c r="T115" i="1"/>
  <c r="S115" i="1"/>
  <c r="W114" i="1"/>
  <c r="V114" i="1"/>
  <c r="U114" i="1"/>
  <c r="T114" i="1"/>
  <c r="S114" i="1"/>
  <c r="W113" i="1"/>
  <c r="V113" i="1"/>
  <c r="U113" i="1"/>
  <c r="T113" i="1"/>
  <c r="S113" i="1"/>
  <c r="W112" i="1"/>
  <c r="V112" i="1"/>
  <c r="U112" i="1"/>
  <c r="T112" i="1"/>
  <c r="S112" i="1"/>
  <c r="W111" i="1"/>
  <c r="V111" i="1"/>
  <c r="U111" i="1"/>
  <c r="T111" i="1"/>
  <c r="S111" i="1"/>
  <c r="W110" i="1"/>
  <c r="V110" i="1"/>
  <c r="U110" i="1"/>
  <c r="T110" i="1"/>
  <c r="S110" i="1"/>
  <c r="W109" i="1"/>
  <c r="V109" i="1"/>
  <c r="U109" i="1"/>
  <c r="T109" i="1"/>
  <c r="S109" i="1"/>
  <c r="W108" i="1"/>
  <c r="V108" i="1"/>
  <c r="U108" i="1"/>
  <c r="T108" i="1"/>
  <c r="S108" i="1"/>
  <c r="W107" i="1"/>
  <c r="V107" i="1"/>
  <c r="U107" i="1"/>
  <c r="T107" i="1"/>
  <c r="S107" i="1"/>
  <c r="W106" i="1"/>
  <c r="V106" i="1"/>
  <c r="U106" i="1"/>
  <c r="T106" i="1"/>
  <c r="S106" i="1"/>
  <c r="W105" i="1"/>
  <c r="V105" i="1"/>
  <c r="U105" i="1"/>
  <c r="T105" i="1"/>
  <c r="S105" i="1"/>
  <c r="W104" i="1"/>
  <c r="V104" i="1"/>
  <c r="U104" i="1"/>
  <c r="T104" i="1"/>
  <c r="S104" i="1"/>
  <c r="W103" i="1"/>
  <c r="V103" i="1"/>
  <c r="U103" i="1"/>
  <c r="T103" i="1"/>
  <c r="S103" i="1"/>
  <c r="W102" i="1"/>
  <c r="V102" i="1"/>
  <c r="U102" i="1"/>
  <c r="T102" i="1"/>
  <c r="S102" i="1"/>
  <c r="W101" i="1"/>
  <c r="V101" i="1"/>
  <c r="U101" i="1"/>
  <c r="T101" i="1"/>
  <c r="S101" i="1"/>
  <c r="W100" i="1"/>
  <c r="V100" i="1"/>
  <c r="U100" i="1"/>
  <c r="T100" i="1"/>
  <c r="S100" i="1"/>
  <c r="W99" i="1"/>
  <c r="V99" i="1"/>
  <c r="U99" i="1"/>
  <c r="T99" i="1"/>
  <c r="S99" i="1"/>
  <c r="W98" i="1"/>
  <c r="V98" i="1"/>
  <c r="U98" i="1"/>
  <c r="T98" i="1"/>
  <c r="S98" i="1"/>
  <c r="W97" i="1"/>
  <c r="V97" i="1"/>
  <c r="U97" i="1"/>
  <c r="T97" i="1"/>
  <c r="S97" i="1"/>
  <c r="W96" i="1"/>
  <c r="V96" i="1"/>
  <c r="U96" i="1"/>
  <c r="T96" i="1"/>
  <c r="S96" i="1"/>
  <c r="W95" i="1"/>
  <c r="V95" i="1"/>
  <c r="U95" i="1"/>
  <c r="T95" i="1"/>
  <c r="S95" i="1"/>
  <c r="W94" i="1"/>
  <c r="V94" i="1"/>
  <c r="U94" i="1"/>
  <c r="T94" i="1"/>
  <c r="S94" i="1"/>
  <c r="W93" i="1"/>
  <c r="V93" i="1"/>
  <c r="U93" i="1"/>
  <c r="T93" i="1"/>
  <c r="S93" i="1"/>
  <c r="W92" i="1"/>
  <c r="V92" i="1"/>
  <c r="U92" i="1"/>
  <c r="T92" i="1"/>
  <c r="S92" i="1"/>
  <c r="W91" i="1"/>
  <c r="V91" i="1"/>
  <c r="U91" i="1"/>
  <c r="T91" i="1"/>
  <c r="S91" i="1"/>
  <c r="W90" i="1"/>
  <c r="V90" i="1"/>
  <c r="U90" i="1"/>
  <c r="T90" i="1"/>
  <c r="S90" i="1"/>
  <c r="W89" i="1"/>
  <c r="V89" i="1"/>
  <c r="U89" i="1"/>
  <c r="T89" i="1"/>
  <c r="S89" i="1"/>
  <c r="W88" i="1"/>
  <c r="V88" i="1"/>
  <c r="U88" i="1"/>
  <c r="T88" i="1"/>
  <c r="S88" i="1"/>
  <c r="W87" i="1"/>
  <c r="V87" i="1"/>
  <c r="U87" i="1"/>
  <c r="T87" i="1"/>
  <c r="S87" i="1"/>
  <c r="W86" i="1"/>
  <c r="V86" i="1"/>
  <c r="U86" i="1"/>
  <c r="T86" i="1"/>
  <c r="S86" i="1"/>
  <c r="W85" i="1"/>
  <c r="V85" i="1"/>
  <c r="U85" i="1"/>
  <c r="T85" i="1"/>
  <c r="S85" i="1"/>
  <c r="W84" i="1"/>
  <c r="V84" i="1"/>
  <c r="U84" i="1"/>
  <c r="T84" i="1"/>
  <c r="S84" i="1"/>
  <c r="W83" i="1"/>
  <c r="V83" i="1"/>
  <c r="U83" i="1"/>
  <c r="T83" i="1"/>
  <c r="S83" i="1"/>
  <c r="W82" i="1"/>
  <c r="V82" i="1"/>
  <c r="U82" i="1"/>
  <c r="T82" i="1"/>
  <c r="S82" i="1"/>
  <c r="W81" i="1"/>
  <c r="V81" i="1"/>
  <c r="U81" i="1"/>
  <c r="T81" i="1"/>
  <c r="S81" i="1"/>
  <c r="W80" i="1"/>
  <c r="V80" i="1"/>
  <c r="U80" i="1"/>
  <c r="T80" i="1"/>
  <c r="S80" i="1"/>
  <c r="W79" i="1"/>
  <c r="V79" i="1"/>
  <c r="U79" i="1"/>
  <c r="T79" i="1"/>
  <c r="S79" i="1"/>
  <c r="W78" i="1"/>
  <c r="V78" i="1"/>
  <c r="U78" i="1"/>
  <c r="T78" i="1"/>
  <c r="S78" i="1"/>
  <c r="W77" i="1"/>
  <c r="V77" i="1"/>
  <c r="U77" i="1"/>
  <c r="T77" i="1"/>
  <c r="S77" i="1"/>
  <c r="W76" i="1"/>
  <c r="V76" i="1"/>
  <c r="U76" i="1"/>
  <c r="T76" i="1"/>
  <c r="S76" i="1"/>
  <c r="W75" i="1"/>
  <c r="V75" i="1"/>
  <c r="U75" i="1"/>
  <c r="T75" i="1"/>
  <c r="S75" i="1"/>
  <c r="W74" i="1"/>
  <c r="V74" i="1"/>
  <c r="U74" i="1"/>
  <c r="T74" i="1"/>
  <c r="S74" i="1"/>
  <c r="W73" i="1"/>
  <c r="V73" i="1"/>
  <c r="U73" i="1"/>
  <c r="T73" i="1"/>
  <c r="S73" i="1"/>
  <c r="W72" i="1"/>
  <c r="V72" i="1"/>
  <c r="U72" i="1"/>
  <c r="T72" i="1"/>
  <c r="S72" i="1"/>
  <c r="W71" i="1"/>
  <c r="V71" i="1"/>
  <c r="U71" i="1"/>
  <c r="T71" i="1"/>
  <c r="S71" i="1"/>
  <c r="W70" i="1"/>
  <c r="V70" i="1"/>
  <c r="U70" i="1"/>
  <c r="T70" i="1"/>
  <c r="S70" i="1"/>
  <c r="W69" i="1"/>
  <c r="V69" i="1"/>
  <c r="U69" i="1"/>
  <c r="T69" i="1"/>
  <c r="S69" i="1"/>
  <c r="W68" i="1"/>
  <c r="V68" i="1"/>
  <c r="U68" i="1"/>
  <c r="T68" i="1"/>
  <c r="S68" i="1"/>
  <c r="W67" i="1"/>
  <c r="V67" i="1"/>
  <c r="U67" i="1"/>
  <c r="T67" i="1"/>
  <c r="S67" i="1"/>
  <c r="W66" i="1"/>
  <c r="V66" i="1"/>
  <c r="U66" i="1"/>
  <c r="T66" i="1"/>
  <c r="S66" i="1"/>
  <c r="W65" i="1"/>
  <c r="V65" i="1"/>
  <c r="U65" i="1"/>
  <c r="T65" i="1"/>
  <c r="S65" i="1"/>
  <c r="W64" i="1"/>
  <c r="V64" i="1"/>
  <c r="U64" i="1"/>
  <c r="T64" i="1"/>
  <c r="S64" i="1"/>
  <c r="W63" i="1"/>
  <c r="V63" i="1"/>
  <c r="U63" i="1"/>
  <c r="T63" i="1"/>
  <c r="S63" i="1"/>
  <c r="W62" i="1"/>
  <c r="V62" i="1"/>
  <c r="U62" i="1"/>
  <c r="T62" i="1"/>
  <c r="S62" i="1"/>
  <c r="W61" i="1"/>
  <c r="V61" i="1"/>
  <c r="U61" i="1"/>
  <c r="T61" i="1"/>
  <c r="S61" i="1"/>
  <c r="W60" i="1"/>
  <c r="V60" i="1"/>
  <c r="U60" i="1"/>
  <c r="T60" i="1"/>
  <c r="S60" i="1"/>
  <c r="W59" i="1"/>
  <c r="V59" i="1"/>
  <c r="U59" i="1"/>
  <c r="T59" i="1"/>
  <c r="S59" i="1"/>
  <c r="W58" i="1"/>
  <c r="V58" i="1"/>
  <c r="U58" i="1"/>
  <c r="T58" i="1"/>
  <c r="S58" i="1"/>
  <c r="W57" i="1"/>
  <c r="V57" i="1"/>
  <c r="U57" i="1"/>
  <c r="T57" i="1"/>
  <c r="S57" i="1"/>
  <c r="W56" i="1"/>
  <c r="V56" i="1"/>
  <c r="U56" i="1"/>
  <c r="T56" i="1"/>
  <c r="S56" i="1"/>
  <c r="W55" i="1"/>
  <c r="V55" i="1"/>
  <c r="U55" i="1"/>
  <c r="T55" i="1"/>
  <c r="S55" i="1"/>
  <c r="W54" i="1"/>
  <c r="V54" i="1"/>
  <c r="U54" i="1"/>
  <c r="T54" i="1"/>
  <c r="S54" i="1"/>
  <c r="W53" i="1"/>
  <c r="V53" i="1"/>
  <c r="U53" i="1"/>
  <c r="T53" i="1"/>
  <c r="S53" i="1"/>
  <c r="W52" i="1"/>
  <c r="V52" i="1"/>
  <c r="U52" i="1"/>
  <c r="T52" i="1"/>
  <c r="S52" i="1"/>
  <c r="W51" i="1"/>
  <c r="V51" i="1"/>
  <c r="U51" i="1"/>
  <c r="T51" i="1"/>
  <c r="S51" i="1"/>
  <c r="W50" i="1"/>
  <c r="V50" i="1"/>
  <c r="U50" i="1"/>
  <c r="T50" i="1"/>
  <c r="S50" i="1"/>
  <c r="W49" i="1"/>
  <c r="V49" i="1"/>
  <c r="U49" i="1"/>
  <c r="T49" i="1"/>
  <c r="S49" i="1"/>
  <c r="W48" i="1"/>
  <c r="V48" i="1"/>
  <c r="U48" i="1"/>
  <c r="T48" i="1"/>
  <c r="S48" i="1"/>
  <c r="W47" i="1"/>
  <c r="V47" i="1"/>
  <c r="U47" i="1"/>
  <c r="T47" i="1"/>
  <c r="S47" i="1"/>
  <c r="W46" i="1"/>
  <c r="V46" i="1"/>
  <c r="U46" i="1"/>
  <c r="T46" i="1"/>
  <c r="S46" i="1"/>
  <c r="W45" i="1"/>
  <c r="V45" i="1"/>
  <c r="U45" i="1"/>
  <c r="T45" i="1"/>
  <c r="S45" i="1"/>
  <c r="W44" i="1"/>
  <c r="V44" i="1"/>
  <c r="U44" i="1"/>
  <c r="T44" i="1"/>
  <c r="S44" i="1"/>
  <c r="W43" i="1"/>
  <c r="V43" i="1"/>
  <c r="U43" i="1"/>
  <c r="T43" i="1"/>
  <c r="S43" i="1"/>
  <c r="W42" i="1"/>
  <c r="V42" i="1"/>
  <c r="U42" i="1"/>
  <c r="T42" i="1"/>
  <c r="S42" i="1"/>
  <c r="W41" i="1"/>
  <c r="V41" i="1"/>
  <c r="U41" i="1"/>
  <c r="T41" i="1"/>
  <c r="S41" i="1"/>
  <c r="W40" i="1"/>
  <c r="V40" i="1"/>
  <c r="U40" i="1"/>
  <c r="T40" i="1"/>
  <c r="S40" i="1"/>
  <c r="W39" i="1"/>
  <c r="V39" i="1"/>
  <c r="U39" i="1"/>
  <c r="T39" i="1"/>
  <c r="S39" i="1"/>
  <c r="W38" i="1"/>
  <c r="V38" i="1"/>
  <c r="U38" i="1"/>
  <c r="T38" i="1"/>
  <c r="S38" i="1"/>
  <c r="W37" i="1"/>
  <c r="V37" i="1"/>
  <c r="U37" i="1"/>
  <c r="T37" i="1"/>
  <c r="S37" i="1"/>
  <c r="W36" i="1"/>
  <c r="V36" i="1"/>
  <c r="U36" i="1"/>
  <c r="T36" i="1"/>
  <c r="S36" i="1"/>
  <c r="W35" i="1"/>
  <c r="V35" i="1"/>
  <c r="U35" i="1"/>
  <c r="T35" i="1"/>
  <c r="S35" i="1"/>
  <c r="W34" i="1"/>
  <c r="V34" i="1"/>
  <c r="U34" i="1"/>
  <c r="T34" i="1"/>
  <c r="S34" i="1"/>
  <c r="W33" i="1"/>
  <c r="V33" i="1"/>
  <c r="U33" i="1"/>
  <c r="T33" i="1"/>
  <c r="S33" i="1"/>
  <c r="W32" i="1"/>
  <c r="V32" i="1"/>
  <c r="U32" i="1"/>
  <c r="T32" i="1"/>
  <c r="S32" i="1"/>
  <c r="W31" i="1"/>
  <c r="V31" i="1"/>
  <c r="U31" i="1"/>
  <c r="T31" i="1"/>
  <c r="S31" i="1"/>
  <c r="W30" i="1"/>
  <c r="V30" i="1"/>
  <c r="U30" i="1"/>
  <c r="T30" i="1"/>
  <c r="S30" i="1"/>
  <c r="W29" i="1"/>
  <c r="V29" i="1"/>
  <c r="U29" i="1"/>
  <c r="T29" i="1"/>
  <c r="S29" i="1"/>
  <c r="W28" i="1"/>
  <c r="V28" i="1"/>
  <c r="U28" i="1"/>
  <c r="T28" i="1"/>
  <c r="S28" i="1"/>
  <c r="W27" i="1"/>
  <c r="V27" i="1"/>
  <c r="U27" i="1"/>
  <c r="T27" i="1"/>
  <c r="S27" i="1"/>
  <c r="W26" i="1"/>
  <c r="V26" i="1"/>
  <c r="U26" i="1"/>
  <c r="T26" i="1"/>
  <c r="S26" i="1"/>
  <c r="W25" i="1"/>
  <c r="V25" i="1"/>
  <c r="U25" i="1"/>
  <c r="T25" i="1"/>
  <c r="S25" i="1"/>
  <c r="W24" i="1"/>
  <c r="V24" i="1"/>
  <c r="U24" i="1"/>
  <c r="T24" i="1"/>
  <c r="S24" i="1"/>
  <c r="W23" i="1"/>
  <c r="V23" i="1"/>
  <c r="U23" i="1"/>
  <c r="T23" i="1"/>
  <c r="S23" i="1"/>
  <c r="W22" i="1"/>
  <c r="V22" i="1"/>
  <c r="U22" i="1"/>
  <c r="T22" i="1"/>
  <c r="S22" i="1"/>
  <c r="W21" i="1"/>
  <c r="V21" i="1"/>
  <c r="U21" i="1"/>
  <c r="T21" i="1"/>
  <c r="S21" i="1"/>
  <c r="W20" i="1"/>
  <c r="V20" i="1"/>
  <c r="U20" i="1"/>
  <c r="T20" i="1"/>
  <c r="S20" i="1"/>
  <c r="W19" i="1"/>
  <c r="V19" i="1"/>
  <c r="U19" i="1"/>
  <c r="T19" i="1"/>
  <c r="S19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S4" i="1"/>
  <c r="W3" i="1"/>
  <c r="V3" i="1"/>
  <c r="U3" i="1"/>
  <c r="T3" i="1"/>
  <c r="S3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<sst xmlns="http://schemas.openxmlformats.org/spreadsheetml/2006/main" count="41441" uniqueCount="3042">
  <si>
    <t>Frecuen.</t>
  </si>
  <si>
    <t>Ce.</t>
  </si>
  <si>
    <t>CaP</t>
  </si>
  <si>
    <t>Material</t>
  </si>
  <si>
    <t>Texto breve de material</t>
  </si>
  <si>
    <t>Criticidad</t>
  </si>
  <si>
    <t>ABC</t>
  </si>
  <si>
    <t>PlN</t>
  </si>
  <si>
    <t>GrPl</t>
  </si>
  <si>
    <t>UMB</t>
  </si>
  <si>
    <t>LP</t>
  </si>
  <si>
    <t>GCp</t>
  </si>
  <si>
    <t>SMAX</t>
  </si>
  <si>
    <t>PP_SAP</t>
  </si>
  <si>
    <t>SS_SAP</t>
  </si>
  <si>
    <t>Stock</t>
  </si>
  <si>
    <t>Valor Sto.</t>
  </si>
  <si>
    <t>Crit. Operacional</t>
  </si>
  <si>
    <t>Ruptura</t>
  </si>
  <si>
    <t>Seguridad</t>
  </si>
  <si>
    <t>Objetivo</t>
  </si>
  <si>
    <t>Exceso</t>
  </si>
  <si>
    <t>Total ítems</t>
  </si>
  <si>
    <t>Fecha Reporte</t>
  </si>
  <si>
    <t>Analista</t>
  </si>
  <si>
    <t>Semana</t>
  </si>
  <si>
    <t>Status</t>
  </si>
  <si>
    <t>Motivo</t>
  </si>
  <si>
    <t>Tipo Reposición</t>
  </si>
  <si>
    <t>Z1</t>
  </si>
  <si>
    <t>CANDADO 40 MM, F-40</t>
  </si>
  <si>
    <t>PX</t>
  </si>
  <si>
    <t>C</t>
  </si>
  <si>
    <t>M01</t>
  </si>
  <si>
    <t>MM02</t>
  </si>
  <si>
    <t>ST</t>
  </si>
  <si>
    <t>ZH</t>
  </si>
  <si>
    <t>ABK</t>
  </si>
  <si>
    <t>Yeny Obeso MRO</t>
  </si>
  <si>
    <t>Sem 3</t>
  </si>
  <si>
    <t>-</t>
  </si>
  <si>
    <t>Mat. Alta rotación</t>
  </si>
  <si>
    <t>PANTALON JEAN 14 ONZAS TELA DENIM T:34</t>
  </si>
  <si>
    <t>PY</t>
  </si>
  <si>
    <t>A</t>
  </si>
  <si>
    <t>MM01</t>
  </si>
  <si>
    <t>ABE</t>
  </si>
  <si>
    <t>Christian ReyesMRO</t>
  </si>
  <si>
    <t>CAMISA DRILL MANG LARGA AZUL TALLA L</t>
  </si>
  <si>
    <t>A Tiempo</t>
  </si>
  <si>
    <t>Consumo Inusual</t>
  </si>
  <si>
    <t>ALCOHOL ETILICO 70-75%  (1 LITRO) MATPEL</t>
  </si>
  <si>
    <t>PZ</t>
  </si>
  <si>
    <t>L</t>
  </si>
  <si>
    <t>ANILLO PLANO 20 MM, ACERO SAE-1020</t>
  </si>
  <si>
    <t>ABD</t>
  </si>
  <si>
    <t>Sebastian Rodriguez</t>
  </si>
  <si>
    <t>CAMISA MANGA COMPRIDA ELETRICISTA TAM 54</t>
  </si>
  <si>
    <t>PANTALON JEAN 14 ONZAS TELA DENIM T:32</t>
  </si>
  <si>
    <t>PANTALON JEAN 14 ONZAS TELA DENIM T:30</t>
  </si>
  <si>
    <t>B</t>
  </si>
  <si>
    <t>ZAPATO SEG. P/MEC. CUERO AC. T:40</t>
  </si>
  <si>
    <t>PAA</t>
  </si>
  <si>
    <t>ZAPATO SEG. P/MEC. CUERO AC. T:42</t>
  </si>
  <si>
    <t>SOLDADURA 2.50 MM (3/32 PG), E 7018, MTP</t>
  </si>
  <si>
    <t>KG</t>
  </si>
  <si>
    <t>PANTALON JEAN 14 ONZAS TELA DENIM T:36</t>
  </si>
  <si>
    <t>CAMISA DRILL MANG LARGA NARANJA TALLA M</t>
  </si>
  <si>
    <t>CINTA AISLANTE 3/4 PG X 20 MT, SCOTCH 27</t>
  </si>
  <si>
    <t>ABJ</t>
  </si>
  <si>
    <t>Ricardo Izaguirre MRO</t>
  </si>
  <si>
    <t>CAMISA DRILL MANG LARGA NARANJA TALLA L</t>
  </si>
  <si>
    <t>ACOPLE RAPIDO PARKER SH263</t>
  </si>
  <si>
    <t>RODILLO PARA PINTAR 4</t>
  </si>
  <si>
    <t>TIZA PARA CALDERERO MATPEL</t>
  </si>
  <si>
    <t>ESLINGA 1" X 1.50 MT 1 TN OJAL 30 CM</t>
  </si>
  <si>
    <t>Vencido</t>
  </si>
  <si>
    <t>Demora Proveedor</t>
  </si>
  <si>
    <t>SILICONA COLOR ROJA 300ML LOCTITE MATPEL</t>
  </si>
  <si>
    <t>ACEITE ISO VG 68 MINERAL HIDRAULICO MATP</t>
  </si>
  <si>
    <t>GLL</t>
  </si>
  <si>
    <t>BOLSA POLIPROPILENO 1000KG (BIG BAG)</t>
  </si>
  <si>
    <t>TUERCA HEXAGONAL 1/2"-20H UNF ACERO</t>
  </si>
  <si>
    <t>RESPIRADOR MEDIA CARA ADVANTAGE 420 T"M"</t>
  </si>
  <si>
    <t>CAMISA DRILL MANG LARGA AZUL TALLA XL</t>
  </si>
  <si>
    <t>PINTURA SPRAY COLOR AMARILLO</t>
  </si>
  <si>
    <t>ZAPATO SEG. P/MEC. CUERO AC. T:41</t>
  </si>
  <si>
    <t>ABRAZADERA NYLON 3.5X280-305MM S/RETOR</t>
  </si>
  <si>
    <t>ABL</t>
  </si>
  <si>
    <t>Katia Rubio MRO</t>
  </si>
  <si>
    <t>VALVULA BOLA 1" NPT 1000PSI INOX AISI316</t>
  </si>
  <si>
    <t>TRAJE DE PROTECCION DESCARTABLE TALLA M</t>
  </si>
  <si>
    <t>MOLIKOTE STANDARD PASTA ENV. 1 LIBRA MTP</t>
  </si>
  <si>
    <t>CHISPERO DE 3 PIEDRAS SHURLITE</t>
  </si>
  <si>
    <t>GUANTE ANTICORTE HYFLEX 11-727 T-9</t>
  </si>
  <si>
    <t>DISOLVENTE BIOSOLVENT-1000(5GLN) MATPEL</t>
  </si>
  <si>
    <t>WINCHA 5 MT, METALICA CON SEGURO Y C</t>
  </si>
  <si>
    <t>FILTROS ADVANTAGE P100+OV,OZONO (2UN/BL)</t>
  </si>
  <si>
    <t>PINTURA SPRAY AZUL PACIFICO (LC) MATPEL</t>
  </si>
  <si>
    <t>CASCO SEG. PVC TIPO JOCKEY AMARILLO</t>
  </si>
  <si>
    <t>GRASA SHELL GADUS S2 V220 00 MATPEL</t>
  </si>
  <si>
    <t>SOLDADURA 4MM(5/32")E6011 AWS A5.1-91MTP</t>
  </si>
  <si>
    <t>SOLDADUR 4MM(5/32")E7018 AWS A5.1-91.MTP</t>
  </si>
  <si>
    <t>LENTES COBERTORES 3M OX 1000</t>
  </si>
  <si>
    <t>CANDADO 30 MM, F-30</t>
  </si>
  <si>
    <t>GRASA DE COMPLEJO DE LITIO NLGI 2 CON EP</t>
  </si>
  <si>
    <t>LB</t>
  </si>
  <si>
    <t>BOQUILLA CORTE OXIPRO.N° 2 BICONICO GPN</t>
  </si>
  <si>
    <t>PINTURA SPRAY COLOR VERDE MATPEL</t>
  </si>
  <si>
    <t>LUB. INTERFLON FOOD LUBE SPRAY 500 ML</t>
  </si>
  <si>
    <t>PILA CHICA AA-4 1,5V</t>
  </si>
  <si>
    <t>PICO SOLDADURA 3-6" ESAB 2118702</t>
  </si>
  <si>
    <t>ACEITE PROTECTIVO SUMILAN 9425 WT 850 KG</t>
  </si>
  <si>
    <t>CINTA TEFLON 1/2 PG X 12 MT TIPO 800</t>
  </si>
  <si>
    <t>CAPUCHA TELA DRILL C/CIERRE T:VELCRO</t>
  </si>
  <si>
    <t>SOLDADURA 3.25 MM (1/8 PG), E 6011, MATP</t>
  </si>
  <si>
    <t>CUCHILLA VEZZANI SUPERIOR PL PC-1406M033</t>
  </si>
  <si>
    <t>ABG</t>
  </si>
  <si>
    <t>Brenda Gutierrez</t>
  </si>
  <si>
    <t>GAS PROPANO EN BALONES DE 100 LB. MATPEL</t>
  </si>
  <si>
    <t>PROTECTOR DE OIDO MSA 216752</t>
  </si>
  <si>
    <t>RODAMIENTO SKF 30202</t>
  </si>
  <si>
    <t>ESLINGA DE POLYESTER PLANA DE 2" X 4MT</t>
  </si>
  <si>
    <t>CINTA AISL PVC 3/4"X20MT T:TEMPLEX 1700</t>
  </si>
  <si>
    <t>ACEIT ISO VG46 MINERAL HID MULTIGRAD MTP</t>
  </si>
  <si>
    <t>EMPAQUETADURA CINTA 2" X 1/8" X 30 MT</t>
  </si>
  <si>
    <t>NALCO 3D TRASAR 3DT 437 INHIBIDOR DE ESC</t>
  </si>
  <si>
    <t>ABN</t>
  </si>
  <si>
    <t>Julio Torres SV</t>
  </si>
  <si>
    <t>ADHESIVO MAT FLEXIBLE LOCTITE 495 MATPEL</t>
  </si>
  <si>
    <t>BARBIQUEJO NYLON C/GANCHOS PLASTICO</t>
  </si>
  <si>
    <t>CUCHILLA VEZZANI INFERIOR D45400045</t>
  </si>
  <si>
    <t>ALCOHOL ISOPROPILICO 95% - MATPEL</t>
  </si>
  <si>
    <t>POLAINAS DE CUERO COLOR MARRON</t>
  </si>
  <si>
    <t>PERNO 24X140 PL.NP-TH-0008 P.12 SAE1045</t>
  </si>
  <si>
    <t>FILM ESTIRABLE 20 PG X 20 MICRAS (ROL</t>
  </si>
  <si>
    <t>GUANTE SEGURIDAD ANSELL HYFLEX 11840 T-9</t>
  </si>
  <si>
    <t>GUANTE SEGURIDAD ANSELL HYCRON 27805 T-9</t>
  </si>
  <si>
    <t>GUANTE SOLDADOR 14" PALMA ALTA TEMP &gt;220</t>
  </si>
  <si>
    <t>TECNOPOR -D20 - 4" X 2.40 MT. ESP. 1PG</t>
  </si>
  <si>
    <t>RETEN L2 300 X 340 X 18 NITRILO FE-DC04</t>
  </si>
  <si>
    <t>FILM ESTIRABLE 10 PG X 20 MICRAS (ROL</t>
  </si>
  <si>
    <t>SOLDADURA 3.25 MM (1/8 PG), E 7018, MATP</t>
  </si>
  <si>
    <t>TAG (ETIQUETA) 2.8" X 4.7" ( 7CM X 12</t>
  </si>
  <si>
    <t>TRAJE DE PROTECCIÓN PERSONAL TALLA XL</t>
  </si>
  <si>
    <t>GRAPA P/ZUNCHO 1 1/4" ACERO CON LOGO</t>
  </si>
  <si>
    <t>RIBBON (CINTA) RESINA HL 35 76 MM X</t>
  </si>
  <si>
    <t>MARCADOR D METAL BOQUILLA DE ACERO 1 MTP</t>
  </si>
  <si>
    <t>FLEJE P/ZUNCHADO METALICO 1 1/4" ( 32</t>
  </si>
  <si>
    <t>TO</t>
  </si>
  <si>
    <t>TAPA REGULACION CHUMACERA T450</t>
  </si>
  <si>
    <t>TRAJE DE PROTECCION PERSONAL TALLA L</t>
  </si>
  <si>
    <t>INTERFLON PASTE HT1200 (AEROSOL)</t>
  </si>
  <si>
    <t>DESENGRASANTE BASE DERIV DESIN PM10-5GLN</t>
  </si>
  <si>
    <t>PAÑO ABSORBENTE 40X50CM P/LIQ. NO-AG</t>
  </si>
  <si>
    <t>KI</t>
  </si>
  <si>
    <t>MANDIL DE CUERO CROMADO 90 CM LG X 6</t>
  </si>
  <si>
    <t>PAÑO NO TEJIDO 30X40 CM CELULOSA-POL</t>
  </si>
  <si>
    <t>BAG</t>
  </si>
  <si>
    <t>DISCO ABRASIVO 4 1/2" X 1/4 X 7/8" DESB.</t>
  </si>
  <si>
    <t>GUANTE SEGURIDAD ANSELL HYFLEX 11840 T-8</t>
  </si>
  <si>
    <t>DISCO DE CORTE 4,1/2X3/64X7/8 (GEN)</t>
  </si>
  <si>
    <t>PAÑO DE LIMPIEZA 30X40 CM RAYON-POLI</t>
  </si>
  <si>
    <t>PAÑO HUMEDO 25X15CM P/MANOS CELULOSA MTP</t>
  </si>
  <si>
    <t>GUANTE SEGURIDAD ANSELL HYCRON 27805 T10</t>
  </si>
  <si>
    <t>GAFAS SEGURIDAD REX CLARA MSA 2803010</t>
  </si>
  <si>
    <t>GUANTE DESCARTABLE TAM L CAJA X 100 UN</t>
  </si>
  <si>
    <t>GUANTE CUERO CROMADO SOLDADOR 32 CM</t>
  </si>
  <si>
    <t>CUCHILLA - TRITURADORA ZATO S/PLANO</t>
  </si>
  <si>
    <t>GUANTE DESCARTABLE TAM M (CAJA X 100 UN)</t>
  </si>
  <si>
    <t>AFLOJATOD EN AEROSOL 300GRS PERMATEX MTP</t>
  </si>
  <si>
    <t>GUANTE CUERO TIPO 114 CORTO RIBETE D</t>
  </si>
  <si>
    <t>Z3</t>
  </si>
  <si>
    <t>MUESTRADOR INMERSION ECIL STPBST 1155201</t>
  </si>
  <si>
    <t>M04</t>
  </si>
  <si>
    <t>EX</t>
  </si>
  <si>
    <t>Mat. Producción</t>
  </si>
  <si>
    <t>TOMADOR DE MUESTRA CHORRO LC-11.1227-8</t>
  </si>
  <si>
    <t>TERMOCUPLA DESCART. 1000-1800ºC D- 600mm</t>
  </si>
  <si>
    <t>SENSOR DE OXITIP 20-1000 PPM DESCAR-HHEE</t>
  </si>
  <si>
    <t>TERMOCUPLA DESCART. 1000-1800ºC D-1200MM</t>
  </si>
  <si>
    <t>ZN</t>
  </si>
  <si>
    <t>CASILLERO PLASTICO 14,5X24CM HUDE</t>
  </si>
  <si>
    <t>M05</t>
  </si>
  <si>
    <t>Mat. Baja Rotación - Nuevo</t>
  </si>
  <si>
    <t>CASILLERO PLASTICO 10X22CM HUDE</t>
  </si>
  <si>
    <t>NIPLE DE 1/2 X 2 PG. FE.GALVANIZADO</t>
  </si>
  <si>
    <t>BROCHA 2 PG PLANA DE NYLON</t>
  </si>
  <si>
    <t>ANILLO LABERINTO SP-06020405000-M-7009</t>
  </si>
  <si>
    <t>CALCA DE UNIFORME ELETRICISTA NAº 42</t>
  </si>
  <si>
    <t>CAMISA DRILL MANG LARGA AZUL TALLA M</t>
  </si>
  <si>
    <t>PANTALON JEAN 14 ONZAS TELA DENIM T:28</t>
  </si>
  <si>
    <t>PERNO CAB HEX C.T. 16 X 40MM NC CL 8.8</t>
  </si>
  <si>
    <t>RODAMIENTO SKF 30304</t>
  </si>
  <si>
    <t>CAMISA DRILL MANG LARGA AZUL TALLA S</t>
  </si>
  <si>
    <t>VALVULA BOLA 1/2" ROSC 10 KG/CM SEG BLOQ</t>
  </si>
  <si>
    <t>RODAMIENTO PISTA SKF L313812</t>
  </si>
  <si>
    <t>CANDADO 50 MM, F-50</t>
  </si>
  <si>
    <t>ANILLO O'RING 143 X 159 X 8 MM BUNA N</t>
  </si>
  <si>
    <t>VISOR CLARO POLICARBONATO MSA 10115844</t>
  </si>
  <si>
    <t>PERNO CAB HEX C.T. 12 X 40 MM NC G8.8</t>
  </si>
  <si>
    <t>GRASERA ALEMITE 1186-A 1/4" BOTON STD</t>
  </si>
  <si>
    <t>ANILLO PLANO 12.4 MM, ACERO CADMIADO</t>
  </si>
  <si>
    <t>ABRAZADERA NYLON 4.7X400MM S/RETOR</t>
  </si>
  <si>
    <t>DISCO DE CORTE HSS 450X50X2.5 MM. Z=280</t>
  </si>
  <si>
    <t>GAFAS SEGURIDAD MSA REX LUNA I/O 2803012</t>
  </si>
  <si>
    <t>BROCHA 3" PLANA DE NYLON</t>
  </si>
  <si>
    <t>ABRAZADERA NYLON 2.5X85-115MM S/RETOR</t>
  </si>
  <si>
    <t>REDUCCION BUSHING 3/8 X 1/4 " NPT FE GV</t>
  </si>
  <si>
    <t>PIQUERA RTO-0B</t>
  </si>
  <si>
    <t>WINCHA 3 MT, METALICA CON SEGURO Y C</t>
  </si>
  <si>
    <t>ZAPATO SEG. P/MEC. CUERO AC. T:43</t>
  </si>
  <si>
    <t>RODILLO PARA PINTAR DE 9 PG</t>
  </si>
  <si>
    <t>FORMATO ANÁLISIS PRELIMINAR RIESGO (APR)</t>
  </si>
  <si>
    <t>ANILLO PRESION 10 MM ACERO CADMIADO</t>
  </si>
  <si>
    <t>ANILLO O 72X86X7MM BUNA-N 70 SHORE A</t>
  </si>
  <si>
    <t>RODAMIENTO SKF 30203</t>
  </si>
  <si>
    <t>CINTA AISL 3/4"X20MT SCOTCH SUPER 33</t>
  </si>
  <si>
    <t>PINTURA SPRAY COLOR BLANCO MATPEL</t>
  </si>
  <si>
    <t>GRASERA C/ROSCA NPT 1/8" RECTA N°1610-BL</t>
  </si>
  <si>
    <t>BOQUILLA PARA CORTE CON OXIGAS # 3. (TI</t>
  </si>
  <si>
    <t>SOLVENTE LEIBINGER 7700100154 MATPEL</t>
  </si>
  <si>
    <t>PERMATEX Nº 1 EN CHISQUETE (80GR) MATPEL</t>
  </si>
  <si>
    <t>PERNO CAB HEX C.T. 20 X 80MM NC SAE 1020</t>
  </si>
  <si>
    <t>GUANTE ALPHATEC 280 MM T.9(58-128)ANSELL</t>
  </si>
  <si>
    <t>DISOL IQBF LEIBINGER 7700100030 MATPEL</t>
  </si>
  <si>
    <t>DESENGRASANTE GENERAL BIODEGRADABLE</t>
  </si>
  <si>
    <t>ARANDELA PLANA 16 MM, ACERO</t>
  </si>
  <si>
    <t>SOLVENTE DIELECTRICO SS-25 CONSTANTE MTP</t>
  </si>
  <si>
    <t>HOJA SIERRA 1/2X12" 18 DIENTESXPG HSS</t>
  </si>
  <si>
    <t>PLAQUITA DE CERAMICA RCGX 9 X 7.94 mm</t>
  </si>
  <si>
    <t>CORDON SELLADO 1/4" FIBRA CERAMICA</t>
  </si>
  <si>
    <t>SELLOS ARRANQUE 130X130 PL ACM-C3 3617</t>
  </si>
  <si>
    <t>REDUCCION BUSHING 1/4" X 1/8" NPT CuSn</t>
  </si>
  <si>
    <t>DELTA SECO HORNO ELECTRICO</t>
  </si>
  <si>
    <t>NALCO ACTI BROM 7342</t>
  </si>
  <si>
    <t>GUANTE 14 PG, RAYON ALUMINIZADO 3000 °C</t>
  </si>
  <si>
    <t>ACOPLE RAPIDO PARKER SH262</t>
  </si>
  <si>
    <t>ACEITE ISO VG 46 HIDRAULICO ANTINFLA MTP</t>
  </si>
  <si>
    <t>BOLSA POLIETILENO ROJA P/BASURA 100 KG</t>
  </si>
  <si>
    <t>REDUCCION BUSHING 3/4 X 1/2 " NPT FE GV</t>
  </si>
  <si>
    <t>RODAMIENTO 23220 CC/C4 W33</t>
  </si>
  <si>
    <t>ABRAZADERA NYLON 7.5X324-380MM S/RETOR</t>
  </si>
  <si>
    <t>ABRASIVE PAPER,DIAMETRO 350 MM, GRAIN 60</t>
  </si>
  <si>
    <t>CORREA CUERO 30X1100MM -ACOPL. EJ.FLOTAN</t>
  </si>
  <si>
    <t>GUANTE CUERO CROMADO TIPO A" REFORZADO</t>
  </si>
  <si>
    <t>CINTA POLIESTER STRAPPING 25MM x 1,27 MM</t>
  </si>
  <si>
    <t>SELLOS ARRANQUE 100X100 PL ACM-C3 3618</t>
  </si>
  <si>
    <t>OXIGENO GASEOSO (BALONES) MATPEL</t>
  </si>
  <si>
    <t>M3</t>
  </si>
  <si>
    <t>TUBO 1/4 PG X 1.50 MT, FE NEGRO CON R</t>
  </si>
  <si>
    <t>ZUNCHO 18,20X1 MM GARIBALDI 3319T0950L</t>
  </si>
  <si>
    <t>M</t>
  </si>
  <si>
    <t>PINTURA SPRAY COLOR NEGRO MATPEL</t>
  </si>
  <si>
    <t>ALAMBRE LISO N°20 0,89MM ROLLO 25KG</t>
  </si>
  <si>
    <t>TUBO LAC RD NG 3/8" X 2.00 X 6.40M.</t>
  </si>
  <si>
    <t>V-GD FRAME 10121267 MSA ET FOR CAPS</t>
  </si>
  <si>
    <t>PAPEL TISSUE (CAJA X 500 UNIDADES)</t>
  </si>
  <si>
    <t>MANGUERA HID 1/2 PGX0.85M SAE 100 R2AT</t>
  </si>
  <si>
    <t>ARRESTADOR DE LLAMA FBR-1 PARA REGUL</t>
  </si>
  <si>
    <t>ZCJ</t>
  </si>
  <si>
    <t>PLAQUITA DE CERAMICA RCGX 15 X 10 mm</t>
  </si>
  <si>
    <t>VISOR CLARO 8 X 15.5 PG PARA PORTA C</t>
  </si>
  <si>
    <t>TENAZA PORTA ELECTRODO 500 AMP "LENCO</t>
  </si>
  <si>
    <t>TENAZA P/TIERRA 500 A</t>
  </si>
  <si>
    <t>ZAPATO SEG. P/MEC. CUERO AC. T:39</t>
  </si>
  <si>
    <t>ARANDELA PLANA 24 MM, ACERO</t>
  </si>
  <si>
    <t>ESPACIADOR PL 1020 N° 06010900000M0002/4</t>
  </si>
  <si>
    <t>RODAMIENTO DE RODILLOS A ROTULA 22212 E</t>
  </si>
  <si>
    <t>SOLDADURA 5MM(3/16")E7018 AWS A5.1-91MTP</t>
  </si>
  <si>
    <t>MASCARA P/SOLDADOR C/VENTANILLA MOVIL</t>
  </si>
  <si>
    <t>CALCA DE UNIFORME ELETRICISTA NAº 44</t>
  </si>
  <si>
    <t>ACEIT ISO VG320 AGMA 6EP P/ENGRANAJE MTP</t>
  </si>
  <si>
    <t>ARANDELA PLANA 10 MM, ACERO</t>
  </si>
  <si>
    <t>CONECTOR RECT 3/4" P/CONDUIT FLEX C/PVC</t>
  </si>
  <si>
    <t>GUANTE SEGURIDAD ANSELL HYFLEX 11840 T10</t>
  </si>
  <si>
    <t>ACOPLE RAPIDO BALFLEX 1" 44A010100</t>
  </si>
  <si>
    <t>PANTALON JEAN 14 ONZAS TELA DENIM T:38</t>
  </si>
  <si>
    <t>CAÑERIA COBRE 1/4PG</t>
  </si>
  <si>
    <t>ACEIT ISO VG220 AGMA 5EP P/ENGRANAJE MTP</t>
  </si>
  <si>
    <t>NIPLE DE 1/8 X 3 PG, FE.GALVANIZADO</t>
  </si>
  <si>
    <t>BROCA MANGO CILIND. 5MM HSS COBALTO</t>
  </si>
  <si>
    <t>PIEDRA CHISPERO EQ OXIACETILENO SHURLITE</t>
  </si>
  <si>
    <t>ESCARPINES DE CUERO CROMADO</t>
  </si>
  <si>
    <t>CARTUCHOS ADVANTAGE GMC VAP.ORG-GASES AC</t>
  </si>
  <si>
    <t>JUNTA GIRATORIA 1" BARCO BC540651650RH</t>
  </si>
  <si>
    <t>TUERCA DIN M33X100 CIEGA TREN 500</t>
  </si>
  <si>
    <t>CANCAMO (EYEBOLT) M12 UNF ACERO DIN 580</t>
  </si>
  <si>
    <t>FORMATO PERMISO DE TRABAJO (PT)</t>
  </si>
  <si>
    <t>LABERINTO SOPORTE FIJO Y LIBRE TREN 500</t>
  </si>
  <si>
    <t>SOLDADURA 4.00 MM (5/32 PG), E 312-1 MTP</t>
  </si>
  <si>
    <t>CHALECO NARANJA C CINTA REFLECT L</t>
  </si>
  <si>
    <t>SILICONA PARA PEGAR VIDRIO MATPEL</t>
  </si>
  <si>
    <t>CHAVETA PL 1020 N° 06010900000M0003/8</t>
  </si>
  <si>
    <t>PERNO PL 1020 Nº LLT500104</t>
  </si>
  <si>
    <t>SOLDADURA 2.50 MM (3/32 PG), E 312-1 MTP</t>
  </si>
  <si>
    <t>DESENGRASANTE DESINPM101416 MATPEL 55GLN</t>
  </si>
  <si>
    <t>MANGUERA METALICA FLEX 4"X1700MM 150 PSI</t>
  </si>
  <si>
    <t>ACOPLE RAPIDO HEMBRA 4" - HEMBRA 4" N</t>
  </si>
  <si>
    <t>PERNO CAB HEX C.T. 16 X 50MM NC SAE 1020</t>
  </si>
  <si>
    <t>ACOPLE RAP 2NP BALFLEX 44D010200</t>
  </si>
  <si>
    <t>PINTURA ESMAL SINTETICO PATO NARANJA MTP</t>
  </si>
  <si>
    <t>BOCINA CORTA AISLAN P/PERNO Y PLACA REV</t>
  </si>
  <si>
    <t>PINTU ESMALT/SINT-PATO AZUL ULTRAMAR MTP</t>
  </si>
  <si>
    <t>COAGULANTE CHEMLOK 20160</t>
  </si>
  <si>
    <t>DISCO ABRASIVO 1" X 14" X 3/32</t>
  </si>
  <si>
    <t>REFRIGERANTE SUMILAN ROLLGRIND 101 NBA</t>
  </si>
  <si>
    <t>MANGUERA METALICA FLEX 3"X3.50M 150 PSI</t>
  </si>
  <si>
    <t>RODAMIENTO REF SKF 331275B</t>
  </si>
  <si>
    <t>CODO 90° X 1/8 " FE GALV ROSCADO</t>
  </si>
  <si>
    <t>RODAMIENTO CONO SKF R313812</t>
  </si>
  <si>
    <t>CASILLERO PLASTICO 10X17CM HUDE</t>
  </si>
  <si>
    <t>CASILLERO PLASTICO 20,5X36CM HUDE</t>
  </si>
  <si>
    <t>ARANDELA PRESION 20 MM CL 8.8 DIN 7980</t>
  </si>
  <si>
    <t>GUANTE CUERO CROMADO 14 PULGADA SIN.</t>
  </si>
  <si>
    <t>VALVULA DE BOLA 1" 2000 PSI MATERIAL</t>
  </si>
  <si>
    <t>CAMISA DRILL MANG LARGA NARANJA TALLA S</t>
  </si>
  <si>
    <t>PERNO CAB HEX 3/4 X 3 " NC SAE 1020</t>
  </si>
  <si>
    <t>REDUCCION BUSHING 1 X 1/2" NPT FE GV</t>
  </si>
  <si>
    <t>PERNO CAB HEX C.T. 20 X 80 MM NC CL 8.8</t>
  </si>
  <si>
    <t>CHAVETA 51X58 PL.GLADWIN 16-013 P.MK 3</t>
  </si>
  <si>
    <t>AMORTIGUADOR TSCHAN S145020VKR</t>
  </si>
  <si>
    <t>LUNA RECTANGULAR 2 X 4.1/4 PG OSCURO</t>
  </si>
  <si>
    <t>LUNA DE VIDRIO CLARA RECTANGULAR 2 X</t>
  </si>
  <si>
    <t>TUBO 1/2 PG X 6.00 MT, SCH 40, ASTM</t>
  </si>
  <si>
    <t>ANILLO PRESION 16 MM ACERO CADMIADO</t>
  </si>
  <si>
    <t>ACOPLE RAP HID PARKER H3-63 3/8" HEMB</t>
  </si>
  <si>
    <t>REGULADOR P/OXIGENO 2 1/2" DIAL VICTOR</t>
  </si>
  <si>
    <t>CAÑERIA DE COBRE 7,93 MM (5/16 PG)</t>
  </si>
  <si>
    <t>VALVULA DE BOLA 1/2" NPT, 1000 PSI,</t>
  </si>
  <si>
    <t>ESPATULA 2 PG, ACERO</t>
  </si>
  <si>
    <t>LIJA PARA FIERRO Nº100</t>
  </si>
  <si>
    <t>SOLDADURA 2.50 MM (3/32 PG), E 6011, MTP</t>
  </si>
  <si>
    <t>SOLDADURA 3.25 MM (1/8 PG), E 312-16 MTP</t>
  </si>
  <si>
    <t>VALVULA MARIPOSA 3" 150 PSI WAFER AC</t>
  </si>
  <si>
    <t>GRASERA ALEMITE 1627-B 1/4 L/T.7/8 L</t>
  </si>
  <si>
    <t>PERNO CAB HEX C.T. 16 X120MM NC SAE 1020</t>
  </si>
  <si>
    <t>ZAPATO SEG. P/MEC. CUERO AC. T:38</t>
  </si>
  <si>
    <t>ACOPLE RAP HID PARKER H3-62 3/8"</t>
  </si>
  <si>
    <t>CONECTOR RECTO 1/2" P/TUB CONDUIT FLEX</t>
  </si>
  <si>
    <t>ZAPATO SEG. P/MEC. CUERO AC. T:36</t>
  </si>
  <si>
    <t>PERNO CAB CIL T/ALL 6 X 20MM NC CL 10.9</t>
  </si>
  <si>
    <t>PEGAMENTO LIQUIDO TEROKAL (ENV. 1/4 MATP</t>
  </si>
  <si>
    <t>SELLADOR PERNO/ TUERCA LOCTITE 277 50 ML</t>
  </si>
  <si>
    <t>SELLADOR DE BRIDAS DE ALTA TEMPERATU MTP</t>
  </si>
  <si>
    <t>TUBO FLEXIBLE  2” BALFLEX 105211050 1,5M</t>
  </si>
  <si>
    <t>PERNO CAB HEX C.T. 30 X 100 MM NC CL8.8</t>
  </si>
  <si>
    <t>RODAMIENTO REF SKF 23936CCC3W33</t>
  </si>
  <si>
    <t>ABRAZADERA NYLON 3.5X116-150MM S/RETOR</t>
  </si>
  <si>
    <t>PASTILLA HEXAGONAL # 10</t>
  </si>
  <si>
    <t>CALCA INDURA ANTI-CHAMA AZUL ROYAL NR 46</t>
  </si>
  <si>
    <t>TUERCA HEXAGONAL 10 MM NC ACERO SAE 1020</t>
  </si>
  <si>
    <t>ESLINGA 4" X 6 MT 5 TN OJAL POLIESTER</t>
  </si>
  <si>
    <t>BOQUILLA DE CORTE PROPANO #6 MATPEL</t>
  </si>
  <si>
    <t>PRISIONERO T/ALLEN 10 X 10 MM NC CL5.8</t>
  </si>
  <si>
    <t>RUEDA INFERIOR DE ARRASTRE DIA 170 X</t>
  </si>
  <si>
    <t>EQUIPO FLUORESCENTE LINEAL LED 2 X 18 W</t>
  </si>
  <si>
    <t>TUERCA HEXAGONAL 5/8"-18H UNF ACERO</t>
  </si>
  <si>
    <t>MANGUERA METALICA FLEX. 1 1/2" X 1.80</t>
  </si>
  <si>
    <t>ESPONJA PARRILLA SCOTCH BRITE</t>
  </si>
  <si>
    <t>ESLINGA 2 TN, 3 M, OJAL 20 CM, POLYESTER</t>
  </si>
  <si>
    <t>CODO 1/4" MACHO/HEMBRA GALVANIZADO</t>
  </si>
  <si>
    <t>PAPEL FILTRANTE MT 1000 B. ROLLO 30 MTS</t>
  </si>
  <si>
    <t>NALCO 47026</t>
  </si>
  <si>
    <t>VALVULA ESCAPE RAPIDO PARKER 0R50VB</t>
  </si>
  <si>
    <t>TUERCA HEXAGONAL M24 TREN 300</t>
  </si>
  <si>
    <t>PERNO CAB CIL T/ALL 8X30 MM NC CL 12.9</t>
  </si>
  <si>
    <t>TIRAFON 52 X 23 X 147.5 MM SAE 1020 P</t>
  </si>
  <si>
    <t>PUNTA DE LANZA DE ROBOT S/PLANO</t>
  </si>
  <si>
    <t>PERNO CAB HEX C.T. 16 X 70MM NC SAE 1020</t>
  </si>
  <si>
    <t>ACEITE LUBRICANTE PARKER F442003 MATPEL</t>
  </si>
  <si>
    <t>RETEN TREA02000-N7MMR DNEXT. 230/DNINT.2</t>
  </si>
  <si>
    <t>CARTUCHO IMPRESION LEIBINGER 7000000194</t>
  </si>
  <si>
    <t>ACEITEMULSIONABLE/H2O PROTECTOL PT60 MTP</t>
  </si>
  <si>
    <t>ACEITE/ CORTE SUMILAN CUT-MAX MIST 4199</t>
  </si>
  <si>
    <t>PUNTA MONTADA P/LOGOTIPO 30 X 1.5 K01</t>
  </si>
  <si>
    <t>HIPOCLORITO SODIO</t>
  </si>
  <si>
    <t>DURMIENTE 16 X 22 X 180 CM MADERA TI</t>
  </si>
  <si>
    <t>ELEMENTO FILT INTERNORMEN 01E45010VGHREP</t>
  </si>
  <si>
    <t>RUEDA ABRASIVA 175 X100 X51MM COPA RECTA</t>
  </si>
  <si>
    <t>ESPINA CONEX. CABEZA FALSA BARRA 3/8</t>
  </si>
  <si>
    <t>RODAMIENTO SKF 6214-2RS1</t>
  </si>
  <si>
    <t>MANGUERA HID 1/4"X1.50M SAE 100R1</t>
  </si>
  <si>
    <t>CUCHILLA PL 4057 N° ACMCV3611</t>
  </si>
  <si>
    <t>VD</t>
  </si>
  <si>
    <t>BOQUILLA Ø31mm ES-2</t>
  </si>
  <si>
    <t>M06</t>
  </si>
  <si>
    <t>Mat. Transitorio</t>
  </si>
  <si>
    <t>PD</t>
  </si>
  <si>
    <t>RODAMIENTO RODILLO CILINDRICO R313583</t>
  </si>
  <si>
    <t>M02</t>
  </si>
  <si>
    <t>Mat. Estratégico</t>
  </si>
  <si>
    <t>PERNO CAB HEX 12 X 25MM NC GRADO 8.8</t>
  </si>
  <si>
    <t>PERNO U-BOLT 3/8" PL1020 TAHE10201</t>
  </si>
  <si>
    <t>PERNO CAB HEX C.T. 12 X 50 MM NC CL8.8</t>
  </si>
  <si>
    <t>PERNO CAB HEX C.T. 18 X 80MM NC SAE 1020</t>
  </si>
  <si>
    <t>BRIDA 3" RF 150LBS ACERO ASTM A-105 A</t>
  </si>
  <si>
    <t>MANGUERA HID 1/2"X1.30M SAE 100R2AT</t>
  </si>
  <si>
    <t>CODO 90° SOLDABLE SCH40 3</t>
  </si>
  <si>
    <t>BASE PLUG ENCHUFE MARECHAL 513P0D30</t>
  </si>
  <si>
    <t>CONDUCTOR FLEX 1X18AWG 300VAC GPT - AZUL</t>
  </si>
  <si>
    <t>PERNO CAB HEX C.T. 16 X100MM NC SAE 1020</t>
  </si>
  <si>
    <t>ESCOBILLA C/CERDAS ACERO INOX ONDULAD</t>
  </si>
  <si>
    <t>RODAMIENTO 32209 J2/Q</t>
  </si>
  <si>
    <t>ARANDELA PLANA 12MM ACERO</t>
  </si>
  <si>
    <t>PERNO CAB CIL T/ALL 5X16MM NC CL 10.9</t>
  </si>
  <si>
    <t>ARANDELA PRESION 20 MM, ACERO</t>
  </si>
  <si>
    <t>BROCA MANGO CILIND. 4MM HSS COBALTO</t>
  </si>
  <si>
    <t>NIPLE 1" X 2" DE ACERO 10 KG/CM2 SCH</t>
  </si>
  <si>
    <t>ARANDELA PRESION 24 MM, ACERO</t>
  </si>
  <si>
    <t>PILA ALCALINA 1,5V AAA</t>
  </si>
  <si>
    <t>ARANDELA PRESION 16 MM CL 8.8 DIN 7980</t>
  </si>
  <si>
    <t>ZAPATO SEG. P/MEC. CUERO AC. T:44</t>
  </si>
  <si>
    <t>ESLINGA POLYESTER 1" X 3 MT OJAL 30 CM</t>
  </si>
  <si>
    <t>REFLECTOR SMARTLED BVP382 LED240/CW 200W</t>
  </si>
  <si>
    <t>DISCO CORTE 22.2 X 115 X 2.5 MM</t>
  </si>
  <si>
    <t>ANILLO PLANO 30 MM, ACERO</t>
  </si>
  <si>
    <t>PEGAMENTO LOCTITE 401 (20 grs.) MATPEL</t>
  </si>
  <si>
    <t>ROLLO PLASTICO AZUL PP 3 MTS</t>
  </si>
  <si>
    <t>ROL</t>
  </si>
  <si>
    <t>RODAMIENTO DE RODILLOS A ROTULA 22209 CA</t>
  </si>
  <si>
    <t>MANGUERA FLEX AISI316 GASSO 2"X700MM</t>
  </si>
  <si>
    <t>LINEA DE VIDA DOBLE C/ MOSQUETON Y A</t>
  </si>
  <si>
    <t>PRISIONERO T/ALLEN 8 X 10 MM NC CL12.9</t>
  </si>
  <si>
    <t>LIJA PARA FIERRO Nº40</t>
  </si>
  <si>
    <t>PASADOR DE POLIN GUIA ENT. 20 X 68MM</t>
  </si>
  <si>
    <t>CAMISA MANGA COMPRIDA ELETRICISTA TAM 50</t>
  </si>
  <si>
    <t>REGULADOR P/GAS PROPANO 2 1/2" DIAL</t>
  </si>
  <si>
    <t>PERNO M12/8.5X39MM PLANO TAHE-10101/2</t>
  </si>
  <si>
    <t>CAMISA MANGA COMPRIDA ELETRICISTA TAM 46</t>
  </si>
  <si>
    <t>PINTURA ESMALT SINTETICO PATO ROSADO MTP</t>
  </si>
  <si>
    <t>NIPLE  1/4" X 2" ACERO SCH 40, ROSCA</t>
  </si>
  <si>
    <t>TARUGO REDON MAD 18.5X130MM FORM 130X130</t>
  </si>
  <si>
    <t>PERNO CAB CIL T/ALL 12X30 MM NC CL 12.9</t>
  </si>
  <si>
    <t>CHAVETA EXCENT. 4.8X4.8 PL.TAHE 359-10</t>
  </si>
  <si>
    <t>MANOMETRO 0 - 10 BAR, CARATULA 4", 10HF</t>
  </si>
  <si>
    <t>ZAPATO SEG. P/MEC. CUERO AC. T:37</t>
  </si>
  <si>
    <t>MANGUERA FLEX 3/8" X 8.80M SAE 100R8</t>
  </si>
  <si>
    <t>MANGUERA 1/2 PG DE JEBE CON 2 LONAS 1</t>
  </si>
  <si>
    <t>CAMISA DRILL MANG LARGA NARANJA TALLA XL</t>
  </si>
  <si>
    <t>LENTES TIPO COPA 50 MM PARA SOLDADOR</t>
  </si>
  <si>
    <t>ACOPLE RAP 1" BALFLEX 44D010100</t>
  </si>
  <si>
    <t>CAMISA DRILL MANG LARGA NARANJA TAL XXL</t>
  </si>
  <si>
    <t>PERNO CAB CIL T/ALL 12X70 MM NC CL 12.9</t>
  </si>
  <si>
    <t>VALVULA BOLA 2" ROSCADA 10 KG/CM2  SEG</t>
  </si>
  <si>
    <t>ESPACIADOR PL 1020 N° 06010900000M0003/5</t>
  </si>
  <si>
    <t>PERNO CAB HEX 10 X 30 MM NC CL 8.8</t>
  </si>
  <si>
    <t>SOPLETE P/CORTE (CAÑA) VICTOR MODELO</t>
  </si>
  <si>
    <t>PERNO CAB HEX C.T. 12 X 50MM NC SAE 1045</t>
  </si>
  <si>
    <t>TAPON 1/4" NPT FE GALV.</t>
  </si>
  <si>
    <t>DETECTOR CHAMA HONEYWELL C7027A 1049.</t>
  </si>
  <si>
    <t>TUBO 3 PG X 6.00 MT, SCH 40, ASTM A5</t>
  </si>
  <si>
    <t>EJE PL 1020 N° 06010900000M0003/4</t>
  </si>
  <si>
    <t>ABRAZADERA 1/4" CINTA REG. ACERO INOX</t>
  </si>
  <si>
    <t>RODAMIENTO 32311 J2</t>
  </si>
  <si>
    <t>BOQUILLA TUBO SAL. P/5/8" PL.TAHE-038-11</t>
  </si>
  <si>
    <t>NIPLE DE 1/8 X 2 PG, FE.GALVANIZADO</t>
  </si>
  <si>
    <t>PLAQUITAS DE CERAMICA RCGX 06 X 6.35 mm</t>
  </si>
  <si>
    <t>TARUGO REDON MAD 18.5X100MM FORM 100X100</t>
  </si>
  <si>
    <t>PERNO M16/M12X64MM PL .TAHE-10-102 POS.1</t>
  </si>
  <si>
    <t>SELLO MECANICO 2,5PUL JOHN TIPO 21</t>
  </si>
  <si>
    <t>PUNTA INSERTO DE 5/8" POS. 3 DANIELI 9</t>
  </si>
  <si>
    <t>PERNO CAB HEX C.T. 10 X 40MM NC SAE 1020</t>
  </si>
  <si>
    <t>REDUCCION BUSHING 1/2" X 1/4" NPT FE GV</t>
  </si>
  <si>
    <t>VALVULA DE BOLA 2 PG , 20 KG/CM2, CO</t>
  </si>
  <si>
    <t>ADAPTADOR MACHO JIC - NPT 1/4" X 1/4</t>
  </si>
  <si>
    <t>ROTULA GE 50 ES 2RS</t>
  </si>
  <si>
    <t>PLAQUITA DE CERAMICA RCGX 12 X 7.94 mm</t>
  </si>
  <si>
    <t>PUNTA INSERTO DE 1/2" POS. 2 DANIELI 9</t>
  </si>
  <si>
    <t>NIPLE  1/2" X 3" ACERO, ROSCA EXTERNA</t>
  </si>
  <si>
    <t>UNION 1/4 " NPT FE GALV.</t>
  </si>
  <si>
    <t>MANGUERA ARMADA PARKER 4224 1/4" 0,45M</t>
  </si>
  <si>
    <t>ACEITE MOBILGEAR 600 XP 460</t>
  </si>
  <si>
    <t>NIPLE HEXAG. 1/8" NPT MACHO ACER</t>
  </si>
  <si>
    <t>ABRAZADERA 1" CINTA REG. FE GALV.</t>
  </si>
  <si>
    <t>SOLDADURA EN ALAMBRE TUBULAR 1.2 MM, MTP</t>
  </si>
  <si>
    <t>PERNO CAB HEX C.T. 20 X 50MM NC SAE 1020</t>
  </si>
  <si>
    <t>EMPAQUETADURA JEBE PL 1020 N° ACM1118/6</t>
  </si>
  <si>
    <t>CILINDRO DE GRASA BERUTOX M21 KN</t>
  </si>
  <si>
    <t>ANILLO RETENCION PL MC1109137028</t>
  </si>
  <si>
    <t>PAPEL FILTRANTE MF 1500 B. ROLLO 100 M</t>
  </si>
  <si>
    <t>GRILLETE 3/4" ANCLA C/PERNO AC. GALV.</t>
  </si>
  <si>
    <t>SOLDADURA 6.30 MM (1/4 PG), E 7018, MATP</t>
  </si>
  <si>
    <t>PASTILLA HEXAGONAL # 12</t>
  </si>
  <si>
    <t>FILTRO HIDRAULICO PART. MP19H135131</t>
  </si>
  <si>
    <t>GRAPA 5/8 PG, ACERO FORJADO</t>
  </si>
  <si>
    <t>MANGUERA METALICA FLEX. 2" X 1.80 MT</t>
  </si>
  <si>
    <t>LINGOTERA CURVA 100 X 100 X 900 MM</t>
  </si>
  <si>
    <t>M13</t>
  </si>
  <si>
    <t>Lingoteras</t>
  </si>
  <si>
    <t>SENSOR OPTICO RECEPTOR SM30CC-306 1,83M</t>
  </si>
  <si>
    <t>PERNO U-BOLT 1/2" PL1020 TAHE10202</t>
  </si>
  <si>
    <t>LINGOTERA 130X130X900M CONVEX</t>
  </si>
  <si>
    <t>CASILLERO PLASTICO 10X12CM HUDE</t>
  </si>
  <si>
    <t>PERNO CAB CIL T/ALL 12X50MM NC CL 12.9</t>
  </si>
  <si>
    <t>LIJA AL AGUA Nº150</t>
  </si>
  <si>
    <t>ANILLO PL 1020 N° 06010900000M0005/1</t>
  </si>
  <si>
    <t>RIBBON (CINTA) RESINA 010040005 110</t>
  </si>
  <si>
    <t>BOLSA POLIETILENO NEGRA P/BASURA 100 KG</t>
  </si>
  <si>
    <t>CONDUCTOR FLEX 1X18AWG 300VAC GPT-ROJO</t>
  </si>
  <si>
    <t>INTERFLON DEGREASER EM30+ (AEROSOL)</t>
  </si>
  <si>
    <t>PERNO CAB HEX C.T. 20X220MM NC SAE 1020</t>
  </si>
  <si>
    <t>RODAMIENTO DE RODILLOS CONICO 32014X SKF</t>
  </si>
  <si>
    <t>ESPINA CONEX. INTERMEDIA FALSA</t>
  </si>
  <si>
    <t>CONDUCTOR FLEX 1X18AWG 300VAC GPT-NEGRO</t>
  </si>
  <si>
    <t>BRIDA SIN CUELLO SOLDABLE 6</t>
  </si>
  <si>
    <t>ARANDELA PRESION 14 MM, ACERO SAE 1020</t>
  </si>
  <si>
    <t>CAMISA PASADO POLIN 25X15 PL.TAHE 365-10</t>
  </si>
  <si>
    <t>CODO 90° X 1/2 " FE GALV ROSCADO</t>
  </si>
  <si>
    <t>DISTANCIADOR GOLILLA DEL POLIN 34 X</t>
  </si>
  <si>
    <t>RESPIRADOR MEDIA CARA ADVANTAGE 420 T"L"</t>
  </si>
  <si>
    <t>RODAMIENTO 6205 2Z</t>
  </si>
  <si>
    <t>DISCO DE CORTE 7" X 7/8" X 1/8"</t>
  </si>
  <si>
    <t>TAPA RODAMIENTO 34.5X15MM PL TAHE 354-10</t>
  </si>
  <si>
    <t>RODAMIENTO 22216 E</t>
  </si>
  <si>
    <t>ACOPLE RAPIDO 1/2"NPT BALFLEX 44D010050</t>
  </si>
  <si>
    <t>PERNO CAB HEX C.T. 16 X 80MM NC SAE 1020</t>
  </si>
  <si>
    <t>BROCA MANGO CILIND. 6MM HSS COBALTO</t>
  </si>
  <si>
    <t>ADAPTADOR RAP P/MANG 1" M-H NPT BR- A</t>
  </si>
  <si>
    <t>MANGUERA METALICA FLEX. 1 " X 1.80 MT</t>
  </si>
  <si>
    <t>TUERCA HEXAGONAL 8 MM NC ACERO</t>
  </si>
  <si>
    <t>PUNTA INSERTO DE 3/8" POS. 1 TREN 330</t>
  </si>
  <si>
    <t>LIJA AL AGUA Nº120</t>
  </si>
  <si>
    <t>PAÑO ABSORVENTE IMPERMEABLE CELULOSA</t>
  </si>
  <si>
    <t>CAMISA DRILL MANG LARGA AZUL TALLA XXL</t>
  </si>
  <si>
    <t>ARANDELA PRESION 8 MM, ACERO</t>
  </si>
  <si>
    <t>ANILLO PRESION 12 MM ACERO CADMIADO</t>
  </si>
  <si>
    <t>TAPON PROTECTOR OIDO REUSABLE C/CUER</t>
  </si>
  <si>
    <t>MANGUERA HID 1/2"X2.30M SAE 100R2AT</t>
  </si>
  <si>
    <t>RODAMIENTO 6309</t>
  </si>
  <si>
    <t>PERNOM18X45 DIN 912 Y TUERCAM18 DIN982-8</t>
  </si>
  <si>
    <t>TACO MADERA 40X290MM -ACOPL. EJ.FLOTANTE</t>
  </si>
  <si>
    <t>ABRAZADERA NYLON 3.5X202-250MM S/RETOR</t>
  </si>
  <si>
    <t>PERNO CAB HEX C.T. 20 X 60MM NC SAE 1020</t>
  </si>
  <si>
    <t>RESISTENCIA JARA RESISTENCIAS RH311E</t>
  </si>
  <si>
    <t>ENCHUFE MARECHAL 6168043-DSN6</t>
  </si>
  <si>
    <t>RODAMIENTO 22220 E C4</t>
  </si>
  <si>
    <t>CODO 90° X 3/8 " FE GALV ROSCADO</t>
  </si>
  <si>
    <t>ARRESTADOR DE LLAMA FB-1  PARA ANTORCHA</t>
  </si>
  <si>
    <t>PRISIONERO T/ALLEN 16 X 25MM NC SAE 1020</t>
  </si>
  <si>
    <t>PINTURA SPRAY COLOR ROJO MATPEL</t>
  </si>
  <si>
    <t>PERNO CAB CILIND T/ALLEN 14 X 50 MM NC</t>
  </si>
  <si>
    <t>GRILLETE 1/2" ANCLA C/PIN ROS. AC. GALV.</t>
  </si>
  <si>
    <t>MANGUERA SIAMESA 1/4 PG PARA EQUIPO D</t>
  </si>
  <si>
    <t>ACOPLE RAP 2NPT BALFLEX 44A010200</t>
  </si>
  <si>
    <t>CINTA ADHES GRIS 3M VINYL DUCT TAPE 3903</t>
  </si>
  <si>
    <t>ABRAZADERA 3/4" C/PERNO GALV UNISTRUT</t>
  </si>
  <si>
    <t>PUNTA INSERTO DOBLE 1/2 CAJA 10 T-330</t>
  </si>
  <si>
    <t>PERNO CAB HEX C.T. 20 X 40MM NC SAE 1020</t>
  </si>
  <si>
    <t>PIN SEGURIDAD SPLINDE PL 060204M33 REV 1</t>
  </si>
  <si>
    <t>SEMIGUIA RTO-0B 29X13</t>
  </si>
  <si>
    <t>RESORTE DE TRACCION ACERO SAE 5160 P</t>
  </si>
  <si>
    <t>PERNO CAB CIL T/ALL 16X90 MM NC CL 8.8</t>
  </si>
  <si>
    <t>ASPERSOR DUCHA REFR PL 1020 N° LLT330029</t>
  </si>
  <si>
    <t>CAMISA DRILL MANG LARGA AZUL TALLA XS</t>
  </si>
  <si>
    <t>ACOPLE 1/8" NPTF BOTON 42031-A ALEMITE</t>
  </si>
  <si>
    <t>CHALECO NARANJA C CINTA REFLECT M</t>
  </si>
  <si>
    <t>NIPLE DE 1 X 3 PG. FE.GALVANIZADO</t>
  </si>
  <si>
    <t>MANOMETRO 0 - 10 Kg/Cm2. CARATULA 4", 10</t>
  </si>
  <si>
    <t>CHAVETA PASADOR PL.GLADWIN 16-013 P.4</t>
  </si>
  <si>
    <t>PERNO M12/8.5X35MM PLANO TAHE-10102/3</t>
  </si>
  <si>
    <t>CODO DE ACERO DE 6" X 90° SCH-40 NORM</t>
  </si>
  <si>
    <t>CAMISA PASADOR POLIN 1/2" PL.TAHE 353-10</t>
  </si>
  <si>
    <t>DISCO DE CORTE HSS 450X50X2.5 MM. Z=350</t>
  </si>
  <si>
    <t>CODO 90° X 1 " FE GALV ROSCADO</t>
  </si>
  <si>
    <t>NIPLE 3/4" X 2" PG DE ACERO 10 KG/CM</t>
  </si>
  <si>
    <t>EMPAQUE PL ACM3221</t>
  </si>
  <si>
    <t>ACOPLE RAPIDO HEMBRA 1 1/2" - HEMBRA</t>
  </si>
  <si>
    <t>ESLINGA 3 TN, 4 MT, OJO-OJO DUPLEX</t>
  </si>
  <si>
    <t>ELEMENTO FILTRO HYPRO HP619L40-12EV</t>
  </si>
  <si>
    <t>CAMISA MANGA COMPRIDA ELETRICISTA TAM 58</t>
  </si>
  <si>
    <t>CODO 90GRMACHO NPT 1/8"-HEMBRA NPT 1/8"</t>
  </si>
  <si>
    <t>GUARNICION REDONDA 10 MM 90 SHORE A</t>
  </si>
  <si>
    <t>RUEDA DE PRESION DO:127.3 -DI:35 - H</t>
  </si>
  <si>
    <t>CUCHILLA MOVIL 34 X 24 MM- M8 P/N 25</t>
  </si>
  <si>
    <t>CUCHILLA FIJA P/N 20660201305 SCHNEL</t>
  </si>
  <si>
    <t>ACIDO CLORHIDRICO - IQF- MATPEL MATPEL</t>
  </si>
  <si>
    <t>ANILLO O'R 7MM EN CORDON BUNA</t>
  </si>
  <si>
    <t>PERNO U-BOLT 19MM PL1020 TAHE10202</t>
  </si>
  <si>
    <t>TERMORESISTENCIA RTD PT 100 OHM 0-60</t>
  </si>
  <si>
    <t>MODULO ELECTRON ALLEN BRADLEY 1794AENTR</t>
  </si>
  <si>
    <t>BOQUILLA TORS 90° 70X20X160-FOR EXT CUAD</t>
  </si>
  <si>
    <t>MM03</t>
  </si>
  <si>
    <t>CILINDRO LAMIN 14H A 17H-350X 600MM HSS</t>
  </si>
  <si>
    <t>M12</t>
  </si>
  <si>
    <t>Cilindros Lam.</t>
  </si>
  <si>
    <t>LIJA TELA ESMERIL #60 ASA</t>
  </si>
  <si>
    <t>CHOMPA DRALON AZUL MAR M/L C/CUELL T:"M</t>
  </si>
  <si>
    <t>M03</t>
  </si>
  <si>
    <t>Mat. Media rotación</t>
  </si>
  <si>
    <t>MANGUERA HID 1/2 PGX0.60M SAE 100 R2AT</t>
  </si>
  <si>
    <t>ETIQUETA 4" X 3" POLYESTER AUTOADHES</t>
  </si>
  <si>
    <t>ESPATULA 3 PG, ACERO</t>
  </si>
  <si>
    <t>MEDIO ACOPLAMIENTO 50X145X96MM ACERO</t>
  </si>
  <si>
    <t>NIPLE DE 1/2 X 4 PG. FE.GALVANIZADO</t>
  </si>
  <si>
    <t>BRIDA ACERO 4" SOLDAR SLIP-ON 150 PSI</t>
  </si>
  <si>
    <t>ARNES WORKMAN 4 ANILLOS. T. M 10108772</t>
  </si>
  <si>
    <t>EJE PL 1020 N° 06010900000M0002/6</t>
  </si>
  <si>
    <t>TORNILLO AUTORROSCANTE 1/8" X 1/2"</t>
  </si>
  <si>
    <t>ANILLO ELASTICO 23,2MM SEEGER ORBIS A25</t>
  </si>
  <si>
    <t>TUERCA HEXAGONAL 20 MM NC ACERO</t>
  </si>
  <si>
    <t>ADAPTADOR RAP P/MAN 1 1/4" M-H NPT BR- A</t>
  </si>
  <si>
    <t>PASADOR DE POLIN GUIA ENT. 17 X 103</t>
  </si>
  <si>
    <t>ENCHUFE IND 2P+T, 32 A, 200/250VCA,</t>
  </si>
  <si>
    <t>PLAQUITA CORTE CBN TIPO RCGX 09X7.94MM</t>
  </si>
  <si>
    <t>PERNO CAB CIL T/ALL 8X15 MM NC SAE 1020</t>
  </si>
  <si>
    <t>DISCO ABRASIVO 7" X 7/8" X 1/4" DESBASTE</t>
  </si>
  <si>
    <t>CLIP DE POLICARBONATO PARA VISOR FACIAL</t>
  </si>
  <si>
    <t>VALVULA ANTIRETORNO P/GAS PROP/ACET</t>
  </si>
  <si>
    <t>ADAPTADOR RAP P/MANG 2 1/2" HEM NPT INOX</t>
  </si>
  <si>
    <t>MANGUITO DE FIJACION CODIGO H3132 - FAG</t>
  </si>
  <si>
    <t>CALCA DE UNIFORME ELETRICISTA NAÂº 38</t>
  </si>
  <si>
    <t>PRISIONERO PLACA LATERAL/RESORTE RE-55</t>
  </si>
  <si>
    <t>CALCA DE UNIFORME ELETRICISTA NAÂº 40</t>
  </si>
  <si>
    <t>TUERCA HEXAGONAL M42-64X41 PARA PERN</t>
  </si>
  <si>
    <t>REDUCCION BUSHING 1 X 3/4 " NPT FE GV</t>
  </si>
  <si>
    <t>PERNO CAB CIL T/ALL 16X40MM NC CL 12.9</t>
  </si>
  <si>
    <t>RODAMIENTO 6006 2RS1</t>
  </si>
  <si>
    <t>TERMINAL AJUS 2 AWG(35MM2) OJAL 3/8</t>
  </si>
  <si>
    <t>CHAVETA CORONA 10X58MM PL.TAHE 364-10</t>
  </si>
  <si>
    <t>FUENTE ALIMENTACION MOD. 1606-XLE240E</t>
  </si>
  <si>
    <t>PERNO CAB HEX C.T. 22 X 80 MM NC CL 8.8</t>
  </si>
  <si>
    <t>SOLDADURA 3.25 MM (1/8 PG), E NI-CL,</t>
  </si>
  <si>
    <t>RUEDA ACANALADA HORIZONTAL N°20635350610</t>
  </si>
  <si>
    <t>PERNO CAB HEX 10 X 25 MM NC CL 8.8</t>
  </si>
  <si>
    <t>PERNO CAB CIL T/ALL 10X30 MM NC SAE 1020</t>
  </si>
  <si>
    <t>MARCADOR IND AM SANFORD 02083</t>
  </si>
  <si>
    <t>ESLINGA POLYESTER PLANA 2"(50MM)X2.50 M</t>
  </si>
  <si>
    <t>ABRAZADERA NYLON 3.5X151-202MM S/RETOR</t>
  </si>
  <si>
    <t>ACOPLE RAP 2.1/2" BALFLEX 44A010250S</t>
  </si>
  <si>
    <t>PERNO CAB HEX C.T. 24 X 90 MM NC CL8.8</t>
  </si>
  <si>
    <t>DETERGENT INTRADEV SAPOLIO MAX PODER MTP</t>
  </si>
  <si>
    <t>GRASERA ALEMITE 1184-A 1/8" L/T.3/4</t>
  </si>
  <si>
    <t>UNION UNIVERSAL 1/2 " NPT FE GALV.</t>
  </si>
  <si>
    <t>MANGUERA ARM 3/8" 1,5M PARKER F301060</t>
  </si>
  <si>
    <t>EJE PL 1020 N° 06010900000M0003/1</t>
  </si>
  <si>
    <t>CORONA PL 1020 N° 06010900000M0003/2</t>
  </si>
  <si>
    <t>ACOPLE RAP HID PARKER H4-62 1/2"</t>
  </si>
  <si>
    <t>MANGUERA HID 1"X2.00M SAE 100R1AT</t>
  </si>
  <si>
    <t>MANGUERA HID 1"X1.50M SAE 100R1AT</t>
  </si>
  <si>
    <t>ACOPLE RAPIDO BALFLEX 44D010075</t>
  </si>
  <si>
    <t>PAPEL TERMICO FLEJEADORA CIPSA#PP OHM</t>
  </si>
  <si>
    <t>TELA DE FIBRA DE CERAMICA 1/8" X 1M</t>
  </si>
  <si>
    <t>REMOVEDOR LOCTITE 79040 MATPEL</t>
  </si>
  <si>
    <t>BOQUILLA Ø23mm ES-1</t>
  </si>
  <si>
    <t>CORONA PL 1020 N° 06010900000M0003/3</t>
  </si>
  <si>
    <t>PERNO C/CILINDRICA PL 1020 ACM3269/1</t>
  </si>
  <si>
    <t>PLAQUITA CARBURADA SNMA 25 CUADRADA K20</t>
  </si>
  <si>
    <t>TUERCA HEX. 16 MM NC ACERO CL. 8.8</t>
  </si>
  <si>
    <t>PASADOR 3/16 X 3 PG, TIPO HORQUILLA,</t>
  </si>
  <si>
    <t>BROCA CILINDRICA HSS  5,0 mm.</t>
  </si>
  <si>
    <t>PLUG P/TOMA 63A MARECHAL DSN6 6164043</t>
  </si>
  <si>
    <t>PERNO CAB. CILIND. M6 X 16 MM-100 UNID</t>
  </si>
  <si>
    <t>MANGUERA HID 1"X1.00M SAE 100R1AT</t>
  </si>
  <si>
    <t>PERNO CAB HEX C.T. 24 X 80MM NC SAE 1020</t>
  </si>
  <si>
    <t>SUSPENSION PARA CASCO PLASTICO</t>
  </si>
  <si>
    <t>DISCO DE CORTE HSS 600X90X4.0 Z=380 -T4</t>
  </si>
  <si>
    <t>MANGUERA ARM 1 1/4"X2.5M ACOPLES TIPO C</t>
  </si>
  <si>
    <t>NIPLE DE 1 X 5 PG. FE.GALVANIZADO</t>
  </si>
  <si>
    <t>ANILLO SEPARADOR PL MC1005016007</t>
  </si>
  <si>
    <t>TUBO 2 PG X 6.00 MT, SCH 40, ASTM A5</t>
  </si>
  <si>
    <t>FILTRO DE RESPIRACION PART. QXWL13</t>
  </si>
  <si>
    <t>MANGUERA ARM 1"X1.6M ACOPLES TIPO C</t>
  </si>
  <si>
    <t>RUEDA CHICA VERTICAL. N°20635151020</t>
  </si>
  <si>
    <t>PERNO CAB HEX 6 X 20 MM NC SAE 1020</t>
  </si>
  <si>
    <t>VALVULA DE SEGURIDAD 1/2", 10 BAR, T</t>
  </si>
  <si>
    <t>TUERCA HEXAGONAL 36 MM NC ACERO SAE 1020</t>
  </si>
  <si>
    <t>PERNO CAB HEX C.T. 10 X 40 MM NC CADMIAD</t>
  </si>
  <si>
    <t>TUBO 3/8 PG OD X 0.035" ESP X 20' LG</t>
  </si>
  <si>
    <t>CANDADO 70 MM, F-70</t>
  </si>
  <si>
    <t>ADAPTADOR MACHO-MACHO 3/8</t>
  </si>
  <si>
    <t>VALVULA DE BOLA 3/4" NPT 2000 PSI AC</t>
  </si>
  <si>
    <t>CONDUCTOR FLEX 1X14AWG (2.081)600VAC GPT</t>
  </si>
  <si>
    <t>ACEITE MINERAL HIDRAULICO MULTIGRADO MTP</t>
  </si>
  <si>
    <t>RETURN FLOW M3 IMPEDER 46X430MM T4</t>
  </si>
  <si>
    <t>ELEMENTO FILT ACEITE 01NL25010VG30EP</t>
  </si>
  <si>
    <t>ELEMENTO FIL INTERNORMEN 01NL4006VG30S1P</t>
  </si>
  <si>
    <t>MATERIAL DE REFERENCIA 380A</t>
  </si>
  <si>
    <t>MANGUERA ARMADA PARKER 4224 1/4" 0,65M</t>
  </si>
  <si>
    <t>ANILLO AISLANTE P/PERNO Y TUERCA REV 1</t>
  </si>
  <si>
    <t>BOQUILLA Ø20mm ES-1</t>
  </si>
  <si>
    <t>EMPAQUETADURA JEBE PL 1020 N° ACM1118/8</t>
  </si>
  <si>
    <t>PERNO CAB HEX C.T. 3/8 X1.1/2 " NC G8.8</t>
  </si>
  <si>
    <t>ANILLO PLANO 8 MM ACERO CADMIADO</t>
  </si>
  <si>
    <t>FILTRO DE PETROLEO TIPO FF 105D</t>
  </si>
  <si>
    <t>MANGUERA ARM MANULI H01027010 3/8" 0,9M</t>
  </si>
  <si>
    <t>TERMOPAR TIPO “S” AISLAMIENTO EN CERAMIC</t>
  </si>
  <si>
    <t>PRISIONERO PL 1020 Nº 0603072800A0014</t>
  </si>
  <si>
    <t>ELEMENTO FILTRANTE REX 1.0055 PWR10A000M</t>
  </si>
  <si>
    <t>SENSOR OPTICO EMISOR SM30CC-306 1,83M</t>
  </si>
  <si>
    <t>RODAMIENTO 32306</t>
  </si>
  <si>
    <t>RODAMIENTO BOLAS RADIAL RIGIDO 508728</t>
  </si>
  <si>
    <t>PERNO CAB HEX 8 X 15 MM NC SAE 1020</t>
  </si>
  <si>
    <t>ZD</t>
  </si>
  <si>
    <t>ANILLO PRESION 33 MM, ACERO GR 8.8</t>
  </si>
  <si>
    <t>M07</t>
  </si>
  <si>
    <t>Mat. Costo Cero</t>
  </si>
  <si>
    <t>ELEMENTO DE FILTRO MOD 01E90010VGHREP</t>
  </si>
  <si>
    <t>ELECTR MODULE, ALLEN-BRADLEY 1794-OW8</t>
  </si>
  <si>
    <t>OIL FILTER ELEMENT 01E63110VG16SP</t>
  </si>
  <si>
    <t>ARO DE REFRIGERACIÓN DE ELECTRODOS S/P</t>
  </si>
  <si>
    <t>ANILLO DE RETENCION TREN 500</t>
  </si>
  <si>
    <t>SAL COMUN (SACO DE BIG BAG DE 1750 KG)</t>
  </si>
  <si>
    <t>CHOMPA DRALON AZUL MAR M/L C/CUELL T:"L</t>
  </si>
  <si>
    <t>CONECTOR 90°X3/4" P/TUB CONDUIT FLEXIBLE</t>
  </si>
  <si>
    <t>PERNO CAB HEX C.T. 24 X 100 MM NC CL 8.8</t>
  </si>
  <si>
    <t>TERMINAL AJUS 1/0 AWG(50MM2) OJAL 3/</t>
  </si>
  <si>
    <t>TUERCA HEXAGONAL 20 MM.NC ACERO G-8.8</t>
  </si>
  <si>
    <t>CONTACTOR 3P 25A (AC3) BOB:220 VCA 60HZ</t>
  </si>
  <si>
    <t>FLUIDO HIDRAULICO SINTETICO BIODEGRA</t>
  </si>
  <si>
    <t>TUERCA HEXAGONAL 12 MM NC ACERO SAE 1045</t>
  </si>
  <si>
    <t>NIPLE 1" X 3" DE ACERO 10 KG/CM2 SCH</t>
  </si>
  <si>
    <t>RODAMIENTO 21315 C3</t>
  </si>
  <si>
    <t>CONDUCTOR FLEX 3 X 14 AWG + TIERRA 60</t>
  </si>
  <si>
    <t>TORNILLO RETENCION1.3/4 X 5.1/2 INOX17-4</t>
  </si>
  <si>
    <t>PERNO CAB CILIND T/ALLEN 20 X 70 MM NC</t>
  </si>
  <si>
    <t>TUBO 1 PG X 6.00 MT, SCH 40, ASTM A5</t>
  </si>
  <si>
    <t>PLACA SUJECCION RIEL AGUJERO DOBLE MESA</t>
  </si>
  <si>
    <t>TERMINAL AJUS 8 AWG(10 MM2) OJAL 1/4</t>
  </si>
  <si>
    <t>ZAPATO SEG. P/MEC. CUERO AC. T:35</t>
  </si>
  <si>
    <t>BOQUILLA Ø26mm ES-2</t>
  </si>
  <si>
    <t>LIJA PARA FIERRO Nº60 (2)</t>
  </si>
  <si>
    <t>RODAMIENTO 6209</t>
  </si>
  <si>
    <t>PROTECTOR SOLAR FACTOR 60 LUVEX 1L MATP</t>
  </si>
  <si>
    <t>MOLIKOTE M EN PASTA (ANTIADHERENTE L</t>
  </si>
  <si>
    <t>ANILLO PRESION 12.4 MM, ACERO CADMIADO</t>
  </si>
  <si>
    <t>RODILLO PLANO CARB.CEMENTADO RTO-1B</t>
  </si>
  <si>
    <t>ARANDELA PLANA 6 MM ACERO CADMIADO</t>
  </si>
  <si>
    <t>LUNA RECTANGULAR Nº 14</t>
  </si>
  <si>
    <t>CABLE PROFIBUS 6XV1830-0EH10 SIEMENS</t>
  </si>
  <si>
    <t>SEMIGUIA RE-35SP 29X11</t>
  </si>
  <si>
    <t>SEMIGUIA RTO-0B 35X16</t>
  </si>
  <si>
    <t>PERNO CABEZA CILINDRIC M12X30MM. NC INOX</t>
  </si>
  <si>
    <t>CINCEL PLANO 1X12 PG CON PROTECTOR MANO</t>
  </si>
  <si>
    <t>PERNO CAB CIL T/ALL 14X80 MM NC SAE-1045</t>
  </si>
  <si>
    <t>VALVULA REGULADORA CAUDAL ROSS 1968F4007</t>
  </si>
  <si>
    <t>PERNO CAB HEX C.T. 27 X 120 MM NC 8.8</t>
  </si>
  <si>
    <t>VALVULA MARIPOSA 2" 150 PSI WAFER AC</t>
  </si>
  <si>
    <t>ACOPLE RAP CAMLOCK 1 1/4 TAPA HEMBRA"DC"</t>
  </si>
  <si>
    <t>ELEMENTO FILTRO ACEITE HP75L8-3MB HY-PRO</t>
  </si>
  <si>
    <t>ACOPLE RAP HID PARKER H4-63 1/2"</t>
  </si>
  <si>
    <t>ANILLO LABERINTO O278 X O202 X 70MM A</t>
  </si>
  <si>
    <t>BOCINA 26X20MM - 4 P/PERNOS 24</t>
  </si>
  <si>
    <t>ACOPLE RAP 1"HEMB P/MANG C/ESPIGA BR-C</t>
  </si>
  <si>
    <t>PERNO CAB HEX C.T. 24 X 200 MM NC CL12.9</t>
  </si>
  <si>
    <t>ROLLO ABRASIV METAL 120 PFERD F60306A120</t>
  </si>
  <si>
    <t>PERNO CAB HEX C.T. 10 X 25 MM NC GR 8</t>
  </si>
  <si>
    <t>ZAPATO SEG. P/MEC. CUERO AC. T:45</t>
  </si>
  <si>
    <t>ANILLO PL CORE TENOVA CG46660003/4</t>
  </si>
  <si>
    <t>ANILLO OBTURADOR TSNA-519 G-ROD.TRANSP</t>
  </si>
  <si>
    <t>MEDIO ACOPLAMIENTO 40X145X96MM ACERO</t>
  </si>
  <si>
    <t>LUMINARIA PHILIPS BY687P LED200/CW PSR</t>
  </si>
  <si>
    <t>GUANTES JACKSON SAFETY G80 DE NITRILO</t>
  </si>
  <si>
    <t>PERNO CAB HEX C.T. 20 X100MM NC SAE 1020</t>
  </si>
  <si>
    <t>MANGUERA METALICA FLEX. 1 1/4" X 2.5</t>
  </si>
  <si>
    <t>TUBO FLEXIBLE 1"X1,00M GASSO SSHCG1025</t>
  </si>
  <si>
    <t>ELEMENT,FLTR,HYD,5IN OD,11IN LG,MICROGLA</t>
  </si>
  <si>
    <t>PERNO CAB. REDONDA 1 1/2X830 G.5 UNC</t>
  </si>
  <si>
    <t>PERNO CAB. REDONDA 1 1/2X455 G.5 UNC</t>
  </si>
  <si>
    <t>LENTES LUNA AZUL COBALTO N° 6 UVEX 880</t>
  </si>
  <si>
    <t>RODAMIENTO RODILLOS A ROTULA 22214 CA/W3</t>
  </si>
  <si>
    <t>RODILLO PLANO CARB.CEMENTADO RE-35</t>
  </si>
  <si>
    <t>BASE PLUG ENCHUFE MARECHAL 513B3M25</t>
  </si>
  <si>
    <t>ELEMENTO FILT AIRE PARKER P3NKA00ESG</t>
  </si>
  <si>
    <t>TUERCA HEXAGONAL 24 MM NC GRADO 8.8</t>
  </si>
  <si>
    <t>LUMINARIA PHILIPS BVP282 ASIMETRICO</t>
  </si>
  <si>
    <t>RODILLO PLANO CARB.CEMENTADO RTO-0B</t>
  </si>
  <si>
    <t>RODAMIENTO 22213 E</t>
  </si>
  <si>
    <t>PERNO CAB HEX C.T. 12 X 30MM NC SAE 1020</t>
  </si>
  <si>
    <t>ARANDELA DE BLOQUEO M24 HEICO-LOCK</t>
  </si>
  <si>
    <t>EJE PL A.GLADWIN 16013 MK1</t>
  </si>
  <si>
    <t>TAPA DE REGULACION LADO LIBRE TREN 500</t>
  </si>
  <si>
    <t>CONDUCTOR FLEX 3 X 10 AWG + TIERRA 600V</t>
  </si>
  <si>
    <t>CONECTOR 90°X1/2" P/TUB CONDUIT FLEXIBLE</t>
  </si>
  <si>
    <t>MANGUERA ARM 1 1/2"X2.8M ACOPLES TIPO C</t>
  </si>
  <si>
    <t>PERNO CAB CIL T/ALL 20X120 MM NC CL.12.9</t>
  </si>
  <si>
    <t>PERNO CAB HEX 30 X 70 MM NC SAE 1020</t>
  </si>
  <si>
    <t>RODAMIENTO 6209 2RS1</t>
  </si>
  <si>
    <t>ACOPLE RAP HID 1/8" NPTF 6304-B ALEMITE</t>
  </si>
  <si>
    <t>PERNO CAB HEX C.T. 20 X 70MM NC SAE 1020</t>
  </si>
  <si>
    <t>CONTACTO P/CONTAC CMPTO SIEMENS:3TC-5217</t>
  </si>
  <si>
    <t>PERNO CAB HEX C.T. 12 X 50MM NC SAE 1020</t>
  </si>
  <si>
    <t>PANTALON JEAN 14 ONZAS TELA DENIM T:42</t>
  </si>
  <si>
    <t>CUÑA SUPERIOR T-500 PL 06030810000M7002</t>
  </si>
  <si>
    <t>ETIQUETA 1/2" 150X120MM AZUL</t>
  </si>
  <si>
    <t>PUNZON REDONDO ALCANTARILLA - MATRIZ 2</t>
  </si>
  <si>
    <t>DISCO DE CORTE HSS 600X90X4.0 Z=270 -T4</t>
  </si>
  <si>
    <t>MANGUERA HIDRAULICA 1/2 PG X 1.20 MT</t>
  </si>
  <si>
    <t>DISCO MOLETEADOR PL 1020 LL-TACI-RM-004</t>
  </si>
  <si>
    <t>FILTRO DE ACEITE PART. 1614874799</t>
  </si>
  <si>
    <t>MANGUERA HID 1 1/2"X2.20M SAE 100R12AT</t>
  </si>
  <si>
    <t>PERNO CAB HEX C.T. 24 X100MM NC SAE 1020</t>
  </si>
  <si>
    <t>PERNO CAB HEX C.T. 30 X 150 MM NC CL8.8</t>
  </si>
  <si>
    <t>TUBO DE INYECCION OXIGENO C/PUNTA DE</t>
  </si>
  <si>
    <t>RUEDA GRANDE  VERTICAL. N°20635150920</t>
  </si>
  <si>
    <t>ELEMENTO FILT AC INTERN 01NR100025G10BP</t>
  </si>
  <si>
    <t>TUERCA FLARE 1/4" OD -COBRE PACK</t>
  </si>
  <si>
    <t>TORNILLO RETENCION 1.3/4 X 4PG INOX 17-4</t>
  </si>
  <si>
    <t>PERNO U-BOLT 3/4"X160X240MM F.G.C/T Y A</t>
  </si>
  <si>
    <t>PIN BOVEDA PL 1020 N° CG46628105/14-16</t>
  </si>
  <si>
    <t>TIRANTE DE BOVEDA PL CG46628105/MK-F</t>
  </si>
  <si>
    <t>RODAMIENTO 22209 CC</t>
  </si>
  <si>
    <t>RETURN FLOW M3 IMPEDER 16X230MM</t>
  </si>
  <si>
    <t>GRASA NLGI 2 PARA RODAMIENTOS 150 GRC</t>
  </si>
  <si>
    <t>SEMIGUIA RTO-0B 22X11</t>
  </si>
  <si>
    <t>MANGUERA ARM 1 1/4"X1.5M ACOPLES TIPO C</t>
  </si>
  <si>
    <t>RETEN 300x340x18MM SKF HDS7R</t>
  </si>
  <si>
    <t>TUBO FLEXIBLE GASSO SSHCG1012 1/2" 1,8M</t>
  </si>
  <si>
    <t>CONECTOR MACHO 68C-5-4</t>
  </si>
  <si>
    <t>MAQUINA DE ANTORCHA PARA CORTE</t>
  </si>
  <si>
    <t>SELLO 315 X 355 X 18 MM NITRILO HIDR</t>
  </si>
  <si>
    <t>PUNTA MONTADA P/LOGOTIPO 30 X 1.2 K01</t>
  </si>
  <si>
    <t>FILTRO PRENSA SUPERIOR 1700x430x10MM</t>
  </si>
  <si>
    <t>BOQUILLA PULVER. AGUA 1/4"NPT BR MACHO</t>
  </si>
  <si>
    <t>PERNO 33X225 PL.NP-TH-0008 P.11 REV 1</t>
  </si>
  <si>
    <t>ANEL LABERINTO DES 1020 MC1005016004</t>
  </si>
  <si>
    <t>PLAQUITA CORTE CBN TIPO RCGX 12X7.9 MM</t>
  </si>
  <si>
    <t>RETURN FLOW M3 IMPEDER 14X230MM</t>
  </si>
  <si>
    <t>BOBINA INDUC. TH. BANDED RED 79.25 -95MM</t>
  </si>
  <si>
    <t>TERMORESISTENCIA RTD PT 100 OHM 0-10</t>
  </si>
  <si>
    <t>LISTON PL 1020 Nº PTUB-1800/2</t>
  </si>
  <si>
    <t>CABLE FLEX 3/4" ALMA AC 6X36 T/DER 36.5M</t>
  </si>
  <si>
    <t>CILINDRO LAM-490x1340MM-NODULAR P-60/65</t>
  </si>
  <si>
    <t>LIQUIDO LIMPIADOR DE LENTES DE SEGURIDAD</t>
  </si>
  <si>
    <t>FILTRO AIRE C/GEL SILICE BFD1303VLPG6I</t>
  </si>
  <si>
    <t>PERNO CAB CIL T/ALL 14X60MM NC CL 12.9</t>
  </si>
  <si>
    <t>CUCHILLA INFERIOR 40 X 130 X 860 MM A</t>
  </si>
  <si>
    <t>CUCHILLA SUPERIOR 40 X 130 X 822 MM A</t>
  </si>
  <si>
    <t>ELECTR MODULE, ALLEN-BRADLEY 1794-TB3</t>
  </si>
  <si>
    <t>MANGUERA ARM PARKER 30116 1" 3M</t>
  </si>
  <si>
    <t>ACEITE LU CHESTERTON 715 SPRAFLEX MATPEL</t>
  </si>
  <si>
    <t>ELEMENTO FILTRO EDWARDS</t>
  </si>
  <si>
    <t>BUJE PL 1020 NR 62846M412/10</t>
  </si>
  <si>
    <t>PUNZON VALLE Ø7/8"-MP152 57MM POS 2</t>
  </si>
  <si>
    <t>MODULO DE SALIDA FLEX I/O CAT: 1794-OA16</t>
  </si>
  <si>
    <t>BOMBA HIDRAULICA DE ENGRANAJES ROQUET</t>
  </si>
  <si>
    <t>RETEN L2 - 315X355X18 MM LABIO FKM-VITON</t>
  </si>
  <si>
    <t>AISLANTE PROTEC BRAZO 1 VITRONITE TSE-7</t>
  </si>
  <si>
    <t>AISLANTE PROTEC BRAZO 3 VITRONITE TSE-7</t>
  </si>
  <si>
    <t>AISLANTE PROTEC BRAZO 4 VITRONITE TSE-7</t>
  </si>
  <si>
    <t>AISLANTE PROTEC BRAZO 5 VITRONITE TSE-7</t>
  </si>
  <si>
    <t>BARANDA LADO CHATARRA VIGA REFRIGERADO</t>
  </si>
  <si>
    <t>ASPERSOR PARA DUCHA JDR 2240 B1 ROSCA NP</t>
  </si>
  <si>
    <t>PERNO CAB HEX C.T. 10 X 50MM NC SAE 1020</t>
  </si>
  <si>
    <t>EMPAQUETADURA JEBE 26X39X6 PL ACM1118/3</t>
  </si>
  <si>
    <t>CAMISA DRILL MANG LARGA AZUL TALLA S-M</t>
  </si>
  <si>
    <t>ACOPLE RAPIDO BALFLEX 44A010050 1/2"</t>
  </si>
  <si>
    <t>MANGUERA ARMADA PARKER 3026 1/2" 1,5M</t>
  </si>
  <si>
    <t>CHOMPA DRALON AZUL MAR M/L C/CUELL T:"S</t>
  </si>
  <si>
    <t>CONECTOR RECTO HERMETIC P/CONDUIT 1 1/2</t>
  </si>
  <si>
    <t>UNION 1 PG CONDUIT GALVANIZADO</t>
  </si>
  <si>
    <t>SUJETADOR PARA LENTES DE SEGURIDAD</t>
  </si>
  <si>
    <t>RODAMIENTO 22232 CCKC3/W33</t>
  </si>
  <si>
    <t>ORING RTO-0B</t>
  </si>
  <si>
    <t>LEJIA CONCENTRADA MATPEL</t>
  </si>
  <si>
    <t>CODO 90° 1/2" NPT A234 20 KG/CM2</t>
  </si>
  <si>
    <t>PUNZON GUIA 108 LONG PL PTUB 1596/2</t>
  </si>
  <si>
    <t>ARANDELA PLANA 14 MM, ACERO</t>
  </si>
  <si>
    <t>NIPLE DE 1/2 X 3 PG. FE.GALVANIZADO</t>
  </si>
  <si>
    <t>CONECTOR MACHO 3/8" O.DX1/4" NPT INOX</t>
  </si>
  <si>
    <t>NIPLE 2" X 4" DE ACERO SCHEDULE 40 E</t>
  </si>
  <si>
    <t>CODO 90° 1 1/2" A234 150PSI S/COST P/SOL</t>
  </si>
  <si>
    <t>LIMPIA VIDRIOS 500cc C/ATOMIZADOR MATPEL</t>
  </si>
  <si>
    <t>CAMISA DRILL MANG LARGA NARANJA TALLA XS</t>
  </si>
  <si>
    <t>BARRA CUADRADA DE 5/8"</t>
  </si>
  <si>
    <t>MANGUITO H 322</t>
  </si>
  <si>
    <t>TOMACOR IND 2P+T, 32 A, 250 V, SOBREP</t>
  </si>
  <si>
    <t>LIJA PARA FIERRO Nº80 (1 1/2)</t>
  </si>
  <si>
    <t>CHAVETA SIN FIN 10X36MM PL.TAHE 358-10</t>
  </si>
  <si>
    <t>PUNTA MONTADA P/LOGOTIPO 30 X 1.0 K01</t>
  </si>
  <si>
    <t>RODAMIENTO 6205 2RSH</t>
  </si>
  <si>
    <t>PERNO CAB HEX 5 X 30 MM NC SAE 1020</t>
  </si>
  <si>
    <t>CODO 90° X 3/4 " FE GALV ROSCADO</t>
  </si>
  <si>
    <t>PERNO CAB CIL T/ALL 12X35 MM NC CL 12.9</t>
  </si>
  <si>
    <t>GRILLETE 1" ANCLA C/PERNO ACERO GALV.</t>
  </si>
  <si>
    <t>ANILLO PRESION 30 MM, ACERO</t>
  </si>
  <si>
    <t>VALVULA MARIPOSA 6" DN WAFER 150 PSI</t>
  </si>
  <si>
    <t>ANILLO INTERIOR L-313824 (SKF)</t>
  </si>
  <si>
    <t>SOLVENTE DIELECTRICO ECOLOGICO LPSF- MTP</t>
  </si>
  <si>
    <t>RESPIRADOR MEDIA CARA ADVANTAGE 420 T"S"</t>
  </si>
  <si>
    <t>SIRENA ELECTROMAGNETICA MOD. SKU42105</t>
  </si>
  <si>
    <t>CAMISA DRILL MANG LARGA NARANJA T: XS-M</t>
  </si>
  <si>
    <t>PERNO CAB HEX C.T. 8 X 40MM NC SAE 1020</t>
  </si>
  <si>
    <t>SENSOR INDUCTIVO Ni15-G30-AZ3X-B1131</t>
  </si>
  <si>
    <t>PERNO CAB CIL T/ALL 12X60 MM NC CL 5</t>
  </si>
  <si>
    <t>INTERRUPTOR FIN CURSO 802T-AP+802TW2B</t>
  </si>
  <si>
    <t>ETIQUETA AUTOADHESIVA CONTINUA 4X1X7/16"</t>
  </si>
  <si>
    <t>CS</t>
  </si>
  <si>
    <t>CABLE ELECT 37HILOSX2,51MM CLASE 2</t>
  </si>
  <si>
    <t>PERNO CAB. CIL. T/ALLEN 24X100MM G.12.9</t>
  </si>
  <si>
    <t>BOLSA POLIETILENO AZUL P/BASURA 100 KGS</t>
  </si>
  <si>
    <t>FUNDENTE POP-185 PARA ARCO SUMERGIDO MTP</t>
  </si>
  <si>
    <t>CABLE COMPENS CL35004200RX400R - 1027505</t>
  </si>
  <si>
    <t>PERNO CAB HEX 8 X 20 MM NC SAE 1020</t>
  </si>
  <si>
    <t>DISCO DE CORTE HSS 450X50X2.5 MM. Z=218</t>
  </si>
  <si>
    <t>UNION UNIVERSAL 1 " NPT FE GALV.</t>
  </si>
  <si>
    <t>BOQUILLA Ø17mm ES-1</t>
  </si>
  <si>
    <t>PLACA BASE 245X175X6 PL 060307M7010/P3</t>
  </si>
  <si>
    <t>BROCA CILINDRICA HSS  8,0 mm.</t>
  </si>
  <si>
    <t>RETEN 225 X 250 X 16 MM</t>
  </si>
  <si>
    <t>TAPON 3/8" NPT EXT. FE. GALV.</t>
  </si>
  <si>
    <t>TEE 1/2" NPT FE. GALV.</t>
  </si>
  <si>
    <t>MANGUERA METALICA FLEX. 3/4" X 1.80 M</t>
  </si>
  <si>
    <t>CONDUCTOR FLEX 2 X 14 AWG + TIERRA 600 V</t>
  </si>
  <si>
    <t>CONDUCTOR FLEX 2 X 16 AWG 0.6/1 KV TI</t>
  </si>
  <si>
    <t>PASTILLA HEXAGONAL # 9</t>
  </si>
  <si>
    <t>TUERCA RANURADA PUNZON GUIA PTUB1596/3</t>
  </si>
  <si>
    <t>ESPATULA 4 PG, ACERO</t>
  </si>
  <si>
    <t>ANILLO RETENCION PL MC10050160010</t>
  </si>
  <si>
    <t>ELEMENTO FILTRO DONALDSON P030573016190</t>
  </si>
  <si>
    <t>CAMISA DRILL MANG LARGA AZUL TALLA L-M</t>
  </si>
  <si>
    <t>RODAMIENTO SKF 22218 E</t>
  </si>
  <si>
    <t>PERNO CAB CIL T/ALL 16X70 MM NC CL 12.9</t>
  </si>
  <si>
    <t>TUERCA HEXAGONAL 33 MM NC ACERO SAE-1020</t>
  </si>
  <si>
    <t>MATRIZ DE CORTE OBLONDO-ALCANT- 16.6 INT</t>
  </si>
  <si>
    <t>TERMINAL AJUS 3/0AWG(95MM2) OJAL 1/2</t>
  </si>
  <si>
    <t>TUBO FLEXIBLE 1"X1,5M GASSO SSHCG1025</t>
  </si>
  <si>
    <t>BOBINA INDUC. SAET RED 1.1/4" MEC-43.5mm</t>
  </si>
  <si>
    <t>CONDUCTOR FLEX 4 X 2.5 MM2 1KV TIPO NYY</t>
  </si>
  <si>
    <t>RETURN FLOW M3 IMPEDER 34X230MM</t>
  </si>
  <si>
    <t>CABLE TENSOR 3/8X26.1/8" PL. AG 11-019</t>
  </si>
  <si>
    <t>LEIBINGER 79000-00104 Ink, White MATPEL</t>
  </si>
  <si>
    <t>PERNO CAB CIL T/ALL 12 X 40 MM NC 12.9</t>
  </si>
  <si>
    <t>BROCA CILINDRICA HSS  6,0 mm.</t>
  </si>
  <si>
    <t>ROD. HORIZONTAL MR3-MR4</t>
  </si>
  <si>
    <t>ESTROBO 5/8"X6MT OJAL 45CM ALMA CAÑAMO</t>
  </si>
  <si>
    <t>ESTACION DE LIMPIEZA DE LENTES</t>
  </si>
  <si>
    <t>MANGUERA METALICA FLEX 6"X5000MM 150 PSI</t>
  </si>
  <si>
    <t>PERNO CAB CILIND T/ALLEN 20 X 50 MM NC</t>
  </si>
  <si>
    <t>RUEDA ACANAL DIREC. C/RANURA 20635350710</t>
  </si>
  <si>
    <t>CUCHILLA PL MANT723</t>
  </si>
  <si>
    <t>ELEMENTO FILTRO INTERNORM 01E36010VG30EP</t>
  </si>
  <si>
    <t>ELEMENTO FILTRO ACEITE SOFIMA CRH070CV1</t>
  </si>
  <si>
    <t>CABLE ACERO DANIELI 002DK000ZF160CD</t>
  </si>
  <si>
    <t>ELEMENTO FILTRO DONALDSON P511382016147</t>
  </si>
  <si>
    <t>VALVULA REGULADORA DE CAUDAL DOBLE CON C</t>
  </si>
  <si>
    <t>FUENTE ALIMENTACION MOD. 1606-XLE120E</t>
  </si>
  <si>
    <t>CAMISA DRILL MANG LARGA NARANJA TALXXXL</t>
  </si>
  <si>
    <t>LIMPIADOR DE COMPONENTES ELECTRONICO</t>
  </si>
  <si>
    <t>GRASERA ALEMITE 1613-B 1/8 L/T.27/32</t>
  </si>
  <si>
    <t>CONDUCTOR EXTRAFLEX PLANO 6X6MM2+T</t>
  </si>
  <si>
    <t>JUNTA STEFA 9RB70 70X92X5.5 MM</t>
  </si>
  <si>
    <t>VALVULA MARIPOSA 8" DN WAFER 150 PSI</t>
  </si>
  <si>
    <t>RODILLO ANGULO CARB.CEMENTADO RE-55</t>
  </si>
  <si>
    <t>RESORTE TOLERANCIA P/N 1216000700 P.190</t>
  </si>
  <si>
    <t>ANILLO RODAMIENTO REF SKF L313893</t>
  </si>
  <si>
    <t>RESORTE PL 1020 N° LLTMEC061/2</t>
  </si>
  <si>
    <t>PLAQUITA CORTE CBN TIPO RCGX 06X6.35 mm</t>
  </si>
  <si>
    <t>PHILLIPS BVP155 LED105/840 PSU 100W VWB</t>
  </si>
  <si>
    <t>CABLE FLEX 1/2" AC 6X36 T/DER. 43 MT</t>
  </si>
  <si>
    <t>CONDUCTOR FLEX 2X16AWG (1.309 600V NMT</t>
  </si>
  <si>
    <t>PUNZON GUIA 153 LONG PL PTUB 1596/1</t>
  </si>
  <si>
    <t>MANGUERA HID 1"X2.00M SAE 100R12AT</t>
  </si>
  <si>
    <t>TUERCA HEXAGONAL 30 MM NC ACERO SAE 1020</t>
  </si>
  <si>
    <t>RODAMIENTO K 659 CONO / PISTA K-652</t>
  </si>
  <si>
    <t>CAÑA DE OXICORTE 10 X 21 PG</t>
  </si>
  <si>
    <t>MANGUERA METALICA FLEX. 2" X 2.5 MT C</t>
  </si>
  <si>
    <t>RODILLO REF MEP MACCHINE C4C1753</t>
  </si>
  <si>
    <t>CAMISA DRILL MANG LARGA NARANJA T: S-M</t>
  </si>
  <si>
    <t>BOLSA POLIETILENO BLANCO P/BASURA 100 KG</t>
  </si>
  <si>
    <t>EMPAQUETADURA JEBE PL ACM-1118/7 R3</t>
  </si>
  <si>
    <t>LIQUIDO LIMPIADOR REMOVEDOR SPOTCHEC MTP</t>
  </si>
  <si>
    <t>SEGURO EJE PORTA POLIN RE-55</t>
  </si>
  <si>
    <t>BOCINA PARA PLACA LATERAL RE-35</t>
  </si>
  <si>
    <t>PERNO CAB. CIL. T/ALLEN 24X90MM G.12.9</t>
  </si>
  <si>
    <t>PLACA BASE 245X175X8 PL 060307M7010/P4</t>
  </si>
  <si>
    <t>MANGUERA HIDRAULICA ARMADA 1/2" X 1.50 M</t>
  </si>
  <si>
    <t>ESLINGA POLYESTER PLANA 2"(50MM)X4.20 M</t>
  </si>
  <si>
    <t>PERNO CAB HEX M16 X80MM NC CL 8.8 C/T,A</t>
  </si>
  <si>
    <t>PERNO CAB CIL T/ALL 20X100 MM NC CL 12.9</t>
  </si>
  <si>
    <t>PLAQUITA DE CERAMICA RCGX 19 X 10 mm</t>
  </si>
  <si>
    <t>ARANDELA PRESION 12 MM, ACERO CADMIADO</t>
  </si>
  <si>
    <t>ROD. VERTICAL ACTUALIZADO MR3-MR4</t>
  </si>
  <si>
    <t>UNION 1/2 PG, ROSCA INTERNA, FE NEGRO</t>
  </si>
  <si>
    <t>MANGUERA HID 1/4 PGX300MM, SAE 100 R14</t>
  </si>
  <si>
    <t>FILTRO PARA AGUA WF-2075 / LFW 4075</t>
  </si>
  <si>
    <t>PERNO VEZZANI D45510174</t>
  </si>
  <si>
    <t>MANGUERA HID 1/4 PGX400MM, SAE 100R14</t>
  </si>
  <si>
    <t>ARANDELA PRESION 3/8 PG, ACERO</t>
  </si>
  <si>
    <t>RETURN FLOW M3 IMPEDER 46X230MM</t>
  </si>
  <si>
    <t>PANTALON JEAN 12 ONZAS TELA DENIM T:26</t>
  </si>
  <si>
    <t>RUEDA ACANALADA DIREC LISA N°20635350810</t>
  </si>
  <si>
    <t>CAÑERIA COBRE 3/8 PG</t>
  </si>
  <si>
    <t>RECEPTACULO (BLOCK DE CONTACTO) MOD.</t>
  </si>
  <si>
    <t>CABLE COMPENSADO LANZA MANUAL HOCU/COCO</t>
  </si>
  <si>
    <t>MATRIZ VALLE MP152 P/SUFRIDERA PLANA</t>
  </si>
  <si>
    <t>TAPA DE REGULACION LADO FIJO TREN 500</t>
  </si>
  <si>
    <t>RODAMIENTO RODILLOS CILIND. NU 2214 ECP</t>
  </si>
  <si>
    <t>CONEXION RAPIDA HANSEN HEMBRA 3/8"</t>
  </si>
  <si>
    <t>PERNO CAB HEX 6 X 40 MM NC SAE 1020</t>
  </si>
  <si>
    <t>CONDUCTOR FLEX 3 X 12 AWG + TIERRA 600 V</t>
  </si>
  <si>
    <t>IMPEDER THROUGH FLOW 14X230MM OD SIN RET</t>
  </si>
  <si>
    <t>CONECTOR RECTO 1" P/TUB CONDUIT FLEX</t>
  </si>
  <si>
    <t>MATRIZ CORT CRESTA RED ALT-INTERIOR 16.4</t>
  </si>
  <si>
    <t>FERRITA DIAMETRO 10 X 3 X 200 MM</t>
  </si>
  <si>
    <t>HIPOCLORITO SODICO NEST OX 3319 30KG</t>
  </si>
  <si>
    <t>PANTALON JEAN 14 ONZAS TELA DENIM T:40</t>
  </si>
  <si>
    <t>SOPORTE REFRIGERADO DELTA SECO ACM2913</t>
  </si>
  <si>
    <t>CILINDRO LAM-490X1340MM-ACERO-50/55</t>
  </si>
  <si>
    <t>SEMIGUIA RTO-1B 45X18</t>
  </si>
  <si>
    <t>SEGURO PLANO 1020 MANT1683</t>
  </si>
  <si>
    <t>PANEL REFRIGERADO N° 4 (5,6) LADO CO</t>
  </si>
  <si>
    <t>M15</t>
  </si>
  <si>
    <t>BOQUILLA Ø 70X160-FORMA EXT. REDONDO</t>
  </si>
  <si>
    <t>BOQUILLA Ø 40X110-FORMA EXT.REDONDO</t>
  </si>
  <si>
    <t>RODAMIENTO BOLA CONTACTO ANGULAR 508733</t>
  </si>
  <si>
    <t>PERNO CAB HEX C.T. 10 X 30MM NC SAE 1020</t>
  </si>
  <si>
    <t>CILINDRO LAMINADOR 341X650MM PL.4130C</t>
  </si>
  <si>
    <t>CILINDRO LAMINADOR 342X580 FUNDIC. NODUL</t>
  </si>
  <si>
    <t>MANOMETRO 0 - 10 KG/CM2, D/D 2 PG, C 5HF</t>
  </si>
  <si>
    <t>ELECTR MODULE, ALLEN-BRADLEY 1794-IE8</t>
  </si>
  <si>
    <t>ELECTR MODULE, ALLEN-BRADLEY 1794-IB32</t>
  </si>
  <si>
    <t>AGUA DEIONIZADA 1000L SIN GAS</t>
  </si>
  <si>
    <t>ELECTROFRENO STEARNS 105606100DLF 440VAC</t>
  </si>
  <si>
    <t>FRENO DISCO SIBRE USB 5-I ED30/5</t>
  </si>
  <si>
    <t>FRENO DISCO SIBRE USB305EDC100-30</t>
  </si>
  <si>
    <t>TUBO FLEXIBLE INOX 6"X4M GASSO SSHCG1150</t>
  </si>
  <si>
    <t>ROLO REF MEP MACCHINE C4C1886 &gt; 10374946</t>
  </si>
  <si>
    <t>PUNTA CARGADOR AC1-HOEL-HOE01-BOT.M.4002</t>
  </si>
  <si>
    <t>EJE PL 1020 N° CG46626100/15-16</t>
  </si>
  <si>
    <t>ACEITE MOBIL DELVAC MX ESP 15W40 MATPEL</t>
  </si>
  <si>
    <t>EJE PL 1020 NR 62846M412/8</t>
  </si>
  <si>
    <t>SWITCH DE NIVEL PRO-A-G-D2-3-A-B-40 CM</t>
  </si>
  <si>
    <t>RETURN FLOW M3 IMPEDER 19X230MM</t>
  </si>
  <si>
    <t>MODULO E/S ANALOGICA 6ES7 234-4HE32-0XB0</t>
  </si>
  <si>
    <t>BOCINA CENTRAL DIAM.390X160-GIRAOVALO</t>
  </si>
  <si>
    <t>BOBINA INDUC. TH. BANDED RED 2.1/2" MEC.</t>
  </si>
  <si>
    <t>SENSOR VIBRACION Y TEMPERATURA SKF CMSS</t>
  </si>
  <si>
    <t>CAMISETA DIAM.320X180MM-RODILLO TRANP.</t>
  </si>
  <si>
    <t>MINI RELE 8 PINES 24VDC C/LED, RXM2AB2BD</t>
  </si>
  <si>
    <t>FILTRO DE RESPIRACION PART. 322768</t>
  </si>
  <si>
    <t>CILINDRO LAMINADOR 12H-13V - 380 X600 MM</t>
  </si>
  <si>
    <t>PLACA DE DESGASTE DE CARTUCHOS-EJES CARD</t>
  </si>
  <si>
    <t>TUERCA HEX-INOXID/AUTOBLOCANTE NYLON M-2</t>
  </si>
  <si>
    <t>ADAPTADOR ETHERNET-IP PARA FLEX 5000</t>
  </si>
  <si>
    <t>AISLANTE PROTEC BRAZO 2 VITRONITE TSE-7</t>
  </si>
  <si>
    <t>AISLANTE PROTEC BRAZO 6 VITRONITE TSE-7</t>
  </si>
  <si>
    <t>AISLANTE PROTEC BRAZO 7 VITRONITE TSE-7</t>
  </si>
  <si>
    <t>LIJA TELA ESMERIL #40 ASA</t>
  </si>
  <si>
    <t>LIJA TELA ESMERIL #100 ASA</t>
  </si>
  <si>
    <t>MATERIAL ESTANDAR DE REFERENCIA BS 4150</t>
  </si>
  <si>
    <t>RODAMIENTO 6007 2RS</t>
  </si>
  <si>
    <t>ACEIT ISO VG680 AGMA 8EP P/ENGRANAJE MTP</t>
  </si>
  <si>
    <t>VALVULA DE BOLA 3", CUERPO Y BOLA ACERO</t>
  </si>
  <si>
    <t>PERMATEX Nº 3 EN TARRO (ENVASE 4ONZ) MTP</t>
  </si>
  <si>
    <t>BOB INDUC. THERMA RED 3/8" MEC-21.35mm</t>
  </si>
  <si>
    <t>BOTON PULSADOR C/SENALIZACION 800TPB16R</t>
  </si>
  <si>
    <t>CABLE FLEX 3/4" AC 6X36 T/DER. CASCABEL</t>
  </si>
  <si>
    <t>ESLINGA 3 TN, 6 MT, OJO-OJO DUPLEX</t>
  </si>
  <si>
    <t>CONECTOR 90°X1" P/TUB CONDUIT FLEXIBLE</t>
  </si>
  <si>
    <t>PLACA BASE 245X175X2 PL 060307M7010/P1</t>
  </si>
  <si>
    <t>PLACA BASE 245X175X4 PL 060307M7010/P2</t>
  </si>
  <si>
    <t>PLACA BASE 245X175X10 PL 060307M7010/P5</t>
  </si>
  <si>
    <t>PLACA BASE 245X175X12 PL 060307M7010/P6</t>
  </si>
  <si>
    <t>BOQUILLA TOR 90° 100X45X250 FOR EXT CUAD</t>
  </si>
  <si>
    <t>CILINDRO LAM 527x1500MM-ACERO -50/55</t>
  </si>
  <si>
    <t>INTERRUPTOR AL VACIO SIEMENS 2500A/36KV</t>
  </si>
  <si>
    <t>SOLDADURA 5MM(3/16")E6011 AWS A5.1-91MTP</t>
  </si>
  <si>
    <t>SOLDADURA 4.00MM (5/32 PG),E-900,DIN MTP</t>
  </si>
  <si>
    <t>ACOPLE RAP 2"HEMB P/MANG C/ESPIGA BR-C</t>
  </si>
  <si>
    <t>FILTRO PARA ACEITE LF-670</t>
  </si>
  <si>
    <t>FILTRO PARA ACEITE LF- 777</t>
  </si>
  <si>
    <t>FUSIBLE CILINDRICO DE VIDRIO 1A 125V</t>
  </si>
  <si>
    <t>FUSIBLE CILINDRICO DE VIDRIO 4A 125V</t>
  </si>
  <si>
    <t>FUSIBLE CILINDRICO DE VIDRIO 3A</t>
  </si>
  <si>
    <t>GRAPA BAND IT 1/2 PG</t>
  </si>
  <si>
    <t>GUIA AC VND 180X600X27MM PL.AC-M-2888</t>
  </si>
  <si>
    <t>MANGUERA HID 3/8"X0.90M SAE 100R1AT</t>
  </si>
  <si>
    <t>MANGUERA HID 1"X0.80M SAE 100R1AT</t>
  </si>
  <si>
    <t>MANGUERA METALICA FLEX. 1 1/2" X 3.5MT</t>
  </si>
  <si>
    <t>MANGUERA METALICA FLEX. 2" X 3.5MT</t>
  </si>
  <si>
    <t>MANGUERA METALICA FLEX. 1" X 3.5MT</t>
  </si>
  <si>
    <t>SEMIGUIA RTO-1B 45X21</t>
  </si>
  <si>
    <t>PIQUERA RTO-1B</t>
  </si>
  <si>
    <t>PANEL REFRIGERADO N° 1 LADO PUERTA P</t>
  </si>
  <si>
    <t>PERNO CAB HEX C.T. 24 X110MM NC SAE 1020</t>
  </si>
  <si>
    <t>PERNO CAB HEX C.T. 18 X 40 MM NC CL 8.8</t>
  </si>
  <si>
    <t>TORNILLO DE RETENCION 1.3/4 X 4 PG</t>
  </si>
  <si>
    <t>PERNO CAB HEX C.T. 12X110 MM NC SAE 1045</t>
  </si>
  <si>
    <t>PERNO CAB HEX 3/4 X 6 " NC SAE 1020</t>
  </si>
  <si>
    <t>CUERPO DE LANZA KT DN 110 PL. TECHIN</t>
  </si>
  <si>
    <t>RUEDA DIREC VERT. C/RANURA N°20635151120</t>
  </si>
  <si>
    <t>PUERTA REFRIGERADA MOVIL PANEL N° 15</t>
  </si>
  <si>
    <t>SET COMPLETO SELLOS CILINDRO P/N97044992</t>
  </si>
  <si>
    <t>RETEN 6.875X8.375X0.500" CRWH1 68745</t>
  </si>
  <si>
    <t>RETEN 25.4 X 47.63 X 6.35 MM, CR 10075</t>
  </si>
  <si>
    <t>RODAMIENTO 6305</t>
  </si>
  <si>
    <t>RODAMIENTO 7314 BEP</t>
  </si>
  <si>
    <t>RODAMIENTO 6314 Z</t>
  </si>
  <si>
    <t>RODAMIENTO 6215 2Z</t>
  </si>
  <si>
    <t>RODAMIENTO 6210 2RS1</t>
  </si>
  <si>
    <t>RODAMIENTO 230X330X206MM SKF 313824</t>
  </si>
  <si>
    <t>RODAMIENTO 32207 J2/Q</t>
  </si>
  <si>
    <t>RODAMIENTO RODILLO ESFERICO 22218 EK</t>
  </si>
  <si>
    <t>RODAMIENTO 22217 E/C3</t>
  </si>
  <si>
    <t>ZAPATO SEG. P/MEC. CUERO AC. T:46</t>
  </si>
  <si>
    <t>UNION UNIVERSAL 3/4 " NPT FE GALV.</t>
  </si>
  <si>
    <t>VALVULA DE BOLA 1.1/2" 2000 PSI MATE</t>
  </si>
  <si>
    <t>VALVULA ANTIRETORNO P/GAS OXIGENO 10</t>
  </si>
  <si>
    <t>PERNO CAB HEX C.T. 16 X 60MM NC SAE 1020</t>
  </si>
  <si>
    <t>PERNO CAB HEX C.T. 14 X 60MM NC SAE 1020</t>
  </si>
  <si>
    <t>PERNO CAB HEX C.T. 12 X 40MM NC SAE 1020</t>
  </si>
  <si>
    <t>PERNO CAB HEX C.T. 12 X 80MM NC SAE 1020</t>
  </si>
  <si>
    <t>PERNO CAB HEX 5 X 20 MM NC SAE 1020</t>
  </si>
  <si>
    <t>TUERCA HEXAGONAL 1 PG NC ACERO SAE 1020</t>
  </si>
  <si>
    <t>LIQUIDO PENETRANTE P/PRUEBAS METALOG MTP</t>
  </si>
  <si>
    <t>BOQUILLA Ø19mm ES-1</t>
  </si>
  <si>
    <t>CUCHILLA 35 X 105 X 150 MM ACERO AIS</t>
  </si>
  <si>
    <t>SEMIGUIA ES-2 LL1-T300-GUI01.M.7024 REV3</t>
  </si>
  <si>
    <t>CINTA AISL 3/4" X 9.20 MT SCOTCH 23</t>
  </si>
  <si>
    <t>UNION 1 1/2 PG CONDUIT GALVANIZADO</t>
  </si>
  <si>
    <t>MANGUERA METALICA FLEX CORRUGADA 6</t>
  </si>
  <si>
    <t>MANGUERA FLEX 2" 0,52M GASSO SSHCG1050</t>
  </si>
  <si>
    <t>CABLE FLEX 20MMX52MT P/GRUA P/N 131260</t>
  </si>
  <si>
    <t>CABLE FLEX 20MMX52MT P/GRUA P/N 132967</t>
  </si>
  <si>
    <t>MANGUITO H 3132 - MARCA SKF</t>
  </si>
  <si>
    <t>ANILLO NILO 100X180MM T:AV C:1220</t>
  </si>
  <si>
    <t>SEMIGUIA RE-35SP 22X8.5</t>
  </si>
  <si>
    <t>RUEDA DIREC VERT S/RANURA N° 20635151220</t>
  </si>
  <si>
    <t>MANGUERA HID 1/2"X1.10M SAE 100R12AT</t>
  </si>
  <si>
    <t>PLACA AISLANTE BASE SUPERIOR 340 X 3</t>
  </si>
  <si>
    <t>PLACA AISLANTE BASE INFERIOR 1540 X</t>
  </si>
  <si>
    <t>MANGUERA FLEXIBLE 4" X 8800 MM 150 PSI</t>
  </si>
  <si>
    <t>ACOPLE RAP HID PARKER H6-63 3/4"</t>
  </si>
  <si>
    <t>ACOPLE RAPIDO ADAPTADOR MACHO 1 1/2</t>
  </si>
  <si>
    <t>LIQUIDO REVELADOR "SPOTCHECK MATPEL</t>
  </si>
  <si>
    <t>LIQUIDO PENETRANTE "SPOTCHECK MATPEL</t>
  </si>
  <si>
    <t>DISCO MOLETEADOR 28MM PL LLTACI004</t>
  </si>
  <si>
    <t>MASILLA METALICA BELZONA 1311 (BASE Y</t>
  </si>
  <si>
    <t>VALVULA DE BOLA 3/4" ROSCADA 10 KG/CM</t>
  </si>
  <si>
    <t>RESORTE DE COMPRESION 20X120X160 MM</t>
  </si>
  <si>
    <t>MANGUERA METALICA FLEX 1 1/4" X 1.80M</t>
  </si>
  <si>
    <t>SELECTOR SWITCH, 30.5MM, ALLEN-BRADLEY</t>
  </si>
  <si>
    <t>RIEL 90 ARA-A TR45 12M</t>
  </si>
  <si>
    <t>SENSOR FOTOELECTRICO TELEM XUB5BPANM12</t>
  </si>
  <si>
    <t>CABLE FLEX 3/4" ALMA AC 6X36 T/DERE 52M</t>
  </si>
  <si>
    <t>RODAMIENTO SKF 6005-2RS1</t>
  </si>
  <si>
    <t>ALCOHOL GEL 70% PRESENTACIÓN 1 LITRO MTP</t>
  </si>
  <si>
    <t>CUCHILLA CIZ 1 Y 2 PL MANT239</t>
  </si>
  <si>
    <t>ELECTR MODULE, ALLEN-BRADLEY 1794-TB3GS</t>
  </si>
  <si>
    <t>MANGUERA  FLEXIBLE ARM  3/4" 0,9M</t>
  </si>
  <si>
    <t>JUNTA 60"X60"X1/8" CHESTERTON 003054</t>
  </si>
  <si>
    <t>VALVULA DIRECCIONAL PARKER B824BDB53A</t>
  </si>
  <si>
    <t>MANGUERA ARM PARKER 30116 1" 5M</t>
  </si>
  <si>
    <t>DURMIENTE CONCRETO 0,25X0,16X1,83M</t>
  </si>
  <si>
    <t>REPUESTO SELLOS PARKER PK5002A005</t>
  </si>
  <si>
    <t>MANGUERA ARM PARKER F301 3/8" 1,20M</t>
  </si>
  <si>
    <t>SENSOR INDUCT TELEMECANIQUE XS630B1PAM12</t>
  </si>
  <si>
    <t>RODILLO REF MEP MACCHINE C4C1934</t>
  </si>
  <si>
    <t>RODILLO REF MEP MACCHINE C4C2575</t>
  </si>
  <si>
    <t>CALCA INDURA ANTI-CHAMA AZUL ROYAL NR 48</t>
  </si>
  <si>
    <t>MODULO DE ENTRADA ROCKWELL 1794-IA16</t>
  </si>
  <si>
    <t>BOCINA PL 1020 N° 3234607826</t>
  </si>
  <si>
    <t>ELEMENTO FILT AIRE TRIDIM TRIPLEAT ES40</t>
  </si>
  <si>
    <t>CHAVETA Y ARAND PL 1020 VR14055/1/2/3.0</t>
  </si>
  <si>
    <t>EMPAQUETADURA JEBE PL 1020 N° ACM1118/1</t>
  </si>
  <si>
    <t>EMPAQUETADURA JEBE PL 1020 N° ACM1118/2</t>
  </si>
  <si>
    <t>GAFAS DE SEGURIDAD ALTIMETER 2770CLEX</t>
  </si>
  <si>
    <t>ESPARRAGO PL 1020 N° MANT1875</t>
  </si>
  <si>
    <t>CONECTOR SIDERMES A17P115</t>
  </si>
  <si>
    <t>EMPAQUETADURA GOMA PL 1020 N° ACM1118/9</t>
  </si>
  <si>
    <t>CPU AUTOMACION SIEMENS 6ES72171AG400XB0</t>
  </si>
  <si>
    <t>MANGUERA CORRUGADA SSHCG1150X1600MM</t>
  </si>
  <si>
    <t>ELEMENTO FILT AI DONALDSON P199369016140</t>
  </si>
  <si>
    <t>SEGURO PL 1020 N° 06010900000M0001/1</t>
  </si>
  <si>
    <t>CHAVETA PL 1020 N° CG46626100/18</t>
  </si>
  <si>
    <t>BOCINA PL 1020 N° CG46626100/6</t>
  </si>
  <si>
    <t>VALV. DIRECCIONAL 4WE 10 J33 R901483525</t>
  </si>
  <si>
    <t>MANGUERA HIDRAULICA ARMADA 1/2" X 1.70 M</t>
  </si>
  <si>
    <t>VALVULA CHECK HID.PILOTADA Z2S10</t>
  </si>
  <si>
    <t>CILINDRO LAM 360X650MM ACERO RAPIDO</t>
  </si>
  <si>
    <t>CELDA PL 1020 Nº SP05010801000M4002</t>
  </si>
  <si>
    <t>PLACA LATERAL DERECHA RE-35</t>
  </si>
  <si>
    <t>PLACA LATERAL IZQUIERDA RE-35</t>
  </si>
  <si>
    <t>MATRIZ LOMA MP152 -PTUB 107</t>
  </si>
  <si>
    <t>SUFRID.LOMA MP152 Ø7/8 -Ø23.5 Esp4.0-6.4</t>
  </si>
  <si>
    <t>SUFRID.VALLE MP152 Ø7/8-Ø23.5 Esp4.0-6.4</t>
  </si>
  <si>
    <t>TRANCEIVER 1783-SFP1GLX</t>
  </si>
  <si>
    <t>PERNO LATERAL PARA CHAPA DE CASTILLOT450</t>
  </si>
  <si>
    <t>RODAMIENTO 24128 CC/W33</t>
  </si>
  <si>
    <t>CONECTOR MACHO 8MM O.DX1/4" NPT INOX NGR</t>
  </si>
  <si>
    <t>PLACA SEGURO RTO-1B</t>
  </si>
  <si>
    <t>PLACA SEGURO RTO-0B</t>
  </si>
  <si>
    <t>RETURN FLOW M3 IMPEDER 28X230MM</t>
  </si>
  <si>
    <t>RETURN FLOW M3 IMPEDER 31X230MM</t>
  </si>
  <si>
    <t>CPU 6ES7215-1BG40-0XB0 PLC 1215</t>
  </si>
  <si>
    <t>CAÑA DE OXICORTE LARGA SERIE 2650FC</t>
  </si>
  <si>
    <t>MATRIZ DE CORTE VALLE PLANO</t>
  </si>
  <si>
    <t>CASQUILLO - EJE SIN FIN REDUCTOR S/PL.</t>
  </si>
  <si>
    <t>CUCHILLA CIZALLA 30 TN - LARGA</t>
  </si>
  <si>
    <t>BOBINA INDUC. SAET RED 1/2" ISO-32mm</t>
  </si>
  <si>
    <t>MODULO E/S DIGITAL S7-1200 6ES7 223-1PL3</t>
  </si>
  <si>
    <t>PERNO CAB CIL T/ALL 20X80 MM NC CL.12.9</t>
  </si>
  <si>
    <t>PERNO CAB. AVELL. T/ALLEN 16 X 40 MM G10</t>
  </si>
  <si>
    <t>PERNO CAB CIL T/ALL 24 X 180MM AC. 4140</t>
  </si>
  <si>
    <t>CARTUCHO DE FILTRO COD VESUVIUS 9C69669</t>
  </si>
  <si>
    <t>BOB INDUC. TH. BANDED RED 3" MEC- 90 mm</t>
  </si>
  <si>
    <t>BOBINA INDUC. SAET RED 1"MEC-35mm</t>
  </si>
  <si>
    <t>CILINDRO LAM 331X580MM FUNDICION 75/80</t>
  </si>
  <si>
    <t>PERNO CAB. CIL. T/ALLEN 24X110MM G.12.9</t>
  </si>
  <si>
    <t>PERNO CAB. CIL. T/ALLEN 24X80MM G.12.9</t>
  </si>
  <si>
    <t>BASE PLACA METALICA S/PL REV 1</t>
  </si>
  <si>
    <t>MATERIAL ESTANDAR DE REFERENCIA 1764A</t>
  </si>
  <si>
    <t>FILTRO HIDR. BOSCH REXROTH R928006863</t>
  </si>
  <si>
    <t>RETURN FLOW M3 IMPEDER 18X230MM</t>
  </si>
  <si>
    <t>FILTRO VENTILACION REXROTH R928016626</t>
  </si>
  <si>
    <t>FILTRO HIDRAULICO LINDE 000 983 06 34</t>
  </si>
  <si>
    <t>ACEITE HIDRAULICO MOBIL SHC 526 MATPEL</t>
  </si>
  <si>
    <t>CADENA DENTADA PHC-100-1STX6PTSPX5MTR</t>
  </si>
  <si>
    <t>CAJA RODAMIENTO BIPARTIDO MOD. SNG532U</t>
  </si>
  <si>
    <t>LUMINARIA PHILIPS BRP491 LED142/NW 100W</t>
  </si>
  <si>
    <t>PLAQUITA CERAMICA REDONDA 1/2" DORADA</t>
  </si>
  <si>
    <t>PLAQUITA CERAMICA CUADRADA 1/2" DORADA</t>
  </si>
  <si>
    <t>PLACA GUIA VERTICAL PL. AC-M-CV-3555</t>
  </si>
  <si>
    <t>VALVULA HIDR. DIRECCIONAL 2 VIAS NPT 3/4</t>
  </si>
  <si>
    <t>IMPEDER THROUGH FLOW 37X230MM OD SIN RET</t>
  </si>
  <si>
    <t>RODILLO Y EJE DE ENTRADA MESA 1 ENSAMBLA</t>
  </si>
  <si>
    <t>RETEN VL250 PARA CARTUCHOS DE CAJAS PORT</t>
  </si>
  <si>
    <t>SOPORTE DE PIE SY 55 TF/VA228</t>
  </si>
  <si>
    <t>CAMISA DRILL MANG LARGA AZUL TALLA XXXL</t>
  </si>
  <si>
    <t>CAMISA DRILL MANG LARGA NARANJA T: M-M</t>
  </si>
  <si>
    <t>RETURN FLOW M3 IMPEDER 57X430MM T4</t>
  </si>
  <si>
    <t>ELEMENTO FILTRO DE ACEITE PARKER 937398Q</t>
  </si>
  <si>
    <t>PLACA DE RESORTE, S/PLANO</t>
  </si>
  <si>
    <t>RESORTE DE COMPRESION, S/PLANO</t>
  </si>
  <si>
    <t>EJE REGULADOR SIST.AMORTIGUACION DE EJES</t>
  </si>
  <si>
    <t>TAPA PARA RODILLO DE SALIDA MESA ENFRI#1</t>
  </si>
  <si>
    <t>DISCO DESBASTE 3M 982CX PRO 4 1/2" X 7/8</t>
  </si>
  <si>
    <t>MODULO FLEX 5000 32 ENTRADAS DIGITALES D</t>
  </si>
  <si>
    <t>MODULO FLEX 5000 BASE PARA MONTAJE</t>
  </si>
  <si>
    <t>MODULO DE 8 SALIDAS DIGITALES TIPO RELE</t>
  </si>
  <si>
    <t>MODULO DE ENTRADAS ANALOGICAS 1756-IF8IH</t>
  </si>
  <si>
    <t>SWITCH STRATIX 5200 / 1783- CMS20DN</t>
  </si>
  <si>
    <t>SIMATIC HMI MTP1000 - UNIFIED COMFORT</t>
  </si>
  <si>
    <t>HAN C MODULE, CRIMP FEMALE</t>
  </si>
  <si>
    <t>ELEMENTO DE FILTRO DE RETORNO HYDAC 0330</t>
  </si>
  <si>
    <t>DISCO DE CORTE HSS 450X50X2.5 MM. Z=236</t>
  </si>
  <si>
    <t>MODULO DE SALIDAS ANALOGICAS SM 1232 4AO</t>
  </si>
  <si>
    <t>MODULO DE COMUNICACION RS485 BOARD</t>
  </si>
  <si>
    <t>MODULO DE COMUNICACION CM 1243-5</t>
  </si>
  <si>
    <t>DUCTO REFRIGERADO TIPO "A" SIST. D (160)</t>
  </si>
  <si>
    <t>CAMISETA LATERAL ROD. ENTRADA MESA 1</t>
  </si>
  <si>
    <t>CAMISETA CENTRAL ROD. ENTRADA MESA 1</t>
  </si>
  <si>
    <t>BOTONERA COLGABOTONERA COLGANTE XACA4813</t>
  </si>
  <si>
    <t>MATERIAL ESTANDAR DE REFERENCIA 1762B</t>
  </si>
  <si>
    <t>TERMORRESISTENCIA PT100 3H A316 4.5MM</t>
  </si>
  <si>
    <t>RESPIRADOR PARTICULAS 3M AURA 9205+, N95</t>
  </si>
  <si>
    <t>CONECTOR PROFIBUS 6ES7972-0BA41-0XA0</t>
  </si>
  <si>
    <t>PERNO CAB CIL T/ALL 10X50 MM NC CL12.9</t>
  </si>
  <si>
    <t>ROTULA GE 40 ES-2RS</t>
  </si>
  <si>
    <t>EMPAQUETADURA (KIT) RG2AHL0205. VAST</t>
  </si>
  <si>
    <t>VALVULA CHECK PILOTADA DGMPC5-ABK-BAK-30</t>
  </si>
  <si>
    <t>VALVULA CHECK PILOTADA DGMPC3 ABK BAK 41</t>
  </si>
  <si>
    <t>ABRAZADERA PL.TAGLIAFERRI 6BPE-78269</t>
  </si>
  <si>
    <t>BOB INDUC.THERMATOOL RED 5/8" MEC-24.4mm</t>
  </si>
  <si>
    <t>BOTON PULSADOR C/SENALIZACION 800TPB16G</t>
  </si>
  <si>
    <t>CABLE FLEX 5/8" AC 6X36 T/DER CASCAB 85M</t>
  </si>
  <si>
    <t>CABLE FLEX 7/8" AC 6X37 T/DER. 81 METROS</t>
  </si>
  <si>
    <t>CONDUCTOR FLEX 3 X 8 AWG + TIERRA 600V</t>
  </si>
  <si>
    <t>CONDUCTOR FLEX 1X16AWG (1.309)300VAC GPT</t>
  </si>
  <si>
    <t>CONDUCTOR FLEX 3X14AWG 2.081MM2 600V NLT</t>
  </si>
  <si>
    <t>CHOMPA DRALON AZUL MAR M/L C/CUEL T:"XL</t>
  </si>
  <si>
    <t>CELDA CARGA 50KLB P/N 9058-50K-0045</t>
  </si>
  <si>
    <t>CILINDRO LAM-580x700MM-ACER0-46/51DANIEL</t>
  </si>
  <si>
    <t>FAJA TRANSM "V" ACANALADA T:5VX1060 SKF</t>
  </si>
  <si>
    <t>COLA MILANO ES-1 LL1T300GUI01M7030 REV03</t>
  </si>
  <si>
    <t>BOCINA 135X168X110MM PL.MMLL-806A</t>
  </si>
  <si>
    <t>PORTA GUIA ES-1 LL1-T300GUI01M7028 REV.3</t>
  </si>
  <si>
    <t>PORTA GUIA ES-2 LL1T300GUI01M7025 REV3</t>
  </si>
  <si>
    <t>BOQUILLA TOR 90° 40X14X110 FOR EXT CUAD</t>
  </si>
  <si>
    <t>BOQUILLA OXIGENO PL. AC-M-3506 POS. 1</t>
  </si>
  <si>
    <t>CILINDRO LAM 527x1500MM NODULAR P-58/63</t>
  </si>
  <si>
    <t>CAPUCHONES DE PROTECCION 20MMX21MMX48MM</t>
  </si>
  <si>
    <t>SOLDADURA ALAMBRE 1.2 MM Cu ELEC  99%</t>
  </si>
  <si>
    <t>PLACA GUIA MASTIL 27X28X600MM PL ACM2889</t>
  </si>
  <si>
    <t>ELEMENTO DE FILTRO DE BOLSA GASES HO</t>
  </si>
  <si>
    <t>MANGUERA HID 1/2" X 1.40M SAE 100R12</t>
  </si>
  <si>
    <t>MANGUERA HID 3/4 PGX1.40M SAE 100R12</t>
  </si>
  <si>
    <t>MANGUERA ARMADA 1/4"X0.80M SAE 100R1AT</t>
  </si>
  <si>
    <t>MANGUERA ARM 1 1/4"X2M ACOPLES TIPO C</t>
  </si>
  <si>
    <t>MANGUERA HID 1 1/2"X3.80M SAE 100R12AT</t>
  </si>
  <si>
    <t>MANOMETRO 0 - 10000 PSI 1/4"NPT 0-60</t>
  </si>
  <si>
    <t>RESORTE DE COMPRESION 147  X 267 MM</t>
  </si>
  <si>
    <t>RESORTE DE COMPRESION 86  X 263 MM</t>
  </si>
  <si>
    <t>SEMIGUIA RE-55SP 45X18</t>
  </si>
  <si>
    <t>SEMIGUIA RTO-0B 34X13</t>
  </si>
  <si>
    <t>MORDAZA DE CONTACTO P/PINZA PORTA EL</t>
  </si>
  <si>
    <t>PANEL REFRIGERADO N° 3</t>
  </si>
  <si>
    <t>BOQUILLA TOR 100X35X200 FOR EXT REDONDO</t>
  </si>
  <si>
    <t>KIT DE SELLO PARA PISTON NEUMATICO M</t>
  </si>
  <si>
    <t>BOQUILLA TOR 90° 100X30X200 FOR EXT CUAD</t>
  </si>
  <si>
    <t>NIPLE DE 3/4 X 3 PG. FE.GALVANIZADO</t>
  </si>
  <si>
    <t>TORNILLO DE RETENCION 1.3/4 X 5.1/2</t>
  </si>
  <si>
    <t>PERNO CAB CIL T/ALL 8X35MM NC SAE 1020</t>
  </si>
  <si>
    <t>PERNO CAB HEX 1/4 X 1 " NC SAE 1020</t>
  </si>
  <si>
    <t>PERNO CAB CIL T/ALL 18X60 MM NC CL 12.9</t>
  </si>
  <si>
    <t>PLANCHA AISLANTE P/ABRAZADERA DE SUJ</t>
  </si>
  <si>
    <t>RODAMIENTO BT4-0049 E81/C510</t>
  </si>
  <si>
    <t>BLOQUE ENFRIA.P/LANZ PL.T6LOB-63555-01-C</t>
  </si>
  <si>
    <t>TUERCA DE RETENCION PARA BOQUILLA MA</t>
  </si>
  <si>
    <t>SET COMPLETO SELLOS CILINDRO P/N97045921</t>
  </si>
  <si>
    <t>RETEN 4 X 5 X 0.438 PG</t>
  </si>
  <si>
    <t>RETEN 2.063 X 3 X 0.375 PG, CRWA1 20596</t>
  </si>
  <si>
    <t>RETEN 2.1/8 X 3.1/2 X 3/8 PG</t>
  </si>
  <si>
    <t>RETEN 55 X 80 X 10 MM</t>
  </si>
  <si>
    <t>RODAMIENTO 6208 2RS1</t>
  </si>
  <si>
    <t>RODAMIENTO 6206 2RS1</t>
  </si>
  <si>
    <t>RODAMIENTO 22217 EK</t>
  </si>
  <si>
    <t>SENSOR INDUC PROX PEPPERL NBB15U1Z2</t>
  </si>
  <si>
    <t>REFLECT CONTEMPO LED BVP381 LED102/CW</t>
  </si>
  <si>
    <t>TERMINAL AJUS 6 AWG(16 MM2) OJAL 5/1</t>
  </si>
  <si>
    <t>ARANDELA PLANA FASTENAL 40264 FOSFATADO</t>
  </si>
  <si>
    <t>ARANDELA PRESION 22 MM, ACERO</t>
  </si>
  <si>
    <t>ARANDELA PLANA 18 MM, ACERO SAE-1020</t>
  </si>
  <si>
    <t>ARANDELA MB 13</t>
  </si>
  <si>
    <t>FAJA DE TRANSMISION EN "V" B-71</t>
  </si>
  <si>
    <t>CADENA RODILLO 1/2" DBL HIL. RS 40-2C/W</t>
  </si>
  <si>
    <t>PERNO OJO CANCAMO M16X2X27MM 0.8TN F.G.</t>
  </si>
  <si>
    <t>DISCO ABRASIVO 9" x 7/8" X 1/4" DESBASTE</t>
  </si>
  <si>
    <t>DISYUNTOR 2P, 20.0 A, 250 V, ICC:25.0 KA</t>
  </si>
  <si>
    <t>PERNO 36X225 PL.NP-TH-0008 P.15 SAE1045</t>
  </si>
  <si>
    <t>PERNO CAB HEX C.T. 10 X 70MM NC SAE 1020</t>
  </si>
  <si>
    <t>PERNO CAB HEX C.T. 10 X 60MM NC SAE 1020</t>
  </si>
  <si>
    <t>PERNO CAB CIL T/ALL 12X25 MM NC CL 12.9</t>
  </si>
  <si>
    <t>PERNO CAB HEX C.T. 8 X 80MM NC SAE 1020</t>
  </si>
  <si>
    <t>PERNO CAB HEX C.T. 20 X120MM NC SAE 1020</t>
  </si>
  <si>
    <t>CERAMICA RNGN 09 03 00 TO1020-650 T-MAX</t>
  </si>
  <si>
    <t>TERMINAL AJUS 8 AWG OJAL: 5/16" CU E</t>
  </si>
  <si>
    <t>UNION 1/2 " NPT FE GALV.</t>
  </si>
  <si>
    <t>CADENA SILENCIOSA PASO 1/2" MODELO HV408</t>
  </si>
  <si>
    <t>PANEL REFRIGERADO TIPO A - TECHO C. COMB</t>
  </si>
  <si>
    <t>CILINDRO LAMINADOR 342X780MM FE NODULAR</t>
  </si>
  <si>
    <t>SEMIGUIA ES-1 LL1-T300-GUI01M7029 REV.04</t>
  </si>
  <si>
    <t>SEMIGUIA RE-55SP 45X14.5</t>
  </si>
  <si>
    <t>SEMIGUIA RE-35SP 29X15</t>
  </si>
  <si>
    <t>CODO UNION MACHO HEMBRA 3/8” INOX</t>
  </si>
  <si>
    <t>CINTA AISL 3/4"X20M C/ADH T:2520 CAMBRIC</t>
  </si>
  <si>
    <t>CABLE FLEX 30MMX52MT AC P/GRU P/N 131269</t>
  </si>
  <si>
    <t>CABLE FLEX 30MMX52MT AC P/GRU P/N 131270</t>
  </si>
  <si>
    <t>FUSIBLE CILINDRICO DE VIDRIO 2A 125V</t>
  </si>
  <si>
    <t>PERNO M12/8.5X28.5MM PL .TAHE10101 POS.3</t>
  </si>
  <si>
    <t>MANGUERA HID 1 1/4"X1.50M SAE 100R2AT</t>
  </si>
  <si>
    <t>ANILLO LABERINTO CHUMACERA PL LLST3H001</t>
  </si>
  <si>
    <t>BROCAS 1.5 A 20 MM, ACERO RAPIDO HSS</t>
  </si>
  <si>
    <t>PERNO CAB HEX C.T. 27X150MM NC G-8.8</t>
  </si>
  <si>
    <t>SELECTOR SW3 POS MAINTAINED 600 V 10</t>
  </si>
  <si>
    <t>MANGUERA 3/4 PG DE JEBE 2 LONAS PARA</t>
  </si>
  <si>
    <t>CHOMPA DRALON AZUL MAR M/L C/CUELL T:XXL</t>
  </si>
  <si>
    <t>CABLE COMPENSADO 4 X 16 AWG CON FORRO</t>
  </si>
  <si>
    <t>CONTACTO P/CONTAC CMPTO 3TC-48170AM4</t>
  </si>
  <si>
    <t>CONECTOR ELECTRICO 2P + T, 12-240 VAC</t>
  </si>
  <si>
    <t>NIPLE 2"  X 3" DE ACERO SCHEDULE 40</t>
  </si>
  <si>
    <t>BLOCK RETRACT 3.7M CABLE GALV 6320300ACA</t>
  </si>
  <si>
    <t>ACOPLE RAPIDO ADAPTADOR MACHO 4" - HE</t>
  </si>
  <si>
    <t>CAJA SUMADORA P/CELDA DE CARGA PART.</t>
  </si>
  <si>
    <t>ANILLO ESPACIADOR DE RODAMIENTO 1 220</t>
  </si>
  <si>
    <t>SEMIGUIA RE-55SP 36X13</t>
  </si>
  <si>
    <t>DISCO AISLANTE SUPERIOR DE 25 X 200 X</t>
  </si>
  <si>
    <t>CILINDRO AISLANTE DE 135 X 200 X 171</t>
  </si>
  <si>
    <t>CILINDRO AISLANTE INTERNO DE 218 X 74</t>
  </si>
  <si>
    <t>DISCO AISLANTE INFERIOR 200 X 45 X 56</t>
  </si>
  <si>
    <t>INJECTOR REF DROPSA 3083493</t>
  </si>
  <si>
    <t>RODAMIENTO ESPECIAL DSTR4178 - DISTITEC</t>
  </si>
  <si>
    <t>SERVO MOTOR REF BAUMULLER DS71M</t>
  </si>
  <si>
    <t>JUNTA GIRATORIA TURIAN GR40FRH</t>
  </si>
  <si>
    <t>JUNTA GIRATORIA TURIAN GR40FLH</t>
  </si>
  <si>
    <t>RODAMIENTO TIMKEN TS3389033821</t>
  </si>
  <si>
    <t>RODAMIENTO CONO 9285/CL7C/9220 SKF</t>
  </si>
  <si>
    <t>BROCA CILINDRICA HSS 4,0MM.</t>
  </si>
  <si>
    <t>RODAMIENTO 30206 J2/Q (GEN)</t>
  </si>
  <si>
    <t>RODAMIENTO SKF 6217C3</t>
  </si>
  <si>
    <t>CUNÃ REF SKF TMAS100050 100X100X0,50MM</t>
  </si>
  <si>
    <t>BOQUILLA Ø30mm ES-2</t>
  </si>
  <si>
    <t>ELECTR MODULE, ALLEN-BRADLEY 1756-IF8</t>
  </si>
  <si>
    <t>ELEMENTO FILTRO  ACEITE 01E95010VG10SP</t>
  </si>
  <si>
    <t>RODAMIENTO TINKEM HM237545-HM237510</t>
  </si>
  <si>
    <t>CHAVETA PL CORE CG46645100/C</t>
  </si>
  <si>
    <t>ANILLO PL CORE CG46645100/D</t>
  </si>
  <si>
    <t>PERNO PL CORE CG46645100/B</t>
  </si>
  <si>
    <t>SIMATIC HMI TP700 COMFORT</t>
  </si>
  <si>
    <t>COMBINADOR SPOBU VNSO22AKEARUGN8T</t>
  </si>
  <si>
    <t>TARJETA ELETR ABB 3AUA0000017489</t>
  </si>
  <si>
    <t>MANOMETRO 4" POWERTEAM 9052</t>
  </si>
  <si>
    <t>BOMBA HIDRAUL ENGRANAJES P3C3125C5B26A</t>
  </si>
  <si>
    <t>JUEGO CONTATO CUTLER HAMMER 61893</t>
  </si>
  <si>
    <t>RODILLO REF MEP MACCHINE C4C1752</t>
  </si>
  <si>
    <t>RODILLO REF MEP MACCHINE C4C1754</t>
  </si>
  <si>
    <t>RODILLO REF MEP MACCHINE C4C1994</t>
  </si>
  <si>
    <t>RODILLO REF MEP MACCHINE C4C2011</t>
  </si>
  <si>
    <t>RESORTE PL 1020 N° LLTMEC061/1</t>
  </si>
  <si>
    <t>UNIDAD CONSERV PARKER P3NCA98SGANGLNB</t>
  </si>
  <si>
    <t>EMPAQUETADURA JEBE PL 1020 N° ACM1118/5</t>
  </si>
  <si>
    <t>RODAMIENTO SKF 32007J2Q</t>
  </si>
  <si>
    <t>SIEMENS SALIDA 6ES7322-1BH01-0AA0</t>
  </si>
  <si>
    <t>RODILLO REF MEP MACCHINE C4C2402</t>
  </si>
  <si>
    <t>GUIA INF CUCH CIZALLA PL Nº LLTMEC046/2</t>
  </si>
  <si>
    <t>ELEMENTO FILTRO AIRE TRID 230TRIPLEAT40</t>
  </si>
  <si>
    <t>ELEMENTO FILTRO ACEITE INT 01E9010VG30EP</t>
  </si>
  <si>
    <t>COLA MILANO PL 1020 Nº RE35SP</t>
  </si>
  <si>
    <t>DESENGRASANTE CHEM TOOLS RPW49F1090 MATP</t>
  </si>
  <si>
    <t>SPRAY NOZZLE 48668430AF6065L MATPEL</t>
  </si>
  <si>
    <t>DESGRAS SP MATPEL</t>
  </si>
  <si>
    <t>ETIQUETA 3/8' 150X120MM 1AGUJERO</t>
  </si>
  <si>
    <t>GRASA CHESTERTON 635SXC MATPEL</t>
  </si>
  <si>
    <t>BOBINA INDUC. SAET RED 1.7/8" MEC-60mm</t>
  </si>
  <si>
    <t>ESCOBILLA CARBON PL 1020 2130556712/1.1</t>
  </si>
  <si>
    <t>ELEMENTO FILTRO AIR GEG IND PN200HHSYN48</t>
  </si>
  <si>
    <t>MANGUERA ARMADA PARKER 3026 1/2" 1,8M</t>
  </si>
  <si>
    <t>ANILLO O 75X3MM BUNA N 70 SHORE A.</t>
  </si>
  <si>
    <t>ANILLO O 82X3MM BUNA N 70 SHORE A</t>
  </si>
  <si>
    <t>ANILLO O 84X3MM BUNAN 70SHORE A</t>
  </si>
  <si>
    <t>MODULO ELECTRON ALLEN BRADLEY 1756EN2TR</t>
  </si>
  <si>
    <t>TAPA RECTANGULAR REFR. EBT SECCION AA</t>
  </si>
  <si>
    <t>GAVETA EBT PL 1020 N° 6EBT79099/2</t>
  </si>
  <si>
    <t>BOQUILLA CORTE TRICONICO N°10 TORCH 275</t>
  </si>
  <si>
    <t>SEGURO CUCHILLA INFERIOR PL ACMCV3676</t>
  </si>
  <si>
    <t>DOSER SKF LL/DCM-256</t>
  </si>
  <si>
    <t>BLOQUE SKF VGAC DCM50-ROS12</t>
  </si>
  <si>
    <t>MATRIZ CORT CHINO ALCANT/MP-68  PTUB1383</t>
  </si>
  <si>
    <t>MATRIZ CORT RED/ALTO ALC/MP-68  PTUB1385</t>
  </si>
  <si>
    <t>ELEMENTO FILTRO AIRE DONALDSON AD3146215</t>
  </si>
  <si>
    <t>BOBINA ELECTRICA FESTO VACNH1A11</t>
  </si>
  <si>
    <t>TARJETA ELECTRON ABB RINT5514C 68601649</t>
  </si>
  <si>
    <t>DISOLVENTE BIOSOLVENT-1000 55GLN MATPEL</t>
  </si>
  <si>
    <t>ELEMENTO FILTRO ACEITE SIZE 6X18-3M BETA</t>
  </si>
  <si>
    <t>CADENA DE TRANSMISION PHC 100-1 X 5 MTR</t>
  </si>
  <si>
    <t>BOQUILLA TOR 60° 100X45X250 FOR EXT CUAD</t>
  </si>
  <si>
    <t>BOQUILLA TOR 90° 85X30X200 FOR EXT CUAD</t>
  </si>
  <si>
    <t>GUANTE CUERO CROMADO TIPO A" TALA "L"</t>
  </si>
  <si>
    <t>ELEMENTO FILTRANTE 3 µm 01E.90.3VG.HR.EP</t>
  </si>
  <si>
    <t>BUJE PL 1020 NR 62846M412/9</t>
  </si>
  <si>
    <t>SUFRID. LOMA MP152 Ø7/8 -Ø23 Esp.2.0-3.5</t>
  </si>
  <si>
    <t>SET DE ELECTRODOS R1",Z.514-2108 ESPECIA</t>
  </si>
  <si>
    <t>PERNO CABE AVELL T/ALLEN 5/8" X 3"PG NC</t>
  </si>
  <si>
    <t>MATRIZ CORTANTE REDONDA CHATA ALC/MP-68</t>
  </si>
  <si>
    <t>JG PASTILLA ELECTROFRENO PART 94750160 S</t>
  </si>
  <si>
    <t>VALVULA DE AGUJA 1/2" NPT 6000 PSI</t>
  </si>
  <si>
    <t>CINTA RESINA HL35 110MM X 300MTS (OUT)</t>
  </si>
  <si>
    <t>PDDULO DIODO SEMIKRON SKKH 107/16E TIRIS</t>
  </si>
  <si>
    <t>TUERCA HEXAGONAL 14 MM.NC ACERO G-8.8</t>
  </si>
  <si>
    <t>CUÑA SUPERIOR CAJA 1 Y CAJA 2 TREN 450</t>
  </si>
  <si>
    <t>CODO 90GR OD TUBO 8MM X1/4" NPT MACHO IN</t>
  </si>
  <si>
    <t>SEMIGUIA RE-35SP 24X12</t>
  </si>
  <si>
    <t>RETURN FLOW M3 IMPEDER 25X230MM</t>
  </si>
  <si>
    <t>RETURN FLOW M3 IMPEDER 42X230MM</t>
  </si>
  <si>
    <t>HUSILLO DE REGULACION TREN 500</t>
  </si>
  <si>
    <t>CABLE ACERO DN 3/4 TIPO CASCABEL LONG. 2</t>
  </si>
  <si>
    <t>INTERRUPTOR-SECCIONADOR FSW160-3 WEG</t>
  </si>
  <si>
    <t>CABLE PLANOFLEX REF.5DG5665 PRYSMIAN</t>
  </si>
  <si>
    <t>METALLISATION 6847/2 - 2.0MM CONTACT TUB</t>
  </si>
  <si>
    <t>MANGUERA JEBE Y LONA 2 1/2" CON BRIDAS</t>
  </si>
  <si>
    <t>MANGUERA METALICA 2 1/2" X 1500 MM</t>
  </si>
  <si>
    <t>BASE PLUG ENCHUFE CAPR 16.21 ILME</t>
  </si>
  <si>
    <t>SENSOR PROX IND PEPPERL FUCHS NBN40U1Z2</t>
  </si>
  <si>
    <t>BOBINA INDUC. SAET RED 3/4" ISO-38mm</t>
  </si>
  <si>
    <t>ESPARRAGO M16X72MM C/TUERCA M16X1" UNF-</t>
  </si>
  <si>
    <t>MASCARILLA DESCARTABLE ENDOMEDIC CJX50UN</t>
  </si>
  <si>
    <t>JG. AISLADOR S/PLANO POS. 8</t>
  </si>
  <si>
    <t>PLANCHA TOPE S/PLANO POS. 5</t>
  </si>
  <si>
    <t>PERNO CAB HEX C.T. M20 X 120 MM CL 8.8</t>
  </si>
  <si>
    <t>PERNO CAB HEX C.T. M20 X 150 MM CL 8.8</t>
  </si>
  <si>
    <t>PROGRAMADOR DIGITAL MOD V.7.4PTCZ SANTEC</t>
  </si>
  <si>
    <t>SENSOR LASSER DIMETIX CON INTERFAZ ETHER</t>
  </si>
  <si>
    <t>POLIN GIRAOVALO DIAM. 206X220 VCN 4340</t>
  </si>
  <si>
    <t>BARRA DE POLIURETANO 30 X 42CM LONG</t>
  </si>
  <si>
    <t>VALVULA HID. PROPORCIONAL R901011230</t>
  </si>
  <si>
    <t>BOB INDUC. TH. BANDED RED 1/2" LAC-32mm</t>
  </si>
  <si>
    <t>BOB INDUC. TH.BANDED RED 1.1/2"MEC-51mm</t>
  </si>
  <si>
    <t>ALCOHOL ETILICO 70-75% (50LITRO) MATPEL</t>
  </si>
  <si>
    <t>CABLE REFRIGERADO AC40 - ARC.ITEC</t>
  </si>
  <si>
    <t>PERNO CAB. CIL. T/ALLEN 24X150MM G.12.9</t>
  </si>
  <si>
    <t>SENSOR PROXIMIDAD INDUCT XS8C4A1MPG13</t>
  </si>
  <si>
    <t>PLACA BASE FIN CURSO AISLANTE S/PL REV 1</t>
  </si>
  <si>
    <t>ESPARRAGO S/PL REV 1</t>
  </si>
  <si>
    <t>MANGUERA ARMADA SAE 100R12 1/2" X 65CM</t>
  </si>
  <si>
    <t>CAMISETA DIAM 158X74.3MM-ROD. CANALON</t>
  </si>
  <si>
    <t>CRUCETA DANIELI 3- N.109802.A</t>
  </si>
  <si>
    <t>ANTENA ANT795-6MN, IWLAN SIEMENS</t>
  </si>
  <si>
    <t>PUNZON GUARDAVIAS - P600</t>
  </si>
  <si>
    <t>SUFRIDERA GUARDAVIAS - P600</t>
  </si>
  <si>
    <t>ANTICORROSIVO FERROWAX MATPEL</t>
  </si>
  <si>
    <t>IMPEDER THROUGH FLOW 13X230MM OD SIN RET</t>
  </si>
  <si>
    <t>IMPEDER THROUGH FLOW 15X230MM OD SIN RET</t>
  </si>
  <si>
    <t>IMPEDER THROUGH FLOW 20X230MM OD SIN RET</t>
  </si>
  <si>
    <t>IMPEDER THROUGH FLOW 22X230MM OD SIN RET</t>
  </si>
  <si>
    <t>IMPEDER THROUGH FLOW 24X230MM OD SIN RET</t>
  </si>
  <si>
    <t>IMPEDER THROUGH FLOW 25X230MM OD SIN RET</t>
  </si>
  <si>
    <t>TACO DE MADERA PARA EJES FLOTANTES T-450</t>
  </si>
  <si>
    <t>CAMISA DRILL MANG LARGA AZUL TALLA XS-M</t>
  </si>
  <si>
    <t>CAMISA DRILL MANG LARGA AZUL TALLA M-M</t>
  </si>
  <si>
    <t>PLACA DESGASTE BRONCE DANIELI 3-9</t>
  </si>
  <si>
    <t>CHOMPA DRALON AZUL MARM/L C/CUELL T:XS</t>
  </si>
  <si>
    <t>ACEITE PARA TRAFO NYNAS SM001 NYTROLIBRA</t>
  </si>
  <si>
    <t>TRANSDUCTOR DE CORRIENTE RMCA61BD</t>
  </si>
  <si>
    <t>BOBINA INDUC. TH. BANDED 95.25- 120 MM</t>
  </si>
  <si>
    <t>BOBINA INDUC. TH. BANDED RED 127- 152 MM</t>
  </si>
  <si>
    <t>GRASA PREMALUBE #2 / NCH (15.9 KG)</t>
  </si>
  <si>
    <t>RETURN FLOW M3 IMPEDER 63X430MM T4</t>
  </si>
  <si>
    <t>RETURN FLOW M3 IMPEDER 76X430MM T4</t>
  </si>
  <si>
    <t>FILTRO PRENSA INFERIOR 1800x430x10MM</t>
  </si>
  <si>
    <t>BOTA COLAS DE 45GR CANAL-1 MESA DE ENFRI</t>
  </si>
  <si>
    <t>BOTA COLAS DE 90GR CANAL-2 MESA ENFRIAMI</t>
  </si>
  <si>
    <t>PISTON, S/PLANO</t>
  </si>
  <si>
    <t>PROTECTOR, S/PLANO</t>
  </si>
  <si>
    <t>RODAMIENTO RODILLOS CÓNICOS N° 33018</t>
  </si>
  <si>
    <t>RODAMIENTO RIGIDO DE BOLAS NGR 6212 RZ</t>
  </si>
  <si>
    <t>KIT DE SELLOS DE PISTON PK5002A005</t>
  </si>
  <si>
    <t>GLAND CARTRIDGE KIT RG2AHL0135</t>
  </si>
  <si>
    <t>EJE EXCENTRICO PARA RODILLOS DE GIRA OVA</t>
  </si>
  <si>
    <t>AMORTIGUADOR TSCHAN S085-020-VKR</t>
  </si>
  <si>
    <t>BASE PUNTA MINICARGADOR AC1-HOEL-HOE01-B</t>
  </si>
  <si>
    <t>CONEXION RAPIDA HANSEN MACHO 1/2"</t>
  </si>
  <si>
    <t>CONEXION RAPIDA HANSEN HEMBRA 1/2"</t>
  </si>
  <si>
    <t>CONEXION RAPIDA HANSEN MACHO 3/8"</t>
  </si>
  <si>
    <t>SET PERNOS PARA ACOPLAMIENTO FALK 1020G</t>
  </si>
  <si>
    <t>JET ECOPOXY 90 . 1 GL (DILUYENTE)</t>
  </si>
  <si>
    <t>CONVERTIDOR DE SEÑAL ESAM NI-DT2V10-24</t>
  </si>
  <si>
    <t>MODULO FLEX IO 1794-IE4XOE2XT</t>
  </si>
  <si>
    <t>RESPIRADOR DESECANTE MODELO DC-4</t>
  </si>
  <si>
    <t>PERNO AJUSTE VOLANTE PL.11-046 POS2</t>
  </si>
  <si>
    <t>MODULO FLEX 5000 16 ENTRADAS DIG 120 VAC</t>
  </si>
  <si>
    <t>BLOQUE TERMINAL PARA FLEX 5000</t>
  </si>
  <si>
    <t>PERNO CAB.HEX.C.T. 18 X 100 MM. NC CL 8.</t>
  </si>
  <si>
    <t>BLOQUE TERMINAL FLEX  CAT: 5094-RTB32V</t>
  </si>
  <si>
    <t>BLOQUE TERMINAL PARA FLEX 5000- RTB3AC</t>
  </si>
  <si>
    <t>CONDUCTOR UNIFILAR PART. 30812 BELDEN</t>
  </si>
  <si>
    <t>LINGOTERA CURVA 131 X 131 X 900 MM</t>
  </si>
  <si>
    <t>FLOCUANTE CHEMLOK 2040</t>
  </si>
  <si>
    <t>CARCASA EMP D7 PHOENIX CONTACT 1424635</t>
  </si>
  <si>
    <t>CARCASA AEREA D7 PHOENIX CONTACT 1424638</t>
  </si>
  <si>
    <t>FRENO ELECTROMECANICO  BE32A/200NM/460AC</t>
  </si>
  <si>
    <t>PERNO CAB HEX C.T. 18 X80 MM NC CL 8.8</t>
  </si>
  <si>
    <t>SIERRA CINTA M42-34-1.1-4/6 P/CORTES</t>
  </si>
  <si>
    <t>SN</t>
  </si>
  <si>
    <t>SPROCKET</t>
  </si>
  <si>
    <t>INSERTO D7 M PHOENIX CONTACT 1585210</t>
  </si>
  <si>
    <t>BUJE DE ESCUADRA MODIFICADA CANAL 1</t>
  </si>
  <si>
    <t>BOCINA DE ESCUADRA MOTRIZ CRHONIT T-500</t>
  </si>
  <si>
    <t>CABLE CLAMP M40, 22-32MM, BRASS, IP 68 B</t>
  </si>
  <si>
    <t>ACCES. SPECIAL CABLE CLAMP EMC M25</t>
  </si>
  <si>
    <t>HAN 10EMC/B-HTE-M40 (HT)</t>
  </si>
  <si>
    <t>MODULO HEMBRA HAN E</t>
  </si>
  <si>
    <t>CONTACTO CRIMP HEMBRA E 2,5 MM</t>
  </si>
  <si>
    <t>HAN HINGED FRAME PLUS, FOR 3 MODULES A-C</t>
  </si>
  <si>
    <t>CTO HEMBRA HSC CRIMP CABLE 6MM</t>
  </si>
  <si>
    <t>TO.PR.D.BAND ISO7045 A-M4X10-4.8-A2F</t>
  </si>
  <si>
    <t>CAPERUZA W4611 HANB-10B</t>
  </si>
  <si>
    <t>CONDUCT. AWG16X105-RD-CS+CS</t>
  </si>
  <si>
    <t>CARTER W4611 HANB-AG-10B-180-EMV</t>
  </si>
  <si>
    <t>INSERTO D.ESPIG DRN160-/DR180-225/AD.2</t>
  </si>
  <si>
    <t>INSERTO D.ESPIG DRN160-/DR180-225BE/AD.2</t>
  </si>
  <si>
    <t>CONO INSERTO DIAM.40X200(CANALETA HISECT</t>
  </si>
  <si>
    <t>CONO DIAM.70X200(CANALETA HISECTION MD52</t>
  </si>
  <si>
    <t>UBOL 5/8" CANALETA HISECTION MD5260</t>
  </si>
  <si>
    <t>PIN DE REGLA DE TRACCION - MESA 1</t>
  </si>
  <si>
    <t>SEGURO INFERIOR PARA HISECTION MD5260</t>
  </si>
  <si>
    <t>EJE Y MANGUITO CORTO ACANALADOS - T1/T2</t>
  </si>
  <si>
    <t>COMPACTLOGIX 5380 - 5069-L350ERMK</t>
  </si>
  <si>
    <t>RODAMIENTO 22232-E1-XL-K-C3 FAG</t>
  </si>
  <si>
    <t>MANGUERA HID ARMADA 100R2AT 1/2"X 6 M</t>
  </si>
  <si>
    <t>RODAMIENTO RIGIDO DE BOLAS 6032 M SKF</t>
  </si>
  <si>
    <t>SOLDAFIL AL12 AWS EL12/ 2.4 mm ESAB</t>
  </si>
  <si>
    <t>PUNTA PARA GUIA RT-1CS2 PROD.1/2"</t>
  </si>
  <si>
    <t>JET TAR EPOXY 780 PF - 1GL</t>
  </si>
  <si>
    <t>GRASA ALTA TEMPERATURA MAK LUBES ML 261.</t>
  </si>
  <si>
    <t>PINTURA JET 70MP GRIS NIEBLA 1680 - 1GL</t>
  </si>
  <si>
    <t>EJE POSTE RODILLO CORTO IZQUIERDO ERW76</t>
  </si>
  <si>
    <t>EJE POSTE RODILLO CORTO DERECHO ERW76</t>
  </si>
  <si>
    <t>BLOCK CTTO AUX 2NA+2NC 10A 380V LA1-DN22</t>
  </si>
  <si>
    <t>ACOPLE RAP HID PARKER H2-63 1/4"</t>
  </si>
  <si>
    <t>GRASERA 1/16" NPT 45°</t>
  </si>
  <si>
    <t>MODULO IGBT CM150DY-24A SEMIKRON</t>
  </si>
  <si>
    <t>MODULOS DE ENTRDA DIGITALES / APTOS PAR</t>
  </si>
  <si>
    <t>RODAMIENTO 6210</t>
  </si>
  <si>
    <t>RODAMIENTO 2206</t>
  </si>
  <si>
    <t>MODULO 6ES7322-1BL00-0AA0 32 DO 24 VCC</t>
  </si>
  <si>
    <t>SENSOR DE PROXIMIDAD PARTE # 4E0197  PO</t>
  </si>
  <si>
    <t>CINTA BAND IT 1/2 PG</t>
  </si>
  <si>
    <t>FT</t>
  </si>
  <si>
    <t>TUBO DE SOPORTE PARA LANZA 1200</t>
  </si>
  <si>
    <t>BOMBA DE PISTONES AXIALES A10VSO180</t>
  </si>
  <si>
    <t>ACOPLAMIENTO FLEX CHJP2 PL 19033 POS 1-2</t>
  </si>
  <si>
    <t>AMORTIGUADOR LOBULAR PL.NOPL-M-608 P.4</t>
  </si>
  <si>
    <t>AMORTIGUADOR PL.38309 P.C NEOPRENE</t>
  </si>
  <si>
    <t>ARANDELA PRESION 1/2 PG, ACERO</t>
  </si>
  <si>
    <t>BOBINA INDUC THERMATOOL TUBO 3/4" MEC</t>
  </si>
  <si>
    <t>BOB INDUC. TH RED.1"-CUA 3/4" MEC-36.6mm</t>
  </si>
  <si>
    <t>BOBINA INDUC. THER Ø 42.7-RED 1.1/4" MEC</t>
  </si>
  <si>
    <t>BOTON PULS. EMERGENC ACCION PULSAR/JALAR</t>
  </si>
  <si>
    <t>PANTALON JEAN 14 ONZAS TELA DENIM T:44</t>
  </si>
  <si>
    <t>CHOMPA DRALON AZUL MAR M/L C/CU T:"XXXL</t>
  </si>
  <si>
    <t>CELDA DE CARGA 100 LBS P/N N39188 - 59</t>
  </si>
  <si>
    <t>CELDA DE CARGA 30 TN P/N PR6221, 1 MV/V</t>
  </si>
  <si>
    <t>CONTACTOR CMPTO 3P 32 A 440V BOB:110 VAC</t>
  </si>
  <si>
    <t>FAJA DE TRANSMISION EN "V" B-61</t>
  </si>
  <si>
    <t>COLA MILANO ES-2 LL1-T300GUI01M7026 REV3</t>
  </si>
  <si>
    <t>PORTA CUCHILLA INFER S/P AC-M-CV-3754</t>
  </si>
  <si>
    <t>PLACA BASE 245X175X18 PL 060307M7010/P9</t>
  </si>
  <si>
    <t>PLACA BASE 245X175X20 PL 060307M7010/P10</t>
  </si>
  <si>
    <t>BOCINA 80.2X110X63MM PL. MMLL-833A P.1</t>
  </si>
  <si>
    <t>CASQUILLO CONICO REDUCTOR DUO T-330</t>
  </si>
  <si>
    <t>BOCINA PL.GLADWIN 11-020 P.8</t>
  </si>
  <si>
    <t>BOCINA 55.05/69.90 PL.GLADWIN 11-020 P.7</t>
  </si>
  <si>
    <t>TUBO CONDUCTOR 3 X 2.1/2 PG X 12 PIE</t>
  </si>
  <si>
    <t>DETECTOR RADIACIÓN GAMA RONAN DET-23930</t>
  </si>
  <si>
    <t>BOQUILLA TOR 100X45X50-FORMA.EXT.REDONDO</t>
  </si>
  <si>
    <t>BOQUILLA OXIGENO PL. AC-M-3506 POS. 2</t>
  </si>
  <si>
    <t>RUEDA CON PESTAÑA 3.3/4 X 5 X 6 X 2.</t>
  </si>
  <si>
    <t>EJE 49.975/55.880 PL. AC-M 3102</t>
  </si>
  <si>
    <t>SOLDADURA 3.25 MM (1/8 PG), E 310-16 MTP</t>
  </si>
  <si>
    <t>SOLDADURA 3.25MM (1/8 PG),E-900, DIN MTP</t>
  </si>
  <si>
    <t>SOLDADURA 3.25 MM (1/8 PG), E FE CR- MTP</t>
  </si>
  <si>
    <t>ADAPTADOR RAP P/MANG 2" M-H NPT BR-A</t>
  </si>
  <si>
    <t>ADAPTADOR RAP P/MAN 1 1/2" M-H NPT BR- A</t>
  </si>
  <si>
    <t>ACOPLE RAP 1 1/2"HEMB P/MANG C/ESP. BR-C</t>
  </si>
  <si>
    <t>FILTRO AIRE N°1630040799 REF2020 ZR-250</t>
  </si>
  <si>
    <t>GUIA SUPERIOR 45/50 X 145 MM CIZALLA</t>
  </si>
  <si>
    <t>INHIBIDOR DE CORROSION P/AGUA TIPO F MTP</t>
  </si>
  <si>
    <t>CODO P/AGUA REFR PL.TAGLIAFER 6VLT 77939</t>
  </si>
  <si>
    <t>GUANTE CUERO P/MANIOBRAS</t>
  </si>
  <si>
    <t>MANGUERA ARENADORA 1 1/2 PG 150 PSI</t>
  </si>
  <si>
    <t>MANGUERA HIDRAULICA 1.1/4 PG SAE 100R1AT</t>
  </si>
  <si>
    <t>MANGUERA HID 3/4PGX0.61M SAE 100R13</t>
  </si>
  <si>
    <t>MANGUERA DE JEBE Y LONA 6" X 4 METROS</t>
  </si>
  <si>
    <t>MANGUERA CORRUGADA 1 1/2"X1.50M</t>
  </si>
  <si>
    <t>MANGUERA ARM 1 1/2"X1.5M ACOPLES TIPO C</t>
  </si>
  <si>
    <t>MANGUERA HID 1 1/2"X1.40SAE 100R12AT</t>
  </si>
  <si>
    <t>MOTORREDUCTOR CARRO PORTA CUCHARA COCO3</t>
  </si>
  <si>
    <t>MOTOR NEUMATICO PISTON RADIAL 2.4HP</t>
  </si>
  <si>
    <t>PANEL REFRIGERADO N° 14 TUNEL DE LA</t>
  </si>
  <si>
    <t>BOQUILLA TOR 90° 100X35X200 FOR EXT CUAD</t>
  </si>
  <si>
    <t>KIT DE SELLOS TIPO COPA</t>
  </si>
  <si>
    <t>KIT DE SELLOS DE CILINDRO HIDRAULICO</t>
  </si>
  <si>
    <t>CUCHILLA PLANA DE 3 X 6 X 5/32</t>
  </si>
  <si>
    <t>PERNO CAB HEX C.T. 24 X 80MM NC CL8.8</t>
  </si>
  <si>
    <t>PERNO CAB HEX C.T. 20 X180MM NC SAE 1020</t>
  </si>
  <si>
    <t>PERNO CAB HEX C.T. 22 X 100 MM NC CL8.8</t>
  </si>
  <si>
    <t>PERNO CAB CIL T/ALL 8X50 MM NC CL 12.9</t>
  </si>
  <si>
    <t>PERNO CAB CIL T/ALL 16X120 MM NC CL 12.9</t>
  </si>
  <si>
    <t>ESPARRAGOS 5/8 X 3 1/2 ASTM A-193 GR</t>
  </si>
  <si>
    <t>PERNO CAB HEX 1/2"X2" DIN 933 GR 8.8</t>
  </si>
  <si>
    <t>PLAQUITA INTERCAMBIABLE 12 X 12 X 4</t>
  </si>
  <si>
    <t>ANILLO AISL PL.TENOV CG466-28-105 P.MK-P</t>
  </si>
  <si>
    <t>CONEXION TRAZ P/LANZA PL.T6LOB6590501D</t>
  </si>
  <si>
    <t>TUBO DN28 (KT CARBON WEAR) PL. T6LOB</t>
  </si>
  <si>
    <t>CONEXION TRAZ P/LANZ PL.T6LOB-65906-01-E</t>
  </si>
  <si>
    <t>EJE MOTOR PUXADOR P/N 20635050402 SCHNEL</t>
  </si>
  <si>
    <t>REDUCTOR EPICICOIDAL 54600020610 SCHNELL</t>
  </si>
  <si>
    <t>RETEN 80 X 110 X 12 MM, NEOPRENE</t>
  </si>
  <si>
    <t>RODAMIENTO 6210 Z</t>
  </si>
  <si>
    <t>RODAMIENTO 6208 2Z C3</t>
  </si>
  <si>
    <t>RODAMIENTO 6011</t>
  </si>
  <si>
    <t>RODAMIENTO 3206 A2RS1 TN9/MT 33</t>
  </si>
  <si>
    <t>RODAMIENTO 180X280X90 MM SKF 353162</t>
  </si>
  <si>
    <t>RODAMIENTO 22210 E</t>
  </si>
  <si>
    <t>RODAMIENTO 23028 CC/W33</t>
  </si>
  <si>
    <t>RODAMIENTO 22228 CC/C3W33</t>
  </si>
  <si>
    <t>BOLSA POLIETILENO TRANSPAR.16"X24"X3 MIC</t>
  </si>
  <si>
    <t>ZCT</t>
  </si>
  <si>
    <t>TOMACOR DOBLE 2P+T, 15 A, 125 VAC, C</t>
  </si>
  <si>
    <t>MANGUERA METALICA FLEX CORRUG 1"X800MM</t>
  </si>
  <si>
    <t>TUBO 8MM ODX1MM ESPX6MT INOX SIN COSTURA</t>
  </si>
  <si>
    <t>UNION FEMEA 1" NPT ACO FORJ</t>
  </si>
  <si>
    <t>VALVULA SOLENOIDE 120 VAC, 60 HZ, PM</t>
  </si>
  <si>
    <t>VALVULA DE CONTROL FISHER 3224558 1"</t>
  </si>
  <si>
    <t>ARANDELA PLANA 1/2 PG, ACERO</t>
  </si>
  <si>
    <t>ARANDELA PLANA 3/4 PG, ACERO</t>
  </si>
  <si>
    <t>FAJA DE TRANSMISION EN "V" A-27</t>
  </si>
  <si>
    <t>TUERCA HEXAGONAL 3/8 PG NC ACERO</t>
  </si>
  <si>
    <t>ELECTROVALVULA 5 VIAS 2 POS 1/2PG PARKER</t>
  </si>
  <si>
    <t>ZAPATA DE TREN N 12N30 COCKERILL</t>
  </si>
  <si>
    <t>PERNO CAB CIL T/ALL M14X20MM NC CL.12.9</t>
  </si>
  <si>
    <t>PERNO FLANGE HEXAGONAL M8 25 MM</t>
  </si>
  <si>
    <t>BARRA ELEVADORA 42X612MM PL. 40932 P.R</t>
  </si>
  <si>
    <t>SEMIGUIA RE-55SP 40X18</t>
  </si>
  <si>
    <t>CANCAMO 42X22X62MM PL.TAHE 355-10</t>
  </si>
  <si>
    <t>TRANSMISOR DE HUMEDAD RELATIVA 4-20</t>
  </si>
  <si>
    <t>INCLINOMETRO 4-20 MA MOD. PMP15TA-A/T5</t>
  </si>
  <si>
    <t>MANGUERA METALICA FLEX 4 PGX2.30M</t>
  </si>
  <si>
    <t>ELEMENTO FILTRO TIP 01.NBF 55-85.3VL.B.P</t>
  </si>
  <si>
    <t>RETURN FLOW M3 IMPEDER 103X230MM</t>
  </si>
  <si>
    <t>UNION SIMPLE 2 PG, 3000 PSI, CONEX R</t>
  </si>
  <si>
    <t>SIMATIC DP MODULO INTERFASE IM153-2 HF</t>
  </si>
  <si>
    <t>ACTUADOR ELECTRONEUM PL.P&amp;I 77588-C</t>
  </si>
  <si>
    <t>CABLE 9MM X 61 M P/GRUA P/N23383602 YALE</t>
  </si>
  <si>
    <t>MANGUERA HID 1/2"X0.90M SAE 100R2AT</t>
  </si>
  <si>
    <t>CILINDRO HIDRAULICO SIMPLE EFECTO 100</t>
  </si>
  <si>
    <t>CABLE COMPENSADO FLEXIBLE TIPO S PARA</t>
  </si>
  <si>
    <t>FRENO ELECTROMAGNETICO PINZA 5K, COMP</t>
  </si>
  <si>
    <t>CONDUCTOR EXTRAFLEX APANTALLADO 2 X 1</t>
  </si>
  <si>
    <t>BOMBA PISTONES AXIALES C/COMPENSADOR</t>
  </si>
  <si>
    <t>IMPEDER THROUGH FLOW 18X230MM OD SIN RET</t>
  </si>
  <si>
    <t>UNION 1/4 PG, ROSCA INTERNA, FE</t>
  </si>
  <si>
    <t>CONDUCTOR EXTRAFLEX 4X20 AWG 83350E</t>
  </si>
  <si>
    <t>DISCO MOLETEADOR 13MM PL LLT330003</t>
  </si>
  <si>
    <t>DISCO MOLETEADOR 11MM PL LLT330004</t>
  </si>
  <si>
    <t>NIPLE 3 X 3 PG, SCH:40, ACERO INOX AI</t>
  </si>
  <si>
    <t>PASTILLA SOLD-COBRE ELECTROLITICO LT-15</t>
  </si>
  <si>
    <t>MANGUERA METALICA FLEX. 1" X 2.5 MT C</t>
  </si>
  <si>
    <t>MANOMETRO REF WIKA 23250063CBM 5000 PSI</t>
  </si>
  <si>
    <t>INJECTOR REF DROPSA 3083491</t>
  </si>
  <si>
    <t>CABLE FLEX 26 ALMA AC 6X36 + 0 T/DERECHA</t>
  </si>
  <si>
    <t>CABLE FLEX 26 ALMA AC 6X36 + 0 T/IZQUIER</t>
  </si>
  <si>
    <t>REGULADOR PRESION CONCOA 8066745-01-1</t>
  </si>
  <si>
    <t>ELEMENTO FILT ACEITE HYDAC 2600R010BN4HC</t>
  </si>
  <si>
    <t>ELEMENTO FILT ACEITE HYDAC 1320D005BH4HC</t>
  </si>
  <si>
    <t>SPARK PLUG 3136 AUTOLITE IGNITION FOR VE</t>
  </si>
  <si>
    <t>ELECTR MODULE, ALLEN-BRADLEY 1756-HSC</t>
  </si>
  <si>
    <t>BASE, HONEYWELL Q7800 A 1005</t>
  </si>
  <si>
    <t>MANGUITO H3124 SKF</t>
  </si>
  <si>
    <t>SOPORTE RODAMIENTO SNL 517 SKF</t>
  </si>
  <si>
    <t>VISCOTENE HD AEROSOL(297)GR MATPEL 80608</t>
  </si>
  <si>
    <t>SOPORTE RODAMIENTO SY-60-TF SKF</t>
  </si>
  <si>
    <t>RODAMIENTO SKF 7217BEP</t>
  </si>
  <si>
    <t>O-RINGS 2-144</t>
  </si>
  <si>
    <t>FLEJE INFERIOR PL ACUTUS 11015 POS 11</t>
  </si>
  <si>
    <t>VLV DIR PNE W7076C6331, ROSS</t>
  </si>
  <si>
    <t>ELECTR MODULE, ALLEN-BRADLEY 1794-IRT8</t>
  </si>
  <si>
    <t>ROTULA SKF SIA80TXE2LS R DERECHA</t>
  </si>
  <si>
    <t>RETEN 85X105X13MM SKF HMS4</t>
  </si>
  <si>
    <t>REVESTIMIENTO MANGUERA INSUFLEX PJ08</t>
  </si>
  <si>
    <t>EMPAQUETADURA TEADIT NA1002</t>
  </si>
  <si>
    <t>VALVULA DIRECCIONAL PARKER B814BDB53A</t>
  </si>
  <si>
    <t>CONVERSOR ABB ACS800-01-0020-5+B056+P901</t>
  </si>
  <si>
    <t>SENAL LUMINOSO VERDE ALLEN 800TP16G</t>
  </si>
  <si>
    <t>INTERRUPTOR SECCIONADOR SIEMENS NF651H</t>
  </si>
  <si>
    <t>ELECTROFRENO STEARNS 1087041YOEQF 440VAC</t>
  </si>
  <si>
    <t>PLACA BORNERA WEIDMULLER 1598080000</t>
  </si>
  <si>
    <t>TRANSM FLUJO ROSEMOUNT 8712ESR1A1Q4YS</t>
  </si>
  <si>
    <t>REPUESTO REF ROSEMOUNT 8711TSA020R1Q4</t>
  </si>
  <si>
    <t>SENSOR 14-36 V VEGA SN61XXANHKNXX</t>
  </si>
  <si>
    <t>BOBINA EATON 99677NC</t>
  </si>
  <si>
    <t>APAREJO PL JASO 48515-2E-07 IT 1/10-29</t>
  </si>
  <si>
    <t>TRANSMISOR PRESION ROSEMOUNT 2088G3S22A</t>
  </si>
  <si>
    <t>CONVERSOR FREC ALLEN 20G11ND052AA0NNNNN</t>
  </si>
  <si>
    <t>TRANSMISOR TEMP ROSEMOUNT D1NAQ4X1C4Q4</t>
  </si>
  <si>
    <t>RELE AUX 24VCC SIEM LZXPT570024 4NA</t>
  </si>
  <si>
    <t>FAJA FENNER DUNLOP 72" / CIZALLA</t>
  </si>
  <si>
    <t>TIRISTOR 180A ABB TD180N16KOF3PCSSPK</t>
  </si>
  <si>
    <t>DIVISOR FLUJO POWER HYDRAULIK PR207T</t>
  </si>
  <si>
    <t>ELECTROVALVULA DIRECCIONAL DG4V36CMUH760</t>
  </si>
  <si>
    <t>VALVULA REG. CAUDAL DGMFN3-Y-A2W B2W 41</t>
  </si>
  <si>
    <t>PINES CERAMICO NBL 3/8" X 1 1/4"</t>
  </si>
  <si>
    <t>VALVULA PROPORCIONAL EUROMEC 155H3640</t>
  </si>
  <si>
    <t>VALVULA PROPORCIONAL DANFOSS 155H3639</t>
  </si>
  <si>
    <t>CADENA REF STOTZ 2009022109 (CAJA 60MTS)</t>
  </si>
  <si>
    <t>RODILLO REF MEP MACCHINE C4C2267</t>
  </si>
  <si>
    <t>RODILLO REF MEP MACCHINE C4C2013</t>
  </si>
  <si>
    <t>SENSOR MAGNETICO SCHMERSAL BN2011RZ</t>
  </si>
  <si>
    <t>CAMISA MANGA COMPRIDA ELETRICISTA TAM 62</t>
  </si>
  <si>
    <t>CILINDRO PNEU REF SCHNELL 56300000450</t>
  </si>
  <si>
    <t>ENCODER REF MEP FORMAT MACCHINE F3F0259</t>
  </si>
  <si>
    <t>FONTE ALIMENTACAO ROCKWELL 1756 PA72</t>
  </si>
  <si>
    <t>BLOCO DE LIGACAO 1756-TBCH ROCKWELL.</t>
  </si>
  <si>
    <t>ELEMENTO FILTRO AIRE TRIDIM 200HHSYN48</t>
  </si>
  <si>
    <t>ELEMENTO ELÁSTICO FALK 1040T</t>
  </si>
  <si>
    <t>COLA MILANO RE55SP</t>
  </si>
  <si>
    <t>TUERCA DIN6334 24MM</t>
  </si>
  <si>
    <t>CILINDRO LAMINACION 360X650MM FUNDICION</t>
  </si>
  <si>
    <t>TERMOSTATO HONEYWELL TH5110D1006</t>
  </si>
  <si>
    <t>POTENCIOMETRO MEP MACHINE F1F0294-F1F059</t>
  </si>
  <si>
    <t>LAMPARA PHILIPS ESSENTIALLEDTUBE 10W</t>
  </si>
  <si>
    <t>ANILLO DESGASTE SKF CR99836</t>
  </si>
  <si>
    <t>ANILLO 62,71X52,24X23,83MM SKF CR99205</t>
  </si>
  <si>
    <t>ELEMENTO FILTRO ACEIT REXROTH R928006807</t>
  </si>
  <si>
    <t>SENSOR INDUCTIVO NA MEP MACCHINE E4E0198</t>
  </si>
  <si>
    <t>ETIQUETA 5/8' 150X120MM CAJAS GUIAS</t>
  </si>
  <si>
    <t>ENCODER LEINE LINDE RHI 594 NP:593560-11</t>
  </si>
  <si>
    <t>PUNTA MONTADA PFERD A151/4AR60O5V</t>
  </si>
  <si>
    <t>ABRAZADERA STAUFF SPAL30172PPDPALISMW10K</t>
  </si>
  <si>
    <t>ELEC MODULE 1756-L83 ALLEN-BRADLEY</t>
  </si>
  <si>
    <t>REPUESTO PARKER PS2501P</t>
  </si>
  <si>
    <t>REPUESTO  PARKER P3NKA00RN</t>
  </si>
  <si>
    <t>REPUESTO PARKER P3NKA00RL</t>
  </si>
  <si>
    <t>REPUESTO PARKER P3NKA00PL</t>
  </si>
  <si>
    <t>REPUESTO PARKER P3NKA00RR</t>
  </si>
  <si>
    <t>MODULO ELECTR ALLEN BRADLEY 1756OF8I</t>
  </si>
  <si>
    <t>CONECTOR LIGACION MODULOS ILME CNEF16RY</t>
  </si>
  <si>
    <t>CONECTOR LIGACION MODULOS ILME CNEM16RY</t>
  </si>
  <si>
    <t>ACOPLE SCHELLER B2077051010</t>
  </si>
  <si>
    <t>SWITCH ALLEN BRADLEY 1783US8T</t>
  </si>
  <si>
    <t>MANGUERA ARM PARKER 3026 3/8" 18M</t>
  </si>
  <si>
    <t>MODULO SOLDADOR SAET NEG_SCHEMLL0590165</t>
  </si>
  <si>
    <t>ANILLO O 60X4MM BUNA N 70 SHORE A</t>
  </si>
  <si>
    <t>ANILLO O 64X3MM BUNA N 70 SHORE A</t>
  </si>
  <si>
    <t>TARJETA ELECTRONICA SCHNELL 5431260001</t>
  </si>
  <si>
    <t>SENSOR MAGNETICO TECNOTRON IB2M12CANATCL</t>
  </si>
  <si>
    <t>TRANSISTOR FF400R12KE3</t>
  </si>
  <si>
    <t>TAPON REF EBT SECCION BB</t>
  </si>
  <si>
    <t>CABLE ACERO 8MM 8X19 COMUN ALM ACERO DER</t>
  </si>
  <si>
    <t>FRENO SCHNELL 5459900033</t>
  </si>
  <si>
    <t>CODO 90° 2'' NPT ASTM A105</t>
  </si>
  <si>
    <t>PUNZON REDONDO ALCANT/ MP-68 PTUB:1386</t>
  </si>
  <si>
    <t>PUNZON CENTRAL MAT/GUARDAVIAS PTUB:1404</t>
  </si>
  <si>
    <t>CILINDRO NEUMATICO PL 1020 N° 6EBT79091B</t>
  </si>
  <si>
    <t>ANILLO BELLEVILLE PL 1020 N° 6BPE78271/4</t>
  </si>
  <si>
    <t>VALV.DIRECCIONAL PILOTO 4WE10M33</t>
  </si>
  <si>
    <t>MANGUERA HIDRAULICA ARMADA 3/8" X 1.50 M</t>
  </si>
  <si>
    <t>MANGUERA HIDRAULICA ARMADA 3/8" X 1.70 M</t>
  </si>
  <si>
    <t>VALVULA CHECK DOBLE Z2S 10</t>
  </si>
  <si>
    <t>VALV.DIRECCIONAL 4WE 10 Y33</t>
  </si>
  <si>
    <t>ELEMENTO FILTRO ACEITE SIZE 6X18-12M BET</t>
  </si>
  <si>
    <t>CADENA DE TRANSMISION ISO 12B-1</t>
  </si>
  <si>
    <t>VALVULA ESTRANGULADORA DE CAUDAL TIPO CA</t>
  </si>
  <si>
    <t>BOMBA HUSO SEIM PXF055#4BR0R0HUC13X0200</t>
  </si>
  <si>
    <t>BOQUILLA REDONDA 50X157 TIPO:1</t>
  </si>
  <si>
    <t>ELEMENTO FILTRO MOD P191889 DONALDSON</t>
  </si>
  <si>
    <t>CALCA INDURA ANTI-CHAMA AZUL ROYAL NR 52</t>
  </si>
  <si>
    <t>SUFRID.LOMA MP-152 Ø1-Ø26 Esp.2.0 a 3.5</t>
  </si>
  <si>
    <t>SUFRID.LOMA MP152 Ø1-Ø26.5 Esp.4.0 a 6.4</t>
  </si>
  <si>
    <t>SUFRID.VALLE MP152 Ø7/8-Ø23 Esp2.0 a 3.5</t>
  </si>
  <si>
    <t>PUNZON PL 1020 Nº PTUB-1484</t>
  </si>
  <si>
    <t>PUNZON PL 1020 Nº PTUB-1484/1</t>
  </si>
  <si>
    <t>MATRIZ PL 1020 Nº PTUB-2005/3</t>
  </si>
  <si>
    <t>IMPEDER THROUGH FLOW 16X230MM OD SIN RET</t>
  </si>
  <si>
    <t>MODULO IGBT SEMIKRON SKM150GAL12T4</t>
  </si>
  <si>
    <t>BOVEDA REFRIGERADA H.E. SP 11966.1300.01</t>
  </si>
  <si>
    <t>ANILLO PLANO M20- ESPESOR 5MM</t>
  </si>
  <si>
    <t>NIPLE 3/8" X 4" INOX AISI 304</t>
  </si>
  <si>
    <t>PERNO DE SUJECION DE SOMBRERO T-450</t>
  </si>
  <si>
    <t>SILENCIADOR C/ROSCA U-3/8 B PART. 6843</t>
  </si>
  <si>
    <t>CABLE UTP CAT 6A -10GX62F</t>
  </si>
  <si>
    <t>ZAPATA CANAL 1 - MESA ENFRIAMIENTO 1</t>
  </si>
  <si>
    <t>PORTAFUSIBLE 2PISOS C/INDICADOR 24 VDC</t>
  </si>
  <si>
    <t>PORTAFUSIBLE 2PISOS C/INDICADOR 250VAC</t>
  </si>
  <si>
    <t>PANTOGRAFO DOBLE IGA 2.148B-2GR3 360A</t>
  </si>
  <si>
    <t>INDICADOR GRAFICO DE BARRA BI1251 WESCHL</t>
  </si>
  <si>
    <t>CILINDRO LAMINACION 420X600 HSS 75/80 DA</t>
  </si>
  <si>
    <t>RETURN FLOW M3 IMPEDER 24X230MM</t>
  </si>
  <si>
    <t>RETURN FLOW M3 IMPEDER 37X230MM</t>
  </si>
  <si>
    <t>CUERPO BOBINA COMPLETO COD. BE11A 220VAC</t>
  </si>
  <si>
    <t>PROTECCION DE UÑA GARRA HIDRAULICA S/PL.</t>
  </si>
  <si>
    <t>BOMBA VARIABLE DE PISTONES AXIALES A11VO</t>
  </si>
  <si>
    <t>SOPORTE DE PIE SYJ 70 TF SKF</t>
  </si>
  <si>
    <t>PISTON NEUMATICO TRABA H-E PLANO CG466-4</t>
  </si>
  <si>
    <t>CILINDRO NEUMATICO PL 6EBT-79091 POS.11</t>
  </si>
  <si>
    <t>RODILLO GUIA COLUMNA LEVANTAMIENTO</t>
  </si>
  <si>
    <t>ARANDELA SIST. ETIQUETADO LL1.ACAB.M.000</t>
  </si>
  <si>
    <t>REGULADOR DE PRESION MOD R400S MAXITROL</t>
  </si>
  <si>
    <t>METALLISATION 6848D - 2MM NOZZLE 'D'</t>
  </si>
  <si>
    <t>BOCINA LISA CENTRAL PARA UÑA DE GARRA</t>
  </si>
  <si>
    <t>CONECTOR LIGACION MODULOS CPF06RY ILME</t>
  </si>
  <si>
    <t>CONECTOR LIGACION MODULOS CPM06RY ILME</t>
  </si>
  <si>
    <t>BASE PLUG ENCHUFE CAOR 16.21 ILME</t>
  </si>
  <si>
    <t>BASE PLUG ENCHUFE CHVR 16 ILME</t>
  </si>
  <si>
    <t>VENTILADOR PARA VARIADOR ABB ACS800 01 F</t>
  </si>
  <si>
    <t>PUNZON CHINO ALCANTARILLA - MATRIZ 2</t>
  </si>
  <si>
    <t>RODILLO PLANO CARB.CEMENTADO RE-55</t>
  </si>
  <si>
    <t>ORING DIAM.169X180X6 -DUREZA 70 SHORE A</t>
  </si>
  <si>
    <t>ORING 359X371X5.3 SHORE 80 A</t>
  </si>
  <si>
    <t>ORING 340X352X5.3 SHORE 85A</t>
  </si>
  <si>
    <t>FILTRO NO DESECANTE XCLUDE(ND-35)</t>
  </si>
  <si>
    <t>CUCHILLA CIZALLA 30 TN - CORTA</t>
  </si>
  <si>
    <t>CANDADO P/CADENA ISO 32B-1</t>
  </si>
  <si>
    <t>CANDADO P/CADENA ISO 12B-1</t>
  </si>
  <si>
    <t>ESCOBILLA GRAFITO 180A 80X100X30MM</t>
  </si>
  <si>
    <t>BOB INDUC. TH. BANDED RED 1" MEC-36mm</t>
  </si>
  <si>
    <t>BOB INDUC.TH. BANDED RED 2.1/4" MEC-70mm</t>
  </si>
  <si>
    <t>FUENTE RECTIFICADORA FRENO TIPO BGE 1.5</t>
  </si>
  <si>
    <t>SIMATIC S7 1500 CPU 6ES7516-3AP03-0AB0 -</t>
  </si>
  <si>
    <t>VALVULA RATIO REGULADOR MOD. 7216-2</t>
  </si>
  <si>
    <t>RETURN FLOW M3 IMPEDER 22X230MM</t>
  </si>
  <si>
    <t>PLACA DESGASTE SOPORTE CARTUCHO DANIE-2</t>
  </si>
  <si>
    <t>PERNO INOX 304 M16 CABEZ CILINDRICA ALLE</t>
  </si>
  <si>
    <t>LIMITADOR DE TORQUE TTHVS TECTOR</t>
  </si>
  <si>
    <t>BOCINA 30M6 X 20H8 X 10 LG S/PLANO POS.</t>
  </si>
  <si>
    <t>ACEIT SINTETIC SHELL OMALA S4 GXV220 MTP</t>
  </si>
  <si>
    <t>RETURN FLOW M3 IMPEDER 76X230MM</t>
  </si>
  <si>
    <t>VARIADOR DE FRECUENCIA POWERFLEX 525 - 4</t>
  </si>
  <si>
    <t>PERNO CAB CIL T/ALL 20X160 MM NC CL.12.9</t>
  </si>
  <si>
    <t>ADAPTADOR 90º MACHO BSP 3/4 MACHO JIC 3/</t>
  </si>
  <si>
    <t>MANGUERA STROBBE 4SH 3/4" X 0.90 MTS 0°</t>
  </si>
  <si>
    <t>TRANSMISOR PRESION MOD EJX530A YOKOGAWA</t>
  </si>
  <si>
    <t>GRAPAS FLEXCO PLACA ATORNILLADA 1 1/2"</t>
  </si>
  <si>
    <t>GUARDAS DE SALIDA DANIELI 9 TREN 300</t>
  </si>
  <si>
    <t>IMPEDER THROUGH FLOW 63X230MM OD SIN RET</t>
  </si>
  <si>
    <t>ADAPTADOR EN "T" CODIGO 9670 POWER TEAM</t>
  </si>
  <si>
    <t>BOBINA INDUC. TH. BANDED RED 2" LAC-75mm</t>
  </si>
  <si>
    <t>BOBINA INDUC. SAET RED 2.1/2" MEC-75.5mm</t>
  </si>
  <si>
    <t>BOB INDUC. TH. BANDED RED 2" MEC-64mm</t>
  </si>
  <si>
    <t>PERNO CAB. HEX. 33X320MM G.12.9</t>
  </si>
  <si>
    <t>PERNO CABEZA CILIND. 24X420MM G.12.9</t>
  </si>
  <si>
    <t>CEPILLO ELECTRODO D6 NP:913922 THERMO SC</t>
  </si>
  <si>
    <t>ANILLO SEEGER PART. 5100-200</t>
  </si>
  <si>
    <t>BOCINA TUBULAR AISLAN P/ESPARRAGO REV 1</t>
  </si>
  <si>
    <t>MOTOR HIDRAULICO PARTE: ITEM00185672</t>
  </si>
  <si>
    <t>MATERIAL ESTANDAR DE REFERENCIA 1762A</t>
  </si>
  <si>
    <t>VALVULA DE CONTROL SAMSON DE 3" VETEC RO</t>
  </si>
  <si>
    <t>MANGUERA ARMADA SAE 100R12 1/2" X 60CM</t>
  </si>
  <si>
    <t>MANGUERA ARMADA SAE 100R12 3/4" X 42CM</t>
  </si>
  <si>
    <t>MANGUERA ARMADA SAE 100R12 3/4" X 60CM</t>
  </si>
  <si>
    <t>JG PASTILLA P/FRENO SINTERIZADA USB 3-I</t>
  </si>
  <si>
    <t>BUJE PARA CARTUCHO DE EJE CARDAN -DANIEL</t>
  </si>
  <si>
    <t>ELEMENTO FIL ACEITE HYDAC 0660 R 010 ON/</t>
  </si>
  <si>
    <t>CARTUCHO FILTRO DE RETORNO 3 MICRAS STEM</t>
  </si>
  <si>
    <t>CRUCETA DANIELI 1 -N. 117156.H</t>
  </si>
  <si>
    <t>CRUCETA DANIELI 2- N.109796.A</t>
  </si>
  <si>
    <t>RODILLO ALINEADOR ENSAMBLADO 8 RANURAS M</t>
  </si>
  <si>
    <t>RODILLO ALINEADOR ENSAMBLADO 10 RANURAS</t>
  </si>
  <si>
    <t>MANGUERA ARMADA 2 1/2"X2000 MM JEBE Y LO</t>
  </si>
  <si>
    <t>BASE FIN DE CURSO - CARRO OXICORTE S/PL.</t>
  </si>
  <si>
    <t>PLACA GUIA HORIZONTAL CAJON MARTILLO PL.</t>
  </si>
  <si>
    <t>RODAMIENTO 24064-BEA-XL-MB1</t>
  </si>
  <si>
    <t>TUERCA HM3064 ROSCA TR320X5 - FAG</t>
  </si>
  <si>
    <t>IGBT 3AUA0000015686 ABB</t>
  </si>
  <si>
    <t>PORTA PUNZON CENTRAL MATRIZ GUARDAVIAS</t>
  </si>
  <si>
    <t>SUFRIDERA CHINA MP68 -UNIPUNCH - P600</t>
  </si>
  <si>
    <t>FAJA TRANSPORTADORA 12 MM X 1000 MM X 7</t>
  </si>
  <si>
    <t>FAJA TRANSPORTADORA 12 MM X 1000 MM X 22</t>
  </si>
  <si>
    <t>EJE ENTRADA ELEV. PL. 516443 POS 1,2,3</t>
  </si>
  <si>
    <t>CONTROL REMOTO TRANSMISOR IKUSI (TELEMAN</t>
  </si>
  <si>
    <t>PROTECTOR DE PVC PARA MANGUERA 1/4"</t>
  </si>
  <si>
    <t>IMPEDER THROUGH FLOW 8X230MM OD SIN RET</t>
  </si>
  <si>
    <t>IMPEDER THROUGH FLOW 10X230MM OD SIN RET</t>
  </si>
  <si>
    <t>IMPEDER THROUGH FLOW 11X230MM OD SIN RET</t>
  </si>
  <si>
    <t>IMPEDER THROUGH FLOW 17X230MM OD SIN RET</t>
  </si>
  <si>
    <t>IMPEDER THROUGH FLOW 19X230MM OD SIN RET</t>
  </si>
  <si>
    <t>IMPEDER THROUGH FLOW 28X230MM OD SIN RET</t>
  </si>
  <si>
    <t>IMPEDER THROUGH FLOW 31X230MM OD SIN RET</t>
  </si>
  <si>
    <t>IMPEDER THROUGH FLOW 34X230MM OD SIN RET</t>
  </si>
  <si>
    <t>IMPEDER THROUGH FLOW 40X230MM OD SIN RET</t>
  </si>
  <si>
    <t>IMPEDER THROUGH FLOW 42X230MM OD SIN RET</t>
  </si>
  <si>
    <t>IMPEDER THROUGH FLOW 46X230MM OD SIN RET</t>
  </si>
  <si>
    <t>IMPEDER THROUGH FLOW 57X230MM OD SIN RET</t>
  </si>
  <si>
    <t>ADAPTADOR M20-1/2" NPT PHOENIX C 1686847</t>
  </si>
  <si>
    <t>ALETA GUIA F5T3 RED 31,75 (1.1/4")ERW76</t>
  </si>
  <si>
    <t>ALETA GUIA F6T3 RED 31,75 (1.1/4")ERW76</t>
  </si>
  <si>
    <t>ALETA GUIA F7T3 RED 31,75 (1.1/4")ERW76</t>
  </si>
  <si>
    <t>CONDENSADOR ALS30C1023NP</t>
  </si>
  <si>
    <t>SET DE CADENAS PARA IMANES 3CSGG116-02</t>
  </si>
  <si>
    <t>TRANSMISOR DE PRESION CERABAR PMP71B</t>
  </si>
  <si>
    <t>BOMBA DE PALETAS CAUDAL CONSTANTE T6D-02</t>
  </si>
  <si>
    <t>DISCO ABRASIVO 8" 120 GRANOS 810-259-PRM</t>
  </si>
  <si>
    <t>FILTRO DE CARTUCHO P190818-016-436 DONAL</t>
  </si>
  <si>
    <t>DISCO ABRASIVO 8" 180 GRANOS 810-261-PRM</t>
  </si>
  <si>
    <t>DISCO ABRASIVO 8" 240 GRANOS 810-263-PRM</t>
  </si>
  <si>
    <t>DISCO ABRASIVO 8" 320 GRANOS 810-265-PRM</t>
  </si>
  <si>
    <t>DISCO ABRASIVO 8" 400 GRANOS 810-267-PRM</t>
  </si>
  <si>
    <t>DISCO ABRASIVO 8" 600 GRANOS 810-269-PRM</t>
  </si>
  <si>
    <t>CADENA DE 3/4"DE PLACAS LL1222 ACERO.INO</t>
  </si>
  <si>
    <t>DIAMOND POLISHING 1 MICRON 811-505-008</t>
  </si>
  <si>
    <t>DIAMOND POLISHING 6 MICRON 811-503-008</t>
  </si>
  <si>
    <t>FOTOCELULAS CILINDRICAS VTE180-2P42487</t>
  </si>
  <si>
    <t>TRANSDUCTOR DE TENSION RMCV60BD</t>
  </si>
  <si>
    <t>RODILLO CONICO DE ENHORNAMIENTO</t>
  </si>
  <si>
    <t>RODILLO DESHORNAMIENTO</t>
  </si>
  <si>
    <t>VALVULA ACTUADOR 1126DA 8B Y MOTOR 1615B</t>
  </si>
  <si>
    <t>BOBINA INDUC. TH. BANDED RED 88.9-105 MM</t>
  </si>
  <si>
    <t>BOBINA INDUC. TH. BANDED RED 114.3-140MM</t>
  </si>
  <si>
    <t>CHUMACERA UCP211-2ZR-HT2X</t>
  </si>
  <si>
    <t>IMPEDER THROUGH FLOW 57X430MM OD SIN RET</t>
  </si>
  <si>
    <t>IMPEDER THROUGH FLOW 63X430MM OD SIN RET</t>
  </si>
  <si>
    <t>RETURN FLOW M3 IMPEDER 90X430MM T4</t>
  </si>
  <si>
    <t>RETURN FLOW M3 IMPEDER 92X430MM T4</t>
  </si>
  <si>
    <t>RETURN FLOW M3 IMPEDER 103X430MM T4</t>
  </si>
  <si>
    <t>BARRA DESHORNADORA HORNO OFU</t>
  </si>
  <si>
    <t>PLACA DE EMPUJE EJES SPINDLES T-500/T450</t>
  </si>
  <si>
    <t>BOTON DE EMPUJE DE EJES SPINDLES T-500/T</t>
  </si>
  <si>
    <t>RODAMIENTO RODILLOS CONICOS NGR30210</t>
  </si>
  <si>
    <t>FUENTE DE ALIMENTACION X96C148-1 - RONAN</t>
  </si>
  <si>
    <t>CONTROLADOR S7 1500- 6ES7 511-1AK02-0AB0</t>
  </si>
  <si>
    <t>KITS DE SELLOS BOMBA KRACHT TIPO KF5</t>
  </si>
  <si>
    <t>VALVULA DE CONTROL DE PRESION BOMBA PV18</t>
  </si>
  <si>
    <t>MANGUERA HIDR. ARMADA 100R2AT 1/2"X8MT</t>
  </si>
  <si>
    <t>ADAPTADOR RECTO 1/2" JIC A 3/8" NPT</t>
  </si>
  <si>
    <t>MANGUERA HID ARMADA 100R2AT 1/2"X2.20M</t>
  </si>
  <si>
    <t>RETEN RADIAL TIPO B2 225X250X16MM. PARA</t>
  </si>
  <si>
    <t>ELEMENTO FILT.EK602G PARKER TABLERO NEUM</t>
  </si>
  <si>
    <t>CABLE FLEX IO 1794-CE3</t>
  </si>
  <si>
    <t>MODULO FLEX 5000 16 SALIDAS DIGITALES</t>
  </si>
  <si>
    <t>MODULO ENTRADAS FLEX 5000 CAT: 5094-IF8I</t>
  </si>
  <si>
    <t>FAJA TRANSPORTADORA PENNVINT24"X140 FEET</t>
  </si>
  <si>
    <t>FILTRO HYDROLINE BREATHER TB-25-10-08*</t>
  </si>
  <si>
    <t>PLACA SUJECCION RIEL AGUJERO TRIPLE MESA</t>
  </si>
  <si>
    <t>CONTROLADOR FLAMA HONEYWELL RM7890B1014</t>
  </si>
  <si>
    <t>SEMIGUIA RE-55SP 45X21</t>
  </si>
  <si>
    <t>RODAMIENTO SKF 32306</t>
  </si>
  <si>
    <t>CLIP ELASTICO PARA LINEA FERREA</t>
  </si>
  <si>
    <t>LUMINARIA LUMENTEC ND-F116</t>
  </si>
  <si>
    <t>BOLSA ACCESORIOS R13,R43,R76 K1M8-MOTOR</t>
  </si>
  <si>
    <t>PLACA DE BORNES PARA MOTOR  K1M8</t>
  </si>
  <si>
    <t>EJE CARDAN FORMING T1</t>
  </si>
  <si>
    <t>EJE CARDAN SIZING T1</t>
  </si>
  <si>
    <t>DISCO DE CORTE HSS 600X90X4.0 Z=236-T4</t>
  </si>
  <si>
    <t>DISCO DE CORTE HSS 600X90X4.0 Z=316-T4</t>
  </si>
  <si>
    <t>MATERIAL ESTANDAR DE REFERENCIA 352E</t>
  </si>
  <si>
    <t>INSERTO D7 H PHOENIX CONTACT 1585223</t>
  </si>
  <si>
    <t>DUCTO REFRIGERADO TIPO "B" SIST. D (160)</t>
  </si>
  <si>
    <t>DUCTO REFRIGERADO TIPO "E" SIST. D (160)</t>
  </si>
  <si>
    <t>CODO REFRIGERADO TIPO  "C" SCH 160</t>
  </si>
  <si>
    <t>BOCINA REGLA DE TRACCION CRHONIT T-500</t>
  </si>
  <si>
    <t>TAPA ESCUADRA CONDUCIDA CANAL 1</t>
  </si>
  <si>
    <t>PIN DE ESCUADRA MOTRIZ MESA ENF. 1</t>
  </si>
  <si>
    <t>CONO DIAM.68 X 185 PARA INSERTO (CANALET</t>
  </si>
  <si>
    <t>SEGURO SUPERIOR DE HISECTION MD5260</t>
  </si>
  <si>
    <t>INSERTO DE SEMIGUIA ES-2A DIAM.46</t>
  </si>
  <si>
    <t>INSERTO DE SEMIGUIA ES-2A DIAM.36</t>
  </si>
  <si>
    <t>CONTACT JAWS FOR HEAVY DUTY SYSTEM ESAB</t>
  </si>
  <si>
    <t>ELEMENTO DE FILTRO HENGST 2.0630 PWR10-B</t>
  </si>
  <si>
    <t>ELEMEN.FILTRO RETORNO HENGST 1.0160 PWR6</t>
  </si>
  <si>
    <t>INTERRUPTOR ROTATIVO ELETROSIL SC-202/A3</t>
  </si>
  <si>
    <t>PUNTA DOBLE RTO-1B PROD.1/2"</t>
  </si>
  <si>
    <t>PUNTA TRIPLE RTO-1B PROD.3/8</t>
  </si>
  <si>
    <t>INSERTO DE SEMIGUIA DE ENTRADA ES-2A DIA</t>
  </si>
  <si>
    <t>PUNTA PARA GUIA RTO-2B PROD. 1/2"</t>
  </si>
  <si>
    <t>INSERTO NARIZ RE-55WBF 14H PROD.1/2"28X2</t>
  </si>
  <si>
    <t>AMORTIGUADOR DE RODILLO CENTRAL DE 100X4</t>
  </si>
  <si>
    <t>ALETA GUIA F5T3 RED 63.5 (2 1/2" MEC) T4</t>
  </si>
  <si>
    <t>ALETA GUIA F6T3 RED 63.5 (2 1/2" MEC) T4</t>
  </si>
  <si>
    <t>ALETA GUIA F7T3 RED 63.5 (2 1/2" MEC) T4</t>
  </si>
  <si>
    <t>AMORTIGUADOR GOMA W4311 21X60X30 NGR1334</t>
  </si>
  <si>
    <t>PLACA REVESTIMI.PARA CARTUCHOS SINOSTELL</t>
  </si>
  <si>
    <t>ANILLO DE CENTRADO CARTUCHO SINOSTELL</t>
  </si>
  <si>
    <t>DISCO CIRCULAR R244 14"X1" G 60 NORTON</t>
  </si>
  <si>
    <t>PINES CERAMICO NBL 3/8" X 0.780</t>
  </si>
  <si>
    <t>REDUCCION BUSHING 3" - 2" #150, ROSCAD</t>
  </si>
  <si>
    <t>Banda HI-POWER Gates C162 Motor Com.HB</t>
  </si>
  <si>
    <t>MODULO 138 SIEMENS 6ES7 138-4CA01-0AA0</t>
  </si>
  <si>
    <t>GRASERA 3/16" 45°</t>
  </si>
  <si>
    <t>GRASERA 1/16" NPT 90°C</t>
  </si>
  <si>
    <t>KIT DE SELLOS RG2AHL0255</t>
  </si>
  <si>
    <t>RETEN 55 X 100 X 10/8 mm. NITRILO</t>
  </si>
  <si>
    <t>TAPON MACHO 3"</t>
  </si>
  <si>
    <t>AROSELLO PARKER 2-219</t>
  </si>
  <si>
    <t>CONTACTOR CMPTO 3P 80 A 600V BOB:110 VAC</t>
  </si>
  <si>
    <t>CONTACTO CMPT LC1-F115F150 REF.LA5-FF431</t>
  </si>
  <si>
    <t>FAJA DE TRANSMISION EN "V" B-48</t>
  </si>
  <si>
    <t>FAJA DE TRANSMISION EN "V" B-63</t>
  </si>
  <si>
    <t>FAJA DE TRANSMISION EN "V" C-100</t>
  </si>
  <si>
    <t>FAJA DE TRANSMISION EN "V" B-62</t>
  </si>
  <si>
    <t>CORREA C 58</t>
  </si>
  <si>
    <t>FAJA DE TRANSMISION EN "V" A-51</t>
  </si>
  <si>
    <t>FUSIBLE    80 AMPERIOS 480V  FERRAZ   A</t>
  </si>
  <si>
    <t>GRASERA CURVA A 45° ROSCA DE 8 MM.</t>
  </si>
  <si>
    <t>REDUCCION BUSHING DE 3" A 1" NPT GALVAN</t>
  </si>
  <si>
    <t>TUERCA S/P G060111 (SISTEMA GASEO SI</t>
  </si>
  <si>
    <t>CUCHILLA PARA CIZALLA   SEGUN PLANO  4C</t>
  </si>
  <si>
    <t>VALVULA DE ROTACION  REF  PROG  1216</t>
  </si>
  <si>
    <t>MANGUERA PARA TEST SMS-20-1524MM-B STAU</t>
  </si>
  <si>
    <t>GRASERA  DE 6MM A 45°</t>
  </si>
  <si>
    <t>GRASERA CODO DE 6MM A 90°</t>
  </si>
  <si>
    <t>AROSELLO PARKER 2-232</t>
  </si>
  <si>
    <t>AROSELLO PARKER 2-237</t>
  </si>
  <si>
    <t>BARRIL 1/4" 60C-4</t>
  </si>
  <si>
    <t>CABLE BUJIA 12200 VOLTS</t>
  </si>
  <si>
    <t>CODO COBRE SOLD 1/2" X 90°</t>
  </si>
  <si>
    <t>ROTULA GE-110-ES-2RS</t>
  </si>
  <si>
    <t>DOSIFICADOR VOLUMETRICO 671310 DROPSA</t>
  </si>
  <si>
    <t>CONECTOR HEMB COMPENSADO 4 PINES T:"S</t>
  </si>
  <si>
    <t>CONECTOR MACHO COMPENSADO 4 PINES T:"S</t>
  </si>
  <si>
    <t>BOMBA VICKERS 25V21A1C22R</t>
  </si>
  <si>
    <t>AMORTIGUADOR PL.NOPL-M-608 POS2 NEOPRENE</t>
  </si>
  <si>
    <t>TOMADOR DE MUESTRA SIN PIN 1500-1750 -HC</t>
  </si>
  <si>
    <t>BOB INDUC.TH RED3/4MEC-RED3/8"LAC-30.5mm</t>
  </si>
  <si>
    <t>BOB INDUC. THERMATOOL RED 1" LAC-48.8mm</t>
  </si>
  <si>
    <t>BOB IND T RED1.1/2"LAC-CUA1.1/2"LAC-61mm</t>
  </si>
  <si>
    <t>CABLE ACERO 3/4"X33.5 M TORSION DERECHA</t>
  </si>
  <si>
    <t>CUÑA Y CONTRACUÑA PL 1020 LLT330045</t>
  </si>
  <si>
    <t>PISTA L 314385</t>
  </si>
  <si>
    <t>CELDA CARGA 5KLB SS BEAM M:SB4-23KN-C3</t>
  </si>
  <si>
    <t>CELDA DE CARGA 50 LBS P/N N39188 - 103</t>
  </si>
  <si>
    <t>INTERRUPTOR FIN DE CARRERA (LIMIT SW</t>
  </si>
  <si>
    <t>CILINDRO LAMINADOR 360X650MM FUNDICION</t>
  </si>
  <si>
    <t>CILINDRO LAMINACION 360X650  PLANO 4130D</t>
  </si>
  <si>
    <t>CONTACTOR CMPTO 2P 85A 230VCC 2NA+2NC</t>
  </si>
  <si>
    <t>FAJA DE TRANSMISION EN "V" C-140</t>
  </si>
  <si>
    <t>FALSA BARRA ENSAMBLADA 224 MM PL 16001</t>
  </si>
  <si>
    <t>PIÑON CONDUCTOR 138/448.13 X 160 MM</t>
  </si>
  <si>
    <t>PIÑON DIENTE INCLINADO 240 X 472.41</t>
  </si>
  <si>
    <t>ANILLO ROSCADO M280X3 SOPORTE FIJO LIBRE</t>
  </si>
  <si>
    <t>BOCINA 272X260X285 MM PL. 4234508042</t>
  </si>
  <si>
    <t>KIT DE SELLOS P/CIL HID. 870 X 750 X</t>
  </si>
  <si>
    <t>PLACA BASE 245X175X14 PL 060307M7010/P7</t>
  </si>
  <si>
    <t>PLACA BASE 245X175X16 PL 060307M7010/P8</t>
  </si>
  <si>
    <t>EJE 2 PL MM427</t>
  </si>
  <si>
    <t>CILINDRO PL.CORE CG466-17 P.W/CG46624103</t>
  </si>
  <si>
    <t>EJE 57X240MM AC DIN CK-45 PL.113444 P.1</t>
  </si>
  <si>
    <t>EJE DIAM 170/140 X 435 MM PL 714782</t>
  </si>
  <si>
    <t>CUCHILLA CIRCULAR DE ACERO 320X1350X</t>
  </si>
  <si>
    <t>HUSIILO DE REGULACION 56 X 6 MM 1594</t>
  </si>
  <si>
    <t>ESTRUCTURA PARA FILTRO 178 X 4885 MM</t>
  </si>
  <si>
    <t>BOQUILLA TORSIONADORA 100X35X200 TIPO 1</t>
  </si>
  <si>
    <t>PINZA PARA ELECTRODO DE 10" MATERIAL</t>
  </si>
  <si>
    <t>RUEDA CONICA 45 X 79/99 X 40 MM ACER</t>
  </si>
  <si>
    <t>CONJUNTO IMPELENTE EXTRACTOR VAPOR CC3</t>
  </si>
  <si>
    <t>CILINDRO LAM-420x600MM-FNP-70/75-DANIELI</t>
  </si>
  <si>
    <t>CILINDRO LAM 527x 1500MM AG BITE C-65/70</t>
  </si>
  <si>
    <t>POLIN CUÑA 46.3 X 110 X 60 MM ACERO</t>
  </si>
  <si>
    <t>EJE ACCIONAM120X3810MM PL AG 24021/2</t>
  </si>
  <si>
    <t>DISYUNTOR 3P 600A 15 KV 500 MVA</t>
  </si>
  <si>
    <t xml:space="preserve"> REGULADOR DE DOSIFICADOR SKF</t>
  </si>
  <si>
    <t>EJE ACCIONAM 120X3822MM PL AG 24021/1</t>
  </si>
  <si>
    <t>ELEMENTO FILTRANTE 10 MIC. 10-80°C 1</t>
  </si>
  <si>
    <t>ELEMENTO FILTRANTE DE ACEITE HID MOD</t>
  </si>
  <si>
    <t>ESTABILIZADOR CAT 2323230S 7.5 KVA</t>
  </si>
  <si>
    <t>ELEMENTO DE FILTRO 12.400 H20XL-G00-0-M</t>
  </si>
  <si>
    <t>FILTRO DE AIRE RESPIRADERO PART. 162</t>
  </si>
  <si>
    <t>FILTRO DE AIRE ELEMENTO P/COMPRESOR</t>
  </si>
  <si>
    <t>CINTA BRAIDED 7X225M POLIEST C/POLIURET</t>
  </si>
  <si>
    <t>CINTA AISL 0.11X20X50 FEINMICAGLAS 2021</t>
  </si>
  <si>
    <t>BRIDA 240/360/475X35 PL.AG 24-008</t>
  </si>
  <si>
    <t>FUENTE DE ALIMENTACION PS-307, 10A,</t>
  </si>
  <si>
    <t>BOBINA IND Ø128.1-TH RED 4"LAC-4.500"LAC</t>
  </si>
  <si>
    <t>BOBINA INDUC. THER Ø 150mm CUAD 4" MEC.</t>
  </si>
  <si>
    <t>GRASERA ALEMITE 1631-B 5/16 L/T.21/3</t>
  </si>
  <si>
    <t>GUIA AC VND 280X850X18MM PL.AC-M-2886</t>
  </si>
  <si>
    <t>PISTON PRIMARIO GRUA EUROMEC</t>
  </si>
  <si>
    <t>INHIBIDOR DE CORROSION E INCRUSTACIO</t>
  </si>
  <si>
    <t>FOCO 1 FILAM. 24 V. 10 W. 1 CONTACTO</t>
  </si>
  <si>
    <t>ELEMENTO DE FILTRO DE BOLSA SIS</t>
  </si>
  <si>
    <t>MANGUERA HID 1/2 PG SAE 100R2</t>
  </si>
  <si>
    <t>MANGUERA HIDRAULICA 1" SAE 100R1AT</t>
  </si>
  <si>
    <t>MANGUERA METALICA FLEX 1/2"X0.61M</t>
  </si>
  <si>
    <t>MANGUERA HID 3/4 PGX0.54M SAE 100R13</t>
  </si>
  <si>
    <t>MANGUERA HID 1 PGX1.00M SAE 100R12</t>
  </si>
  <si>
    <t>MANGUERA ARMD PARKER 302-4 1/4" 350MM</t>
  </si>
  <si>
    <t>MANGUERA ARM 1 1/2"X2.5M ACOPLES TIPO C</t>
  </si>
  <si>
    <t>MANGUERA ARM 1 1/2"X1.3M ACOPLES TIPO C</t>
  </si>
  <si>
    <t>MANGUERA ARM 1" X 1.2M ACOPLES TIPO C</t>
  </si>
  <si>
    <t>MANGUERA HID 1/2 PGX0.50M SAE 100R13</t>
  </si>
  <si>
    <t>MANGUERA HID 1"X0.82M SAE R12 AT</t>
  </si>
  <si>
    <t>MANGUERA HID 1/4"X0.60M SAE 100R2</t>
  </si>
  <si>
    <t>PROCESADOR DE COMUNICACIONES PARA ES</t>
  </si>
  <si>
    <t>4 POINT ANALOG COMBO MODULE</t>
  </si>
  <si>
    <t>SIMATIC S7 300 , ANALOG OUTPUT SM 33</t>
  </si>
  <si>
    <t>SIMATIC S7 300 MODULO DE ENTRADAS DI</t>
  </si>
  <si>
    <t>SIMATIC DP MODULO INTERFASE IM 151-1</t>
  </si>
  <si>
    <t>SIMATIC DP, 5 ELECTRON MODULOS FOR E</t>
  </si>
  <si>
    <t>SIMATIC S7 300 , ANALOG INPUT SM 331</t>
  </si>
  <si>
    <t>SIMATIC DP ELECTRONIC MODULE FOR ET</t>
  </si>
  <si>
    <t>SIMATIC DP DISTRIBUTED I/O 1580AD010XA0</t>
  </si>
  <si>
    <t>SIMATIC DP, ELECTRONIC MODULE ET 200</t>
  </si>
  <si>
    <t>SIMATIC DP, ELECTRONIC MODULE FOR ET</t>
  </si>
  <si>
    <t>MOTORREDUCTOR CARRO PORTA TUNDISH COCO3</t>
  </si>
  <si>
    <t>MOTORREDUCTOR BAUER BG6011DR16XC8SP</t>
  </si>
  <si>
    <t>KIT SELLO P/CILI NEUM 0400C02 14AL 12.00</t>
  </si>
  <si>
    <t>POSTIZO 19X9 MM P/PROD. 1/2" GUIA RT</t>
  </si>
  <si>
    <t>ANILLO BELLEVILLE PL.M-40193 P.A1</t>
  </si>
  <si>
    <t>ANILLO PL.MMLL-881A P.4 SAE1045</t>
  </si>
  <si>
    <t>ANILLO PL.TENOVA CG466-28-105 P.MK-N</t>
  </si>
  <si>
    <t>ANILLO PL.TENOVA CG466-28-105 P.MK-Q</t>
  </si>
  <si>
    <t>POLIN EMBOCINADO 30 X 95 X 84 MM ACE</t>
  </si>
  <si>
    <t>ESPARRAGO M48 X 3 X 355 MM ACERO INO</t>
  </si>
  <si>
    <t>PANEL REFRIGERADO N°2 P/LANZAS</t>
  </si>
  <si>
    <t>PANEL REFRIGERADO N°7 P/LANZAS</t>
  </si>
  <si>
    <t>MANGA DEL SOPORTE DE BOVEDA Q235 STL</t>
  </si>
  <si>
    <t>AISL PL.TENOVA CG466-28-105 P.MK-L</t>
  </si>
  <si>
    <t>AISL PL.TENOVA CG466-28-105 P.MK-M</t>
  </si>
  <si>
    <t>CARCAZA VENTIL. 1595X500MM PL.MANT-033</t>
  </si>
  <si>
    <t>BOQUILLA TORSION 100X35X200 CDRA 90° T:1</t>
  </si>
  <si>
    <t>BOQUILLA TORSIONADORA 100X30X200 TIPO: 1</t>
  </si>
  <si>
    <t>BOQUILLA TOR 100X30X200 FOR EXT REDONDO</t>
  </si>
  <si>
    <t>BOQUILLA TORSION 100X30X200 CDRA 90° T:1</t>
  </si>
  <si>
    <t>BOCINA 144X150X100 PARTI. PL.MMNP-088-A</t>
  </si>
  <si>
    <t>BOQUILLA TOR 85X30X200 FORMA EXT.REDONDO</t>
  </si>
  <si>
    <t>PIN 49.975 X 105MM PL. AC-M-3103 POS 2</t>
  </si>
  <si>
    <t>PIN RECTO 48X160MM PL.MMNP-114 POS.2</t>
  </si>
  <si>
    <t>COLECTOR UNIP COMPLET 100A P/BARRA COND.</t>
  </si>
  <si>
    <t>ZAPATA COLECTOR UNIPOLAR STD 100A</t>
  </si>
  <si>
    <t>PIN 36X30X90 PL.MM 355 A SAE1045</t>
  </si>
  <si>
    <t>KIT DE SELLOS P/CILINDRO HIDRAULICO</t>
  </si>
  <si>
    <t>CUCHILLA PLANA 120 X 100 X 29 MM ACE</t>
  </si>
  <si>
    <t>NIPLE DE ACERO ST-35 DE 146.4 X 159</t>
  </si>
  <si>
    <t>PERNO CAB AVELL T/ALLEN 18 X 50 MM NC</t>
  </si>
  <si>
    <t>PERNO CAB HEX C.T. 33 X130MM NC SAE 1020</t>
  </si>
  <si>
    <t>PERNO CAB HEX 33 X 200 MM NC SAE 1020</t>
  </si>
  <si>
    <t>PRISIONERO T/ALLEN M24 X 25 MM NC CL10.9</t>
  </si>
  <si>
    <t>PERNO CAB HEX 27 X 250 MM NC SAE 1020</t>
  </si>
  <si>
    <t>CABEZA BIELA PL.M-40193 P.B</t>
  </si>
  <si>
    <t>SOPORTE DE CONTRAPESO 250 X 230 X 19</t>
  </si>
  <si>
    <t>DADO RANURADO ACERO INOX AISI 316 PL</t>
  </si>
  <si>
    <t>ELECTRODO DE CARGA 75 MICRAS MK3 P/I</t>
  </si>
  <si>
    <t>SEMIGUIA RE-35SP 29X13</t>
  </si>
  <si>
    <t>FILTRO DE LINEA 20 MICRON, PART. 300</t>
  </si>
  <si>
    <t>SELLO RADIAL DE EJE (RETEN) CR 18733 SKF</t>
  </si>
  <si>
    <t>KIT SELLO CILINDRO NEUM MILLER 97050337</t>
  </si>
  <si>
    <t>PERNO C/CILIDRICA PL 1020 N° ACM3268</t>
  </si>
  <si>
    <t>TUERCA REGULACION 56X6/130 X 85 MM R</t>
  </si>
  <si>
    <t>KIT DE SELLO COMPLETO PARA VALVULA C</t>
  </si>
  <si>
    <t>KIT SELLOS CIL HIDR MILLER 97050345</t>
  </si>
  <si>
    <t>RETEN 130 X 160 X 14 MM, BA</t>
  </si>
  <si>
    <t>RETEN 145 X 180 X 12 MM, HMS</t>
  </si>
  <si>
    <t>RETEN 360 X 400 X 18 MM, TIPO 2 , DI</t>
  </si>
  <si>
    <t>RETEN 5.75 X 7 X 0.5 PG</t>
  </si>
  <si>
    <t>RETEN 1.875 X 2.875 X 0.313 MM</t>
  </si>
  <si>
    <t>RETEN 46 X 62 X 7 MM</t>
  </si>
  <si>
    <t>RETEN 7 X 8.3/8 X 5/8 PG</t>
  </si>
  <si>
    <t>RETEN 2.1/4 X 3.1/2 X 1/2 PG</t>
  </si>
  <si>
    <t>RETEN 85 X 110 X 12 MM</t>
  </si>
  <si>
    <t>RETEN 90 X 115 X 13 MM</t>
  </si>
  <si>
    <t>RETEN 60 X 90 X 10 MM</t>
  </si>
  <si>
    <t>RODILLO ENSAMBLADO 240 X 330/650 MM</t>
  </si>
  <si>
    <t>RODILLO 210 X 390 X 300 MM PL. 714-8</t>
  </si>
  <si>
    <t>RODILLO 185 X 185 MM ENSAMBLADO P/MA</t>
  </si>
  <si>
    <t>RODAMIENTO 6224 C3</t>
  </si>
  <si>
    <t>RODAMIENTO 81244 M</t>
  </si>
  <si>
    <t>RODAMIENTO NU 230 C3</t>
  </si>
  <si>
    <t>RODAMIENTO 7317 BEP</t>
  </si>
  <si>
    <t>RODAMIENTO 1220 K</t>
  </si>
  <si>
    <t>RODAMIENTO 1217 K</t>
  </si>
  <si>
    <t>RODAMIENTO 6312 2Z C3</t>
  </si>
  <si>
    <t>RODAMIENTO M231649 ASSY 90101</t>
  </si>
  <si>
    <t>RODAMIENTO 1314</t>
  </si>
  <si>
    <t>RODAMIENTO 6207 2RS1/C3</t>
  </si>
  <si>
    <t>RODAMIENTO 6313 2Z C3</t>
  </si>
  <si>
    <t>RODAMIENTO 6317 C3</t>
  </si>
  <si>
    <t>RODAMIENTO 6318 C3</t>
  </si>
  <si>
    <t>RODAMIENTO 7226 BCBM</t>
  </si>
  <si>
    <t>RODAMIENTO 61940</t>
  </si>
  <si>
    <t>RODAMIENTO 6013</t>
  </si>
  <si>
    <t>RODAMIENTO SKF 350980C</t>
  </si>
  <si>
    <t>RODAMIENTO 2220 KC3</t>
  </si>
  <si>
    <t>RODAMIENTO 23026 CC W33</t>
  </si>
  <si>
    <t>RODAMIENTO NU 316 ECP C3</t>
  </si>
  <si>
    <t>RODAMIENTO NU 318 ECP C3</t>
  </si>
  <si>
    <t>RODAMIENTO NJ 313 ECP/C3</t>
  </si>
  <si>
    <t>RODAMIENTO 2216 K</t>
  </si>
  <si>
    <t>RODAMIENTO HJ 202816-IR 162016</t>
  </si>
  <si>
    <t>RODAMIENTO NU 311 ECP/C3</t>
  </si>
  <si>
    <t>RODAMIENTO RODILLO ESFERICO 23056CCW33</t>
  </si>
  <si>
    <t>BEARING, ROLLER, 110MM ID X 200MM OD X</t>
  </si>
  <si>
    <t>RODAMIENTO 22220 EK/C3</t>
  </si>
  <si>
    <t>RODAMIENTO RODILLO ESFERICO 22319 E</t>
  </si>
  <si>
    <t>RODAMIENTO NA435SW CONO / 432D PISTA</t>
  </si>
  <si>
    <t>RODAMIENTO 33208 Q</t>
  </si>
  <si>
    <t>RODAMIENTO 507345=305237 A</t>
  </si>
  <si>
    <t>RODAMIENTO BOLA RADIAL RIGIDO 507341</t>
  </si>
  <si>
    <t>RODAMIENTO 780 CONO / PISTA 772</t>
  </si>
  <si>
    <t>RODAMIENTO NA 798/792 CD  TIMKEN</t>
  </si>
  <si>
    <t>RODAMIENTO 355A/354A TIMKEN</t>
  </si>
  <si>
    <t>RODAMIENTO NU 315 ECP C3</t>
  </si>
  <si>
    <t>RODAMIENTO HJ 445624</t>
  </si>
  <si>
    <t>RODAMIENTO JH 307749/JH 307710</t>
  </si>
  <si>
    <t>ROTULA 200X75X33.5 PL.MM-NP-112</t>
  </si>
  <si>
    <t>RESERVORIO IR223BK - MATPEL MATPEL</t>
  </si>
  <si>
    <t>MANGUERA METALICA FLEX CORRUG 3/4"X900MM</t>
  </si>
  <si>
    <t>VALVULA MARIPOSA.6" WAFER FIERRO FUN</t>
  </si>
  <si>
    <t>VALVULA DE SOPLADO 1.1/2 PG, 6</t>
  </si>
  <si>
    <t>VALVULA MAXIMA PRESION HID 30-315 KG/CM2</t>
  </si>
  <si>
    <t>VALVULA REXROTH DBW30B25X/100U6EW110N9K4</t>
  </si>
  <si>
    <t>VALVULA DISTRIBUCION GRASA 240BAR DE</t>
  </si>
  <si>
    <t>VALVULA DISTRIBUCION DESCARGA 2.95 M</t>
  </si>
  <si>
    <t>VALVULA DE CONTROL FISHER 5424588 2"</t>
  </si>
  <si>
    <t>RESINA EN PASTA CON ENDURECEDOR MATPEL</t>
  </si>
  <si>
    <t>ACOPLAMIENTO FLEX DENTADO G20/1020 AC.</t>
  </si>
  <si>
    <t>BLOCK CTTO AUX 4NC 10A 380VCA LA1-DN04</t>
  </si>
  <si>
    <t>MANGUITO H 320</t>
  </si>
  <si>
    <t>MANGUITO H 220</t>
  </si>
  <si>
    <t>SIMATIC S7 300 CPU 315 2PN/DP 384KB</t>
  </si>
  <si>
    <t>SIMATIC DP POWER MODULE PM-E FOR ET</t>
  </si>
  <si>
    <t>CPU SIMATIC SIEMENS 6ES74162XN050AB0</t>
  </si>
  <si>
    <t>SIMATIC S7 400 MODULO DE SALIDA DIGI</t>
  </si>
  <si>
    <t>SIMATIC S7 400 MODULO DE ENTRADAS DI</t>
  </si>
  <si>
    <t>SIMATIC DP MODULO INTERFASE IM 153-1</t>
  </si>
  <si>
    <t>RECEPTACULO P/LANZA DE TERMOCUPLA DE</t>
  </si>
  <si>
    <t>PERNO 27X30X235MM PL.MM-NP-213 P. 1,2,3</t>
  </si>
  <si>
    <t>PERNO 27X28X165MM PL.MM-NP-101 P 1,2,3</t>
  </si>
  <si>
    <t>ROTULA DE 95 X 272 X 25.4 MM, T-300</t>
  </si>
  <si>
    <t>DIAFRAGMA DE 10" X 7.1/4" CON 8 AGUJ</t>
  </si>
  <si>
    <t>ACOPLAMIENTO RIG 12.04/15.31" 8 H</t>
  </si>
  <si>
    <t>CONECTOR MACHO 1/4" TUBO - 1/4" NPT</t>
  </si>
  <si>
    <t>BASTIDOR S/PL 1020 N° MANT1038/1</t>
  </si>
  <si>
    <t>CUÑA SUP 171.4X95X380 PL. 2.23.32.08462</t>
  </si>
  <si>
    <t>CABLE FLEX.REFRIG.P/AGUA 10.1/4"X15' C/T</t>
  </si>
  <si>
    <t>PANEL REFRIGERADO TIPO D - TECHO C. COMB</t>
  </si>
  <si>
    <t>PANEL REFRIGERADO TIPO B- TECHO C. COMB</t>
  </si>
  <si>
    <t>EJE VOLTEADOR PL.GLADWIN 28-055-28-056</t>
  </si>
  <si>
    <t>PANEL REFRIGERADO TIPO C - TECHO C. COMB</t>
  </si>
  <si>
    <t>DUCTO OBLICUO REFRIGERADO</t>
  </si>
  <si>
    <t>GUIA P/BARRA ELEVADORA 141 X 185 X 2</t>
  </si>
  <si>
    <t>RODILLO 100 X 184 MM ACERO SAE 4140</t>
  </si>
  <si>
    <t>EJE 40X246MM SAE1045 PL.09-103M P.MK.E</t>
  </si>
  <si>
    <t>SOPORTE 150X107.2MM ASTM A36 PL. 09.102M</t>
  </si>
  <si>
    <t>EJE PIÑ. MOTRIZ 490X2880 PL.M39482 P.B</t>
  </si>
  <si>
    <t>BOQUILLA Ø50mm ES-2</t>
  </si>
  <si>
    <t>RODILLO ENSAMBLADO 356 X 367 X 605 M</t>
  </si>
  <si>
    <t>RODILLO OVAL DE DESGASTE 60 X 29 X 3</t>
  </si>
  <si>
    <t>CILINDRO LAM 360X650MM-67/72-LAM2-C5-6</t>
  </si>
  <si>
    <t>INSERTO 15X32 MM RE-35SP ACERO AISI</t>
  </si>
  <si>
    <t>PERNO DE FIJACION 45X98X470MM PL.TAHE122</t>
  </si>
  <si>
    <t>EJE PIÑ. COND. 490X2485 PL.M39482 P.A</t>
  </si>
  <si>
    <t>EJE PIÑ. COND. 331X2020 PL.M39767 P.A</t>
  </si>
  <si>
    <t>FAJA 3 SISTEMA COMPLETO 800 MM P/ HH</t>
  </si>
  <si>
    <t>GUIA DE SALIDA DE CAJA TERMINADORA(T</t>
  </si>
  <si>
    <t>CODO 90° 2 1/2" GIRAT PL. CG 466-32-107</t>
  </si>
  <si>
    <t>TUBO SOPORTE 127 X 20 X 7210 MM, PL.</t>
  </si>
  <si>
    <t>PIÑON MOTRIZ SUPERIOR 165X570X200 MM</t>
  </si>
  <si>
    <t>PIÑON MOTRIZ INFERIOR 175 X 570 X 22</t>
  </si>
  <si>
    <t>PIÑON DIENTE INCLINADO 90 X 167 X 14</t>
  </si>
  <si>
    <t>CAMBIO COMPLET FERREA P/S8.60519/10316..</t>
  </si>
  <si>
    <t>CILINDRO HID DBL 6" 120KG 36"CARR T:P30M</t>
  </si>
  <si>
    <t>KIT DE SELLOS P/CIL. NEUM. 250 DIA X</t>
  </si>
  <si>
    <t>BOCINA 35X40X30 MM PL. MMLL-850A P.3</t>
  </si>
  <si>
    <t>BOCINA 35X40X50MM PL. MMLL-850A P.4</t>
  </si>
  <si>
    <t>TAPA TOPE 30/120 X 34 MM ACERO ASTM</t>
  </si>
  <si>
    <t>TAPA TOPE 71/120 X 34 MM ACERO ASTM</t>
  </si>
  <si>
    <t>EJE 3 PL MM423</t>
  </si>
  <si>
    <t>EJE 4 PL MM426</t>
  </si>
  <si>
    <t>BRAZO DERECHO INF. PL.3.23.32.08000</t>
  </si>
  <si>
    <t>BRAZO DERECHO SUP. PL.3.23.32.08001</t>
  </si>
  <si>
    <t>BRAZO IZQUIERDO INFERIOR PL 3233208164</t>
  </si>
  <si>
    <t>BRAZO SOPORTE SUP. 520MM PL.M38133 P.A</t>
  </si>
  <si>
    <t>SEMIGUIA RTO-0B 40X18</t>
  </si>
  <si>
    <t>SIMATIC DP, 5 MODULOS ELECTRONIC MOD</t>
  </si>
  <si>
    <t>VALVULA DE REGULACION 50 BAR</t>
  </si>
  <si>
    <t>TRANSFORMADOR DE RADIO FRECUENC</t>
  </si>
  <si>
    <t>SPEED POT 10 KOHM 30 MM 1 TURN PART</t>
  </si>
  <si>
    <t>ANILLO BELLEVILLE 14X32X2MM AISI6150</t>
  </si>
  <si>
    <t>FILTRO Y COMEVAL 630W0000000025</t>
  </si>
  <si>
    <t>FILTRO Y 50MM COMEVAL 630W0000000050</t>
  </si>
  <si>
    <t>PLANCHA 12X1200X1500MM INOX AISI310</t>
  </si>
  <si>
    <t>FILTRO AMORTIGUADOR DAMPER P/N 14833</t>
  </si>
  <si>
    <t>FILTRO MEDIO 10 UM P/N 37940 P/IMPRE</t>
  </si>
  <si>
    <t>BOQUILLA PULVER AGUA 3/8" TAM 2065</t>
  </si>
  <si>
    <t>BOQUILLA PULVERIZ AGUA 3/8" TAM 3065</t>
  </si>
  <si>
    <t>KIT SPARES JET PUMP P/N 37772</t>
  </si>
  <si>
    <t>KIT CLAMP GUTTER TUBE P/N67617</t>
  </si>
  <si>
    <t>MODULO ENTRADAS ANALOGICAS TIPO IP-16ADC</t>
  </si>
  <si>
    <t>TARJETA DE ALIMENTACION P/REGULADOR</t>
  </si>
  <si>
    <t>MICROSWITCH SWITCHES TIPO: MIC 23, P</t>
  </si>
  <si>
    <t>SENSOR DE NIVEL (LSH) TIPO:PFG57 24V</t>
  </si>
  <si>
    <t>SENSOR DE NIVEL (LSH) TIPO: FTC AA12</t>
  </si>
  <si>
    <t>ANILLO BELLEVILLE PL.4355 P.P1</t>
  </si>
  <si>
    <t>MOTOREDUCTOR 3KW 440V TRIF 120</t>
  </si>
  <si>
    <t>KIT DE SELLOS P/CIL. NEUM. 80 DIA X</t>
  </si>
  <si>
    <t>CHAVETA TANGENC. PL.NOPL-M-579 P.5</t>
  </si>
  <si>
    <t>CHAVETAS TANGENC. PL.NOPL-M-579 P.1</t>
  </si>
  <si>
    <t>CHAVETAS TANGENC. PL.NOPL-M-579 P.2</t>
  </si>
  <si>
    <t>INSERTO 40 X 14 MM ACERO INOX AISI 3</t>
  </si>
  <si>
    <t>INSERTO 22 X 8 MM ACERO INOX AISI 30</t>
  </si>
  <si>
    <t>MANGA FILTR DES 1020 N° ENFIL 08270Q1019</t>
  </si>
  <si>
    <t>ELEMENTO DE FILTRO DE BOLSA SISTEMA</t>
  </si>
  <si>
    <t>BOQUILLA TUBO SAL. P/1/2" PL.TAHE-102-11</t>
  </si>
  <si>
    <t>ACTUADOR NEUMATICO PL.P&amp;I 77588-C</t>
  </si>
  <si>
    <t>PERNO M12/8.5X34MM PL .TAHE-10-101 POS.4</t>
  </si>
  <si>
    <t>PERNO M12/8.5X49.5MM PL .TAHE10101 POS.1</t>
  </si>
  <si>
    <t>ESCOBILLA 100X140X30 MM CARBON GRAFI</t>
  </si>
  <si>
    <t>PANTOGRAFO P/ZAPATA 100X140X30 MM 80</t>
  </si>
  <si>
    <t>MANGUERA HID 1 1/4"X1.22M SAE 100R12AT</t>
  </si>
  <si>
    <t>MANGUERA HID 1 1/4"X0.91M SAE 100R12AT</t>
  </si>
  <si>
    <t>MANGUERA HID 1/2"X1.35M SAE 100R2AT</t>
  </si>
  <si>
    <t>MANGUERA HID 1"X1.00M SAE 100R12AT</t>
  </si>
  <si>
    <t>MANGUERA HID 1"X1.10M SAE 100R12AT</t>
  </si>
  <si>
    <t>MANGUERA HID 1"X1.40M SAE 100R12AT</t>
  </si>
  <si>
    <t>MANGUERA HID 1"X1.60M SAE 100R12AT</t>
  </si>
  <si>
    <t>MANGUERA HID 1"X1.22M SAE 100R12AT</t>
  </si>
  <si>
    <t>MANGUERA HID 1"X1.45M SAE 100R12</t>
  </si>
  <si>
    <t>MANGUERA HID 1 1/4"X0.90M SAE 100R12AT</t>
  </si>
  <si>
    <t>POLIN 62 X 100 X 80 MM EMBOCINADO AC</t>
  </si>
  <si>
    <t>POLIN TEMPLADOR 56X95X45 MM, PL MANT</t>
  </si>
  <si>
    <t>MANGUERA HID 1/2"X0.63M SAE 100R2AT</t>
  </si>
  <si>
    <t>ELEMENTO DE SEGURIDAD TREN 450 227 X</t>
  </si>
  <si>
    <t>SUPLE PARA GRASERA 1/4" NPT M12X63 M</t>
  </si>
  <si>
    <t>SUPLE P/GRASERA TREFIL. HEX. 19 X 40</t>
  </si>
  <si>
    <t>PIN CENTRADOR 26 X 65 MM ACERO SAE 1</t>
  </si>
  <si>
    <t>BOCINA GUIA PL DANIELI LLT450053/1</t>
  </si>
  <si>
    <t>CAMISETA PROTECTOR PL. 3.23.45.08038</t>
  </si>
  <si>
    <t>REGULADOR DE CAUDAL 3/8" P/MANGUERA</t>
  </si>
  <si>
    <t>ELEMENTO DE FILTRO 2Q P/18PI M298M4M-11</t>
  </si>
  <si>
    <t>ACOPLE RAPIDO TAPA HEMBRA 3" BRONCE C</t>
  </si>
  <si>
    <t>FILTRO SECADOR DANFOSS 023Z5043</t>
  </si>
  <si>
    <t>CARTUCHO FILTRANTE DE ALTO CAUDAL ACE</t>
  </si>
  <si>
    <t>ACOPLAMIENTO 1/4 FOSTER T/CASQUILLO R</t>
  </si>
  <si>
    <t>RECUBRIMIENTO PRPOTECTOR PREXON 21031</t>
  </si>
  <si>
    <t>TOMACOR IP55 3P+T 30A 480V 60Hz+CODO</t>
  </si>
  <si>
    <t>MODULO DE VALVULA DIRECCIONAL CON REG</t>
  </si>
  <si>
    <t>MANGUERA HIDRAULICA 2" SAE 100R2</t>
  </si>
  <si>
    <t>TERMORESISTENCIA RTD PT 100 OHM 0 - 2</t>
  </si>
  <si>
    <t>MODULO DE COMUNICACION RIO SLC</t>
  </si>
  <si>
    <t>REMOTE I/O ADAPTER MODULE</t>
  </si>
  <si>
    <t>ELEMENTO DE FILTRO MOD MS100</t>
  </si>
  <si>
    <t>TAPA INTERNA 300X25MM PL060203M7003</t>
  </si>
  <si>
    <t>RETEN 6 7/8" X 8 3/8" X 1/2" VITON</t>
  </si>
  <si>
    <t>ELEMENTO DE FILTRO MOD MS150</t>
  </si>
  <si>
    <t>ANILLO ROSCADO PARTIDO 2 M170X 3 X O1</t>
  </si>
  <si>
    <t>ANILLO ROSCADO PARTIDO 1 M200X3 X O17</t>
  </si>
  <si>
    <t>MOTOR ELEC 90KW 460V 1785RPM 280 B3T</t>
  </si>
  <si>
    <t>CABLE COMPENS CL43204200RX400R - 1028633</t>
  </si>
  <si>
    <t>RODAMIENTO 24064 CC/W33</t>
  </si>
  <si>
    <t>ARANDELA P/GUIA PL DANIELI LLT450053/3</t>
  </si>
  <si>
    <t>INSERTO 18X40MM RE-55SP ACERO INOX AI</t>
  </si>
  <si>
    <t>INSERTO 18X45MM RE-55SP ACERO INOX AI</t>
  </si>
  <si>
    <t>RETEN 230 X 260 X 15 MM NITRILO RADIA</t>
  </si>
  <si>
    <t>EJE DE SUJECION PL. SIDER MC-110923-7</t>
  </si>
  <si>
    <t>ANILLO PROTECTOR DE ROSCA PL. SIDER M</t>
  </si>
  <si>
    <t>PROTECTOR DE TUERCA O TAPA PL. SIDER</t>
  </si>
  <si>
    <t>BOMBA VICKERS 45V60A1A22R</t>
  </si>
  <si>
    <t>OIL FILTER ELEMENT, HYDAC 0330R010BN4/HC</t>
  </si>
  <si>
    <t>INJECTOR REF DROPSA 3083490</t>
  </si>
  <si>
    <t>MODULO ELECTR SIEMENS 6ES73317KF020AB0</t>
  </si>
  <si>
    <t>CILNIDRO MILLER 5" AJ52B2B500600200999</t>
  </si>
  <si>
    <t>REGULADOR PRES CONCOA CGA025 806-6599</t>
  </si>
  <si>
    <t>VALVULA DIRECC REX 54WE10E33CW110RN9Z5</t>
  </si>
  <si>
    <t>VALVULA DIRECC REX 54WE10D33/CW110RN9Z5</t>
  </si>
  <si>
    <t>AUTO FILTER ELE KKZ10 SCHRADER BELLOWS H</t>
  </si>
  <si>
    <t>KIT, PISTON RING, 4 IN, VITON, SEAL, FOR</t>
  </si>
  <si>
    <t>ELECTR MODULE, ALLEN-BRADLEY 1756-IB32</t>
  </si>
  <si>
    <t>ELEC MODULE 1756-OA16 ALLEN-BRADLEY</t>
  </si>
  <si>
    <t>ELECTR MODULE, ALLEN-BRADLEY 1756-IA16</t>
  </si>
  <si>
    <t>ENCODER 0.915308.K DANIELI &amp; C S.P.A</t>
  </si>
  <si>
    <t>PRESSURE SWITCH, 300BAR, IFM EFECTOR</t>
  </si>
  <si>
    <t>SELLO DE ACEITE NO ESTÁNDAR 45X60X8 HMSA</t>
  </si>
  <si>
    <t>ELECTR MODULE, ALLEN-BRADLEY 1756-OA16I</t>
  </si>
  <si>
    <t>ELECTR MODULE, ALLEN-BRADLEY 1794-IT8</t>
  </si>
  <si>
    <t>ELEMENTO FILTRO ACEITE SCHROEDER 27KZ10</t>
  </si>
  <si>
    <t>ELEMENTO FILTRO  ACEITE SCHROEDER KKZ25</t>
  </si>
  <si>
    <t>ROTULA GE100ES</t>
  </si>
  <si>
    <t>VALVULA EUROHYDRO PROG.382/83 OILCONTR17</t>
  </si>
  <si>
    <t>CASQUILLO INTERCAMBIABLE COD.06281014</t>
  </si>
  <si>
    <t>CASQUILLO INTERCAMBIABLE COD.06271025</t>
  </si>
  <si>
    <t>INTERRUP. FIN DE CARRERA ZCK-J1 (G32)</t>
  </si>
  <si>
    <t>MOTOR HIDRAULICO PART. N° 3780767 PARKER</t>
  </si>
  <si>
    <t>CADENA TRANS REF SKF PHC80-1X10FT</t>
  </si>
  <si>
    <t>RODAMIENTO 30204</t>
  </si>
  <si>
    <t>CODO 90GR 0,25POL NPT PARKER 165C4</t>
  </si>
  <si>
    <t>CODO 90GR 0,31POL NPT PARKER 165C5</t>
  </si>
  <si>
    <t>MODULO ELECTRONIC ALLEN BRADLEY 1756OB32</t>
  </si>
  <si>
    <t>MODULO ELECTR ALLEN BRADLEY 1746IO12</t>
  </si>
  <si>
    <t>REPUESTO HIDRAULICO LINCOLN A9911H15</t>
  </si>
  <si>
    <t>REPUESTO CILINDRO LINCOLN A290D25</t>
  </si>
  <si>
    <t>ELEMENTO FILTRO ACEITE SCHROEDER KKZ1</t>
  </si>
  <si>
    <t>REPUESTO CILINDRO LINCOLN A2988115</t>
  </si>
  <si>
    <t>REPUESTO CILINDRO MILLER 91212295 63B</t>
  </si>
  <si>
    <t>RODILLO PL ACM2939/40/41 Y ACM2946</t>
  </si>
  <si>
    <t>FLEJE SUPERIOR PL ACUTUS 11016 POS 4</t>
  </si>
  <si>
    <t>BOQUILLA TUBO 5/8" PL TAHE13211 REV 1</t>
  </si>
  <si>
    <t>APOYO SOPORT PL ACUTUS GLADWIN 12-006</t>
  </si>
  <si>
    <t>RUEDA DENTADA 50H7 SKF PHS601B20</t>
  </si>
  <si>
    <t>RUEDA DENTADA 40H7 SKF PHS601B27</t>
  </si>
  <si>
    <t>WASHER 25MM X 50MM X 3MM CS BELLEVILLE 0</t>
  </si>
  <si>
    <t>SWITCH, PISTON PRESSURE ADW 6 28 - 211</t>
  </si>
  <si>
    <t>STARTER MOTOR, ALLEN-BRADLEY 140-MN-1600</t>
  </si>
  <si>
    <t>CHASSIS, ALLEN-BRADLEY 1756-A13</t>
  </si>
  <si>
    <t>SPINDLE 392.60 SERIES GWB UNIVERSAL FOR</t>
  </si>
  <si>
    <t>SENSOR, PROXIMITY, INDUCTIVE 10MM SENSIN</t>
  </si>
  <si>
    <t>ELECTR MODULE, SIEMENS</t>
  </si>
  <si>
    <t>HANGER CONDUCTIX WAMPFLER XA28368</t>
  </si>
  <si>
    <t>SPRAY NOZZLE 0.055874.F DANIELI &amp; C S.P.</t>
  </si>
  <si>
    <t>CONTROL STAT MS4M11524 OEM CONTROLS MOUN</t>
  </si>
  <si>
    <t>ANILLO LABERINTO PL 2233207759</t>
  </si>
  <si>
    <t>ANILLO ELASTICO AGUJERO 47X1.75MM DIN472</t>
  </si>
  <si>
    <t>RODAMIENTO NTN 67790/67720</t>
  </si>
  <si>
    <t>RODAMIENTO TIMKEN H913849913810</t>
  </si>
  <si>
    <t>MANGUERA ARMADA PARKER 30216 1" 1M</t>
  </si>
  <si>
    <t>REPUESTO CASQUILLO EUROMEC 08541039</t>
  </si>
  <si>
    <t>REPUESTO CASQUILLO EUROMEC 08461010</t>
  </si>
  <si>
    <t>REPUESTO CASQUILLO EUROMEC 00020281</t>
  </si>
  <si>
    <t>MANGUERA ARM PARKER 30216 1" 1,250M</t>
  </si>
  <si>
    <t>RODAMIENTO SKF NU2236ECMAM</t>
  </si>
  <si>
    <t>SENSOR FOTOELEC IDEC S80MH5YL09PPIZ</t>
  </si>
  <si>
    <t>CAJA RODAMIENTO SKF SY50TR</t>
  </si>
  <si>
    <t>PIN PL DANIELI 5227834H013/2241</t>
  </si>
  <si>
    <t>PIN DE SEGURIDAD PL 5227834H010/1961</t>
  </si>
  <si>
    <t>BOCINA PL MANT752</t>
  </si>
  <si>
    <t>ZAPATA PL MANT-1307</t>
  </si>
  <si>
    <t>REDUCTOR VELOCIDAD PL SIDERTECH 11228</t>
  </si>
  <si>
    <t>TUERCA PL TAGLIAFERRI 6BPE78276 POS 4,5</t>
  </si>
  <si>
    <t>RUEDA PL TENOVA CG46625105 POS 1</t>
  </si>
  <si>
    <t>PLACA ANTI DESGASTE PL MANT138</t>
  </si>
  <si>
    <t>PIN PIVOTE PL CORE TENOVA CG46625108</t>
  </si>
  <si>
    <t>BOMBA PL CORE TENOVA CG466750030/B2</t>
  </si>
  <si>
    <t>RESPIRADOR DESECANTE DC-VG-2 /DES-CASE</t>
  </si>
  <si>
    <t>BOMBA PL CORE TENOVA CG466750030/C2</t>
  </si>
  <si>
    <t>BOMBA PL CORE TENOVA CG4CG466750011/3</t>
  </si>
  <si>
    <t>ELEMENTO FILTRANTE HDA FRT0060 010FV</t>
  </si>
  <si>
    <t>ANILLO TOPE S/PL 1020 N° MANT1034</t>
  </si>
  <si>
    <t>BOCINA TOPE PL 1020 N° MANT1035/2</t>
  </si>
  <si>
    <t>ELEMENTO FILTRO ACEITE SCHROEDER 6RZ3</t>
  </si>
  <si>
    <t>ELEMENTO FILTRO HYDAC 0330R005BN4HC</t>
  </si>
  <si>
    <t>RETEN GARLOCK 211581399</t>
  </si>
  <si>
    <t>RODILLO TRANSPORTADOR TEKROLL RLN472CL</t>
  </si>
  <si>
    <t>TAPA PL ACM2747/1</t>
  </si>
  <si>
    <t>TAPA CALENTADOR TUNDISH PL ACM2747/2</t>
  </si>
  <si>
    <t>CAJA RODAMIENTO FAG RTUEY80</t>
  </si>
  <si>
    <t>BOVEDA PL 1002431401001/002/003/004/005</t>
  </si>
  <si>
    <t>POLIN PL LL 450039</t>
  </si>
  <si>
    <t>SOPORTE PL CORE CG46625104</t>
  </si>
  <si>
    <t>MANGUERA ARM 1.1/4" 2,5M PARKER 78C20</t>
  </si>
  <si>
    <t>CONVERSOR ALLEN BRAD 20G11ND077AA0NNNNN</t>
  </si>
  <si>
    <t>SENSOR CAPACITIVO IFM KI0205 KIE2015FB0A</t>
  </si>
  <si>
    <t>CADENA PL EXO TECH COR01I02/37/38/39</t>
  </si>
  <si>
    <t>ARRANCADOR SUAVE ALLEN SMCFLEX150F108NBD</t>
  </si>
  <si>
    <t>REPUESTO REF ROSEMOUNT 8711TSA040R1Q4</t>
  </si>
  <si>
    <t>POLIN PL PlLLT450037</t>
  </si>
  <si>
    <t>CORONA DENT COBRE PL CONE DRIVE 70S300</t>
  </si>
  <si>
    <t>MODULO ELECTR ALLEN BRADLEY 1746HSCE</t>
  </si>
  <si>
    <t>REPUESTO ELECTRONICO EMERSON 33B7075X022</t>
  </si>
  <si>
    <t>MANGUERA ARM 1.1/2" 3,25M PARKER 422-24</t>
  </si>
  <si>
    <t>COMBINADOR COMANDO OEM JS2M11525</t>
  </si>
  <si>
    <t>GENERADOR PULSOS BAUMER POG10DN60R</t>
  </si>
  <si>
    <t>BOBINA ELECTRICA EATON 915491</t>
  </si>
  <si>
    <t>BOBINA ELECTRICA EATON 915851</t>
  </si>
  <si>
    <t>RUEDA PL JASO 48515-P-01</t>
  </si>
  <si>
    <t>RUEDA PL 48515P02 POS 1-14</t>
  </si>
  <si>
    <t>BALANCIN PL JASO 485151E06.2</t>
  </si>
  <si>
    <t>MOTOR 460V 180HP 315S DELCROSA NV315S4</t>
  </si>
  <si>
    <t>MOTOR ELECTRC ELECTRO ADDA FC90L4</t>
  </si>
  <si>
    <t>ELEMENTO FILTRO ACEITE 01E12010VG16SPVA</t>
  </si>
  <si>
    <t>ELEMENTO FILT OLEO 10µ 01E6010VGHRRP</t>
  </si>
  <si>
    <t>PLACA DESGASTE EST LATERAL PL ACM2774/7</t>
  </si>
  <si>
    <t>CORREA PLANA 54"X42M ROCKMASTER 4400</t>
  </si>
  <si>
    <t>CONTACTOR CUTLER HAMMER C80DG121B33</t>
  </si>
  <si>
    <t>CONTACTO ELECTRICO CUTLER HAMMER 6189</t>
  </si>
  <si>
    <t>CONJUNTO JUNTA VICKERS 612580000</t>
  </si>
  <si>
    <t>VALVULA REG. CAUDAL DGMFN3 X A2W B2W 41</t>
  </si>
  <si>
    <t>TRANSMISOR NIVEL REF DANIELI 0523695W</t>
  </si>
  <si>
    <t>EJE EXCENTRICO SUPERIOR PL ACM3413</t>
  </si>
  <si>
    <t>VALVULA FLUJO DOBLE DGMFN-5-X-A2W-B2W-30</t>
  </si>
  <si>
    <t>VALVULA RETENC ARMATUREN CH2263E0000050</t>
  </si>
  <si>
    <t>VALVULA RETENC ARMATUREN CH2263E0000080</t>
  </si>
  <si>
    <t>VALVULA RETENC ARMATUREN 51100000000025</t>
  </si>
  <si>
    <t>VALVULA RELIEF DGMC2-5-AB-FW-BA-FW-30</t>
  </si>
  <si>
    <t>VALVULA REDUCT PRESION DANIELI 0194623R</t>
  </si>
  <si>
    <t>VALVULA FLUJO DOBLE DGMFN-5-Y-A2W-B2W-30</t>
  </si>
  <si>
    <t>VALVULA REDUC. PRESIÓN DGMX23PALFWB40</t>
  </si>
  <si>
    <t>RESORTE PL LOGUS 218703M0130</t>
  </si>
  <si>
    <t>TORNILLO REF DANIELI 0221333B</t>
  </si>
  <si>
    <t>ADAPTADOR PL N° ACM3224/1</t>
  </si>
  <si>
    <t>ADAPTADOR PL N° ACM3224/2</t>
  </si>
  <si>
    <t>ADAPTADOR PL N° ACM3224/3</t>
  </si>
  <si>
    <t>ABRAZADERA 1/2" STAUFF SP106,4PPISMW10K</t>
  </si>
  <si>
    <t>TARJETA ELECTRONICAABB 68718929</t>
  </si>
  <si>
    <t>TARJETA ELECTRONICA ABB 68260850</t>
  </si>
  <si>
    <t>PERNO PL N° ACM3237</t>
  </si>
  <si>
    <t>PERNO PL N° ACM3266</t>
  </si>
  <si>
    <t>CONTRAPESO PL N° 40930/F</t>
  </si>
  <si>
    <t>ELEMENTO FILT INTERNORMEN 01E200140G10EP</t>
  </si>
  <si>
    <t>ACOPLAMIENTO LOVEJOY LS090</t>
  </si>
  <si>
    <t>ANILLO REF DANIELI 0099509N</t>
  </si>
  <si>
    <t>ANILLO O REF DANIELI 0006747P</t>
  </si>
  <si>
    <t>ANILLO O REF DANIELI 0003184Z</t>
  </si>
  <si>
    <t>VALVULA REF EUROMEC VR323001</t>
  </si>
  <si>
    <t>PIÑON EUROMEC 08542402</t>
  </si>
  <si>
    <t>BOMBA HIDRAULICA REF EUROMEC A8V0107SR</t>
  </si>
  <si>
    <t>ACOPLAMIENTO EUROMEC 08463222</t>
  </si>
  <si>
    <t>ACOPLAMIENTO REF EUROMEC T2060154</t>
  </si>
  <si>
    <t>ANILLO EUROMEC S00020332</t>
  </si>
  <si>
    <t>FILTRO AZEITE DANIELI 0308395S</t>
  </si>
  <si>
    <t>ANILLO V REF DANIELI 0220973Q325</t>
  </si>
  <si>
    <t>JUNTA DANIELI 0197502X</t>
  </si>
  <si>
    <t>RASPADOR P6 DANIELI 0197503Z</t>
  </si>
  <si>
    <t>ANILLO DANIELI 0220973Q250</t>
  </si>
  <si>
    <t>ANILLO DANIELI 0239094A</t>
  </si>
  <si>
    <t>PROTECTOR MANG HIDR DANIELI 0915265F007</t>
  </si>
  <si>
    <t>COJINETE DESLIZANTE DANIELI 4392340H002</t>
  </si>
  <si>
    <t>COJINETE DESLIZANTE DANIELI 4392341E002</t>
  </si>
  <si>
    <t>RESORTE DANIELI 4407059F</t>
  </si>
  <si>
    <t>COJINETE DESLIZANTE DANIELI 4407757G</t>
  </si>
  <si>
    <t>TAMBOR PL LIMA&amp;ZANETTE GSSPLZ030DEM0261</t>
  </si>
  <si>
    <t>TAMBOR PL LIMA&amp;ZANETTE GSSPLZ030DEM0260</t>
  </si>
  <si>
    <t>INTERRUPTOR FIN CURSO EUROMEC 2009022113</t>
  </si>
  <si>
    <t>TAMBOR PL LIMA&amp;ZANETTE GSSPLZ030DEM0214</t>
  </si>
  <si>
    <t>RESORTE DANIELI 4425116F</t>
  </si>
  <si>
    <t>RESORTE DANIELI 4428085N</t>
  </si>
  <si>
    <t>PLACA DESLIZAMIENTO DANIELI 5372807G002</t>
  </si>
  <si>
    <t>PLACA DESLIZAMIENTO DANIELI 5372808Q002</t>
  </si>
  <si>
    <t>RUEDA REF DANIELI 5507667C</t>
  </si>
  <si>
    <t>RUEDA REF DANIELI 5507668L</t>
  </si>
  <si>
    <t>POLEA V SKF PHP4SPB170TB</t>
  </si>
  <si>
    <t>CHAVETA PL LIMA Y ZAN GSSPLZ030DEM0050</t>
  </si>
  <si>
    <t>ACOPLAMIENTO PL LIMA GSSPLZ030DEM0046</t>
  </si>
  <si>
    <t>ANILLO O REF DANIELI 0060470X</t>
  </si>
  <si>
    <t>VALVULA CONTROL 1" SCHUBERT SALZER 80492</t>
  </si>
  <si>
    <t>ENGRANAJE LIMA ZANETTE GSSPLZ030DEM0041</t>
  </si>
  <si>
    <t>SOPORTE PL LIMAZANETTE GSSPLZ030DEM0031</t>
  </si>
  <si>
    <t>POLIN PL LIMA ZAN N° GSSPLZ030DEM0105</t>
  </si>
  <si>
    <t>ADAPTADOR TUBO MANG FESTO QS1/86 153002</t>
  </si>
  <si>
    <t>ELECTRODO SOLDADURA 3,20 INDURA OVERAY62</t>
  </si>
  <si>
    <t>CONEXION Y 16X16MM FESTO 130609 QSY16</t>
  </si>
  <si>
    <t>RUEDA PL 1020 N° MANT1027/1-5</t>
  </si>
  <si>
    <t>BASE SOPORTE PL 1020 N° MANT873</t>
  </si>
  <si>
    <t>MOTOFREIO REF SCHNELL B2563522010</t>
  </si>
  <si>
    <t>RACK 7 SLOT ALLEN BRADLEY 1756A7</t>
  </si>
  <si>
    <t>MODULO DE SAIDA ROCKWELL 1756-OW16I</t>
  </si>
  <si>
    <t>ROTULA GE 80 ES2RS SKF</t>
  </si>
  <si>
    <t>GUIA PL N° LLTMEC046/1</t>
  </si>
  <si>
    <t>ELEMENTO FILT ACEITE INTERN 01E45010VGHR</t>
  </si>
  <si>
    <t>PIEZA ESPECIFICA 486-614-30-AF 4065L</t>
  </si>
  <si>
    <t>PIEZA ESP BOQ PULV LECHL 48668330AF6045L</t>
  </si>
  <si>
    <t>MOTOR ELECTRICO ABB SBG800GB14</t>
  </si>
  <si>
    <t>EMPAQUETADURA KIT PHRG2AHL0131.VAST</t>
  </si>
  <si>
    <t>CONECTOR HEMBRA PL 1020 N° VR12016/A</t>
  </si>
  <si>
    <t>CODO CONEX INFER PL 1020 N° VR12016/B</t>
  </si>
  <si>
    <t>ACOPLE RÁPIDO BALFLEX 44A010075</t>
  </si>
  <si>
    <t>MOTOR CA 1325KW 4000V IP54 ALSTOM R14073</t>
  </si>
  <si>
    <t>ANILLO DESGAS 154,94X19,05X145MM CR99571</t>
  </si>
  <si>
    <t>ELEMENTO FILTRO AIRE 2.1/2BSP MP A11L03</t>
  </si>
  <si>
    <t>MANGUERA ARMADA PARKER 3014 1/4" 0,4M</t>
  </si>
  <si>
    <t>PERNO GUIA PL 1020 N° VR130891/1.1</t>
  </si>
  <si>
    <t>CUNA PL 1020 N° 3233207757</t>
  </si>
  <si>
    <t>INDICADOR DE PESO RICE LAKE 920I 69766</t>
  </si>
  <si>
    <t>POSTIZO SALIDA PL 1020 N° TGRTOOB21X8.4P</t>
  </si>
  <si>
    <t>PERNO M24 SPL 1020 N° LLT500068</t>
  </si>
  <si>
    <t>SEGURO 2 PL 1020 N° LLT330053</t>
  </si>
  <si>
    <t>ETIQUETA 1 3/8" 150X120MM AZUL</t>
  </si>
  <si>
    <t>ETIQUETA 1" 150X120MM ROJO</t>
  </si>
  <si>
    <t>ETIQUETA 3/4" 150x120MM NEGRO</t>
  </si>
  <si>
    <t>ETIQUETA 12MM 150X120MM VERDE</t>
  </si>
  <si>
    <t>ABRAZADERA STAUFF SPAL8114PPHDPALISMW10K</t>
  </si>
  <si>
    <t>ABRAZADERA STAUFF SPAL9140PPHDPALISMW10K</t>
  </si>
  <si>
    <t>ABRAZADERA STAUFF SPAL50337PPDPALISMW10K</t>
  </si>
  <si>
    <t>CONVERSOR ABB ACS8000101055B056D150L502N</t>
  </si>
  <si>
    <t>REGULADOR PRESION CONCOA 8066745</t>
  </si>
  <si>
    <t>BOBINA INDUC. SAET RED 1.3/4" MEC-56mm</t>
  </si>
  <si>
    <t>CODO CONEXION BENE INOX45246515</t>
  </si>
  <si>
    <t>BOBINA INDUC. SAET RED 1.1/2" MEC-50mm</t>
  </si>
  <si>
    <t>REPUESTO PARKER PS2584P</t>
  </si>
  <si>
    <t>MODULO ELECTR ALLEN BRADLEY 1756EN2T</t>
  </si>
  <si>
    <t>MANGUERA ARM SULFLEX AIR WATER 1" 3,8M</t>
  </si>
  <si>
    <t>MANGUERA ARM SULFLEX AIR WATER 1" 3,5M</t>
  </si>
  <si>
    <t>TUBO PL 1020 N° ACM3418</t>
  </si>
  <si>
    <t>BOBINA INDUC. SAET RED 2.1/4" MEC-69mm</t>
  </si>
  <si>
    <t>BOBINA INDUC. SAET RED 1.5/8" MEC-54mm</t>
  </si>
  <si>
    <t>BOMBA HIDRAULICA PARKER PV180R1K4T1WMMC</t>
  </si>
  <si>
    <t>MODULO SOLDADOR SAET POS_SCHEMLL0590164</t>
  </si>
  <si>
    <t>ASIENTO MORGAN 192843 KAB 411</t>
  </si>
  <si>
    <t>NIPLE PL 1020 Nº ACM3486/1</t>
  </si>
  <si>
    <t>RODAMIENTO RIGIDO ESFERA SKF 61905-2RS1</t>
  </si>
  <si>
    <t>CONVERSOR FREC ALLEN 20G1AND156AA0NNNNN</t>
  </si>
  <si>
    <t>LEVA PL 1020 Nº 6LOB77583/3</t>
  </si>
  <si>
    <t>EJE PL 1020 Nº 6LOB77583/4</t>
  </si>
  <si>
    <t>EJE PL 1020 Nº 6LOB77583/5</t>
  </si>
  <si>
    <t>MOTORREDUCTOR KONECRAN 52293227 52339685</t>
  </si>
  <si>
    <t>CABLE ACERO 11MM 8X9 SEALE ALM ACERO DER</t>
  </si>
  <si>
    <t>QUEMADOR FIVES NORTH AMERICAN 44257A</t>
  </si>
  <si>
    <t>MOTOFRENO KONECRANES KPE32685BD</t>
  </si>
  <si>
    <t>REPUESTO VEDACION KONECRANES 52300798</t>
  </si>
  <si>
    <t>PANEL CONTROL ALLEN BRADL 2711PT10C22A9P</t>
  </si>
  <si>
    <t>PANEL CONTROL ALLEN BRADLEY 2711PRDB15C</t>
  </si>
  <si>
    <t>CABLE MULTI-CONDUCTOR BELDEN 83719</t>
  </si>
  <si>
    <t>PUNZON CHINO ALCANT/ MP-68 PTUB:1384</t>
  </si>
  <si>
    <t>CARRITO VIGA I  DBISALA 2103143</t>
  </si>
  <si>
    <t>KIT VALV. SPOOL   W 746 K 87 -TAB. TR</t>
  </si>
  <si>
    <t>VALVULA DIAFRAGMA FESTO VZWEEM22CMG2500H</t>
  </si>
  <si>
    <t xml:space="preserve"> NIPLE METALICO ASTMA53 2X3" NPT 3000PSI</t>
  </si>
  <si>
    <t>VALVULA DIAFRAGMA PARKER 0R75VB</t>
  </si>
  <si>
    <t>NIPLE ASTM A53 2" X 4" NPT 3000 PSI</t>
  </si>
  <si>
    <t>VALVULA BORB 2.1/2" INTERAPP D10065332AR</t>
  </si>
  <si>
    <t>VALV. DIRECCIONAL DE CARTUCHO LC63 A 05E</t>
  </si>
  <si>
    <t>VALV. DIRECCIONAL DE CARTUCHO LFA 63 D -</t>
  </si>
  <si>
    <t>VALVULA LIMITADORA DE CARTUCHO DBDS 10K</t>
  </si>
  <si>
    <t>VALV.ASIENTO 2/2 N/A 110V 315 BAR WSM101</t>
  </si>
  <si>
    <t>ELEMENTO FILTRO DE AGUA SIZE 6X18 COD. 0</t>
  </si>
  <si>
    <t>BOQUILLA TORSIONADORA 100X45X250 TIPO 1</t>
  </si>
  <si>
    <t>CADENA DE TRANSMISION ISO 32B-1</t>
  </si>
  <si>
    <t>VALVULA CHECK PILOTADA Z1S 10</t>
  </si>
  <si>
    <t>CHUMACERA (CAJA RODAMIENTO)GAY-45 INA</t>
  </si>
  <si>
    <t>CILINDRO LAM 341X650MM ACERO RAPIDO</t>
  </si>
  <si>
    <t>CHUMACERA (CAJA RODAMIENTO) GYE-70 INA</t>
  </si>
  <si>
    <t>ROTULA GE-40-ES 2RS - ISB</t>
  </si>
  <si>
    <t>ESLABON PL 1020 Nº SP05010801000M4003</t>
  </si>
  <si>
    <t>SWITCH ALLEN BRADLEY-ROCKWELL 1783US16T</t>
  </si>
  <si>
    <t>PAK</t>
  </si>
  <si>
    <t>EJE PL 1020 NR SP-050107.02.012M4002/1.1</t>
  </si>
  <si>
    <t>CANCAMO DE 1/4" X 1" CROSBY 9900182</t>
  </si>
  <si>
    <t>PORTAC-UCHILLA PL 1020 NR AC-M2460/1.1</t>
  </si>
  <si>
    <t>PORTAC-UCHILLA PL 1020 NR AC-M2461/1.1</t>
  </si>
  <si>
    <t>BOQUILLA PL 1020 NR SP-06030728000A0013</t>
  </si>
  <si>
    <t>PLC S7 CPU 314C-2 DP REF 6ES7-314-6CH04-</t>
  </si>
  <si>
    <t>PLC S7 CPU 314C-2PN/DP 6ES7314-6EH04-0AB</t>
  </si>
  <si>
    <t>CAMISA MANGA COMPRIDA ELETRICISTA T-XXXX</t>
  </si>
  <si>
    <t>CAMISA MANGA COMPRIDA ELETRICISTA T-XXXL</t>
  </si>
  <si>
    <t>PORTA CUCHILLA SUP.VERT. PL.AC-M-2462</t>
  </si>
  <si>
    <t>SUFRID.LOMA MP-152 Ø1-Ø27 Esp.7.0 a 8.0</t>
  </si>
  <si>
    <t>EXTRACTOR ACOPLE EJE SALIDA</t>
  </si>
  <si>
    <t>EXTRACTOR RUEDA DENTADA EJE SALIDA</t>
  </si>
  <si>
    <t>EXTRACTOR PARA ACOPLE EJE ENTRADA</t>
  </si>
  <si>
    <t>CABLE RXP-GPM-RF 39G2,5 - 0.6/1(1.2)KV</t>
  </si>
  <si>
    <t>RIEL CURVO A120 X 6796 MM DIN 536</t>
  </si>
  <si>
    <t>MANGUERA HIDR 3/8"X 0.65- 3/8"JIC HEMBRA</t>
  </si>
  <si>
    <t>POWER SUPPLY 1606-XLE80E</t>
  </si>
  <si>
    <t>VALVULA CHECK CODE VUR 07 C N 8 - 1 1/2"</t>
  </si>
  <si>
    <t>BOMBA VICKERS MOD. 35V25A-1C22R</t>
  </si>
  <si>
    <t>VALVULA DE CIERRE AUTOMATICO FNA 1519-4</t>
  </si>
  <si>
    <t>CELDA DE CARGA 50KLBS MOD. RL9000TWM-50K</t>
  </si>
  <si>
    <t>CAPACITOR ELECTROLITICO 2400UF 400VDC</t>
  </si>
  <si>
    <t>BOCINA PESTAÑA LATERAL ESTRUCTURA GARRA</t>
  </si>
  <si>
    <t>CONECTOR HERMETICO CURVO 90GR - 1.1/2"</t>
  </si>
  <si>
    <t>TRANSMISOR PRESION MANOMETRICA EJA510E</t>
  </si>
  <si>
    <t>VALVULA REDUCTORA DE PRESION PROPORCIONA</t>
  </si>
  <si>
    <t>COMBINADOR SPOHN BURKHARDT VNSB2 66 FX18</t>
  </si>
  <si>
    <t>COMBINADOR SPOHN BURKHARDT VNSB2 55 FX18</t>
  </si>
  <si>
    <t>KIT SELLOS P/PISTON GARRA GRUA STEMM 8/1</t>
  </si>
  <si>
    <t>BOQUILLA DE LANZA ATOMIZADORA QUENCHING</t>
  </si>
  <si>
    <t>KIT SELLOS COD. F007005020 GARRA EUROMEC</t>
  </si>
  <si>
    <t>BOCINA PALETA DE DESVIO - ARTICULACION</t>
  </si>
  <si>
    <t>MANGUERA HIDRA. ARMADA 1 1/4" X 1.12 MT</t>
  </si>
  <si>
    <t>MANGUERA HIDRA. ARMADA 1 1/4" X 0.85 MT</t>
  </si>
  <si>
    <t>BOCINA SUPERIOR DE EJE DE PALETA DESVIO</t>
  </si>
  <si>
    <t>BOCINA INFERIOR DE EJE PALETA DESVIO T-3</t>
  </si>
  <si>
    <t>FRENO A DISCO SIMPLE REF. USB2-05</t>
  </si>
  <si>
    <t>KIT REPARACION P/BLADDER PART. 703026</t>
  </si>
  <si>
    <t>TRANSMISOR 7ME6910-1AA10-1AA0 SIEMENS</t>
  </si>
  <si>
    <t>MOTORREDUCTOR COMPLET VD-110 RFS400-3T</t>
  </si>
  <si>
    <t>RUEDA LOCA D-400 C-75 TESTERO TIPO V</t>
  </si>
  <si>
    <t>ESLINGA DE CADENA 3 RAMALES 17W18285</t>
  </si>
  <si>
    <t>FIN DE CARRERA RAVASI SERIE K 1:50 4M -</t>
  </si>
  <si>
    <t>JOYSTICK LADO DERECHO VNS022.11</t>
  </si>
  <si>
    <t>JOYSTICK LADO IZQUIERDO VNS021.11</t>
  </si>
  <si>
    <t>CABLE ELECTRICO IMAN GPM 4X25MM2 - GH</t>
  </si>
  <si>
    <t>EJE TORRETA Y BRAZO PRIMARIO S/PL.</t>
  </si>
  <si>
    <t>BOCINA BRAZO SEC. Y HORQUILLA GARRA S/PL</t>
  </si>
  <si>
    <t>BOCINA EJE INFERIOR BRAZO PRIMARIO S/PL.</t>
  </si>
  <si>
    <t>BOCINA DE CABEZAL Y BASE DE PISTONES S/P</t>
  </si>
  <si>
    <t>EJE DE BRAZO PRIMARIO Y SECUNDARIO S/PL.</t>
  </si>
  <si>
    <t>ANILLO DE DESGASTE PART. CR 99399 - SKF</t>
  </si>
  <si>
    <t>ELEMENTO ELASTICO FLEXOMAX VULKAN GE-148</t>
  </si>
  <si>
    <t>KONECRANES VARIADOR DE FREQUENCIA D2V011</t>
  </si>
  <si>
    <t>ETIQUETA EM COR(S)200GRGRADOS</t>
  </si>
  <si>
    <t>BOQUILLA SOLDADURA PUNTO LL1-ACAB.M.0007</t>
  </si>
  <si>
    <t>PIN SIST. ETIQUETADO LL1.ACAB.M.0005</t>
  </si>
  <si>
    <t>MOTOR ELECTRICO- JAULA WEG W22 HIGH EFF</t>
  </si>
  <si>
    <t>MOTOR ELECTRICO- JAULA 150 HP ALTERNA</t>
  </si>
  <si>
    <t>KIT SELLOS CILINDRO HID 2 PL S00080531</t>
  </si>
  <si>
    <t>PLACA MEDIANA CAJA 1 Y 2 TREN 500</t>
  </si>
  <si>
    <t>PLACA SUPERIOR CAJA 1 Y 2 TREN 500</t>
  </si>
  <si>
    <t>CASTILLO REFRIGERADO HH.EE. S/PLANOS</t>
  </si>
  <si>
    <t>CABLE DE FUERZA DE CARRO PORTACESTA - T1</t>
  </si>
  <si>
    <t>CABLE DE FUERZA DE CARRO PORTACESTA - T2</t>
  </si>
  <si>
    <t>CABLE DE CONTROL DE CARRO PORTACESTA T1</t>
  </si>
  <si>
    <t>CABLE DE CONTROL DE CARRO PORTACESTA T2</t>
  </si>
  <si>
    <t>CABLE FLEX 1/2" AC 6X36 T/DER. 75 MT</t>
  </si>
  <si>
    <t>MOTOR ELECTRICO- JAULA AEG 46 KW</t>
  </si>
  <si>
    <t>CREMALLERA, PEDESTAL HH.EE. S/PLANOS</t>
  </si>
  <si>
    <t>SOPORTE LANZA QUENCHING TOWER</t>
  </si>
  <si>
    <t>LANZA QUENCHING TOWER</t>
  </si>
  <si>
    <t>KIT SELLOS PART. H1CP160MEOFCAJFP2DXV</t>
  </si>
  <si>
    <t>KIT DE SELLOS MODELO: P3C3125C5B26A</t>
  </si>
  <si>
    <t>BOBINA INDUC. SAET RED 3/8" ISO-28mm</t>
  </si>
  <si>
    <t>BOBINA INDUC. SAET RED 2" MEC-63mm</t>
  </si>
  <si>
    <t>BOB INDUC.TH.BANDED RED 1.1/8" MEC- 40mm</t>
  </si>
  <si>
    <t>BOB INDUC.TH. BANDED RED 1.3/4" MEC-57mm</t>
  </si>
  <si>
    <t>RETEN PARA EJE SPINDLE 290X225 NBR</t>
  </si>
  <si>
    <t>CHUTE DESVIO MATERIALES PL. 21275-66</t>
  </si>
  <si>
    <t>ANILLO FIJACION FRM 290/17</t>
  </si>
  <si>
    <t>CONJUNTO RODILLO PL JASO: 51353-G-03-00</t>
  </si>
  <si>
    <t>LIMITADOR PUNTO FIJO TERMINAL CUÑA S/PL.</t>
  </si>
  <si>
    <t>RUEDA LOCA DE GIRO PLANO: 51353-G-02-00</t>
  </si>
  <si>
    <t>RUEDA MOTRIZ DE GIRO PLANO 51353-G-01-00</t>
  </si>
  <si>
    <t>DIVISOR CAUDAL 60 A 30 GPM MARCA PERMCO</t>
  </si>
  <si>
    <t>DIVISOR CAUDAL 30 A 10 GPM MARCA PERMCO</t>
  </si>
  <si>
    <t>BOMBA PISTONES AXIALES MESA 2</t>
  </si>
  <si>
    <t>ACOPLAMIENTO ELASTICO VULKAN MESA 2 SERI</t>
  </si>
  <si>
    <t>CILINDRO HIDRAULICO ZAPATA CANAL 2</t>
  </si>
  <si>
    <t>CILINDRO HIDRA. TRANSDUCTOR ZAPATA 2</t>
  </si>
  <si>
    <t>PANTOGRAFO P/FASE 140X140X30 VAHLE</t>
  </si>
  <si>
    <t>CARBON P/PANTOGRAFO VAHLE</t>
  </si>
  <si>
    <t>EJE PIÑON CONDUCIDO REDUCTOR DUO TREN 30</t>
  </si>
  <si>
    <t>ACOPLE MUÑON TREBOL CAJA TRIO TREN 300</t>
  </si>
  <si>
    <t>CHUMACERA BABBIT REDCUTOR TREN 450</t>
  </si>
  <si>
    <t>SOPORTE PORTA PLANCHA S/PLANO POS. 7</t>
  </si>
  <si>
    <t>MANGUERA HID. 5/8" X 2.4 M SAE 100R2AT</t>
  </si>
  <si>
    <t>MANGUERA HID. 5/8"X2.4 M SAE 100R2AT JIC</t>
  </si>
  <si>
    <t>CONECTOR TPC MACHO HEMBRA 24-24</t>
  </si>
  <si>
    <t>CONECTOR TPC MACHO HEMBRA 22-20</t>
  </si>
  <si>
    <t>TARJETA CPU X96-2001PL</t>
  </si>
  <si>
    <t>TARJETA MLM X96-2029PL</t>
  </si>
  <si>
    <t>TARJETA DIO X96-2008PL</t>
  </si>
  <si>
    <t>ADAPTA 90º MACH BSPO-MACH BSPP 3/4 - 1/2</t>
  </si>
  <si>
    <t>ADAPTADOR MACHO BSP 3/4" X HEMB JIC 3/4"</t>
  </si>
  <si>
    <t>ADAPTADOR RECTO MACHO BSP 3/4" X BSP 3/4</t>
  </si>
  <si>
    <t>MANGUERA STROBBE 4SP 1/2" X 0.50 MTS 90°</t>
  </si>
  <si>
    <t>MANGUERAS STROBBE 4SP 1/2" X 0.66 MTS</t>
  </si>
  <si>
    <t>ESPARRAGO Y TEMPLADOR SOPORTE DANIELI 2</t>
  </si>
  <si>
    <t>BASE MARCO REFRI MODULO EXT/END S-PLANO</t>
  </si>
  <si>
    <t>REDUCTOR, MODELO: 405A3-CR MARCA: FALK</t>
  </si>
  <si>
    <t>BONDED SEAL WASHER 3/4" BSP MARCA FLUMEC</t>
  </si>
  <si>
    <t>ACTUADOR/MOTOR SERIES 1615 - B / FIVES N</t>
  </si>
  <si>
    <t>MOTOREDUCTOR SEW K57 DRS90M4BE5/TF/</t>
  </si>
  <si>
    <t>KIT ORING BLOQUE VALVULA COD SKV0814V90</t>
  </si>
  <si>
    <t>GRAPAS FLEXCO PLACA ATORNILLADA 1"</t>
  </si>
  <si>
    <t>PUENTE DESLIZAMIENTO BURRITO ENSAMBLE</t>
  </si>
  <si>
    <t>SOPORTE DE PUENTE DESLIZANTE BURRITOS</t>
  </si>
  <si>
    <t>PERNO CAB. AVELL. T/ALLEN 18 X 40 MM G10</t>
  </si>
  <si>
    <t>SUFRIDERA REDONDO MP68 UNIPUNCH-P600 VIA</t>
  </si>
  <si>
    <t>PERNO CAB CIL T/ALL 20 X 180MM AC. 4140</t>
  </si>
  <si>
    <t>BOMBA PISTON AXIAL COD VESUVIUS 9B64512</t>
  </si>
  <si>
    <t>VALVULA DE ALIVIO COD VESUVIUS 9D76793</t>
  </si>
  <si>
    <t>CARTUCHO DE FILTRO COD VESUVIUS 9C42097</t>
  </si>
  <si>
    <t>VEJIGA ACUMULADOR COD VESUVIUS 9A17703</t>
  </si>
  <si>
    <t>VENTILADOR PARA VARIADOR ABB ACS800 R6</t>
  </si>
  <si>
    <t>RUEDA LOCA S/P JASO 440022090F1200C</t>
  </si>
  <si>
    <t>RUEDA MOTRIZ S/P JASO 440022090F1200M</t>
  </si>
  <si>
    <t>ESLABON MAESTRO A-342 PARTE 1014404 - 2"</t>
  </si>
  <si>
    <t>EMPAQUETADURA VITORITE 1/32" X 50 MTS.</t>
  </si>
  <si>
    <t>BOBINA INDUC. SAET RED 3" MEC - 87 mm</t>
  </si>
  <si>
    <t>BOBINA INDUC. SAET RED 1" ISO-47mm</t>
  </si>
  <si>
    <t>BOBINA INDUC. SAET RED 2" ISO-72mm</t>
  </si>
  <si>
    <t>BOBINA INDUC. SAET RED 2.1/2" ISO-88mm</t>
  </si>
  <si>
    <t>BOB INDUC. TH.BANDED RED 1.1/4" MEC-45mm</t>
  </si>
  <si>
    <t>BOB INDUC.TH. BANDED RED 1.7/8" MEC-57mm</t>
  </si>
  <si>
    <t>SPINDLE ADAPTOR #4737-1653-500 RENOLD</t>
  </si>
  <si>
    <t>SINAMICS POWER MODULE PM240-2/1.5KW 380-</t>
  </si>
  <si>
    <t>SINAMICS POWER MODULE PM240-2/55KW 380-4</t>
  </si>
  <si>
    <t>SINAMICS POWER MODULE PM240-2/2.2KW 380-</t>
  </si>
  <si>
    <t>SINAMICS POWER MODULE PM240-2/ 18.5 KW 3</t>
  </si>
  <si>
    <t>PLACA BASE PARA CORTE DE CUCHILLA CIZ SN</t>
  </si>
  <si>
    <t>KIT DE ESCOBILLA XA-30516 200A 6LG CU</t>
  </si>
  <si>
    <t>ACEITE SINTETICO MAK LUBES ML632 ISO 320</t>
  </si>
  <si>
    <t>ACEITE SINTETICO MAK LUBES ML668 ISO 680</t>
  </si>
  <si>
    <t>VARIADOR ABB ACS880-01-180A</t>
  </si>
  <si>
    <t>VARIADOR ABB ACS880-01-096A</t>
  </si>
  <si>
    <t>POSICIONADOR SIEMENS 6DR5020-ONGO3-OAAO</t>
  </si>
  <si>
    <t>REGULADOR ZAPATA ENSAMBLADO C1-C2- MESA</t>
  </si>
  <si>
    <t>PIN P/HORQUILLA REGULADOR C1 DIAM.32X139</t>
  </si>
  <si>
    <t>PIN P/BRAZO ZAPATA C1 DIAM.30X344MM-MESA</t>
  </si>
  <si>
    <t>UPPER PART W15/BH GALVANIZADO RIEL A100</t>
  </si>
  <si>
    <t>UPPER PART W15/BI GALVANIZADO RIEL A75</t>
  </si>
  <si>
    <t>BOCINA GRAFITADA DIAM.40X30X44-BRAZO ZAP</t>
  </si>
  <si>
    <t>CONTROL MOTOR DC LN2067-DDC-S2 MAGNETEK</t>
  </si>
  <si>
    <t>VALVULA CHECK MOD SPC1-20-P-20T VICKERS</t>
  </si>
  <si>
    <t>BOCINA DIAM.55X32MM-HORQUILLA REG.ZAPATA</t>
  </si>
  <si>
    <t>MANGUERA HIDR. 1"X1.720 M PART CTX26801</t>
  </si>
  <si>
    <t>MANGUERA HID 1 1/4"X2.120M COD CTX26802</t>
  </si>
  <si>
    <t>MANGUERA HID 1 1/4"X1.300 M COD CTX26803</t>
  </si>
  <si>
    <t>MANGUERA HID 1 1/4"X2.090 M COD CTX26804</t>
  </si>
  <si>
    <t>MANGUERA HID 1 1/4"X1.980 M COD CTX26805</t>
  </si>
  <si>
    <t>FILTRO HYDAC 0330R003-BN4HC/-V</t>
  </si>
  <si>
    <t>FILTRO HYDAC 0660R003 BN4HC/-V</t>
  </si>
  <si>
    <t>FILTRO HYDAC 0660R005 BN4HC/-V</t>
  </si>
  <si>
    <t>PERNO S/CABEZA C/HUECO HEX. CONICO M6 X</t>
  </si>
  <si>
    <t>JG. PASTILLA P/FRENO 100 CM2 USB 3-05</t>
  </si>
  <si>
    <t>BONDED SEAL DY-SB-025D 1 1/8"</t>
  </si>
  <si>
    <t>RODILLO P/TAPA GARRA HIDRAULICA S/PLANO</t>
  </si>
  <si>
    <t>PIN ROSCADO C/TUERCA GARRA HIDR S/PLANO</t>
  </si>
  <si>
    <t>TAPA P/GARRA ELECTROHIDRAULICA S/PLANO</t>
  </si>
  <si>
    <t>KIT DE FILTRO P/FRL TR1-TR5 EK602G</t>
  </si>
  <si>
    <t>PIN DE FIJACION GARRA ELECTROHIDR. S/PL</t>
  </si>
  <si>
    <t>POLEA ELEVACION S/PLANO 516396</t>
  </si>
  <si>
    <t>CORONA ELEVAC 100 DIENTES S/PL 516426</t>
  </si>
  <si>
    <t>EJE SALIDA S/PL 708530 POS 1,2,3</t>
  </si>
  <si>
    <t>SOPORTE EJE S/PLANO AC-M-GR-3585</t>
  </si>
  <si>
    <t>FILTRO SINTERIZADO MODELO: A000026</t>
  </si>
  <si>
    <t>CABLE FLEX 3/8" AC 6X36 T/DER. CASCABEL</t>
  </si>
  <si>
    <t>INTERRUPTOR-SECCIONADOR FSW400-3 WEG</t>
  </si>
  <si>
    <t>PLACA DESGASTE PL. AC-M-2782 POS. 5</t>
  </si>
  <si>
    <t>PLACA DESGASTE PL. AC-M-2791 POS. 6</t>
  </si>
  <si>
    <t>PLACA DESGASTE PL. AC-M-2775 POS. 8</t>
  </si>
  <si>
    <t>PLACA ESTRUCT. VERT. PL. AC-M-2767/9</t>
  </si>
  <si>
    <t>MODULO DE ENTRADAS PLC PARA TERMOCUPLA 1</t>
  </si>
  <si>
    <t>RODAMIENTO MODELO 22232-E1-K - FAG</t>
  </si>
  <si>
    <t>CORONA ELEVACION PL. 516425</t>
  </si>
  <si>
    <t>ACOPLAMIENTO 450 PL. AC-M-2662 POS. 1,2</t>
  </si>
  <si>
    <t>CONTROLADOR FLUJO FLOX[ON] S - FC-TECHNI</t>
  </si>
  <si>
    <t>MODULO MADRE GENETIX GCM M22633-1 REV.10</t>
  </si>
  <si>
    <t>MODULO BLUETOOH GENETIX XDC M22647-1 RV3</t>
  </si>
  <si>
    <t>VALVULA 5/2 H3 - ISO3 , DOBLE BOBINA 24V</t>
  </si>
  <si>
    <t>KIT EMPAQUETADURA P/REDUCTOR SRU70 1&amp;2</t>
  </si>
  <si>
    <t>ALETA GUIA F5T3 RED 17.2 (3/8" LAC)ERW76</t>
  </si>
  <si>
    <t>ALETA GUIA F6T3 RED 17.2 (3/8" LAC)ERW76</t>
  </si>
  <si>
    <t>ALETA GUIA F7T3 RED 17.2 (3/8" LAC)ERW76</t>
  </si>
  <si>
    <t>ALETA GUIA F5T3 RED 21.3 (1/2" LAC)ERW76</t>
  </si>
  <si>
    <t>ALETA GUIA F6T3 RED 21.3 (1/2" LAC)ERW76</t>
  </si>
  <si>
    <t>ALETA GUIA F7T3 RED 21.3 (1/2" LAC)ERW76</t>
  </si>
  <si>
    <t>ALETA GUIA F5T3 RED 26.9 (3/4" LAC)ERW76</t>
  </si>
  <si>
    <t>ALETA GUIA F6T3 RED 26.9 (3/4" LAC)ERW76</t>
  </si>
  <si>
    <t>ALETA GUIA F7T3 RED 26.9 (3/4" LAC)ERW76</t>
  </si>
  <si>
    <t>ALETA GUIA F5T3 RED 22.23 (7/8") ERW76</t>
  </si>
  <si>
    <t>ALETA GUIA F6T3 RED 22.23 (7/8") ERW76</t>
  </si>
  <si>
    <t>ALETA GUIA F7T3 RED 22.23 (7/8") ERW76</t>
  </si>
  <si>
    <t>ALETA GUIA F5T3 CUAD 19,1 (3/4") ERW76</t>
  </si>
  <si>
    <t>ALETA GUIA F6T3 CUAD 19,1 (3/4") ERW76</t>
  </si>
  <si>
    <t>ALETA GUIA F7T3 CUAD 19,1 (3/4") ERW76</t>
  </si>
  <si>
    <t>ALETA GUIA F5T3 RED 25,4 (1") ERW76</t>
  </si>
  <si>
    <t>ALETA GUIA F6T3 RED 25,4 (1") ERW76</t>
  </si>
  <si>
    <t>ALETA GUIA F7T3 RED 25,4 (1") ERW76</t>
  </si>
  <si>
    <t>ALETA GUIA F5T3 RED 28,58 (1.1/8")ERW76</t>
  </si>
  <si>
    <t>ALETA GUIA F6T3 RED 28,58 (1.1/8")ERW76</t>
  </si>
  <si>
    <t>ALETA GUIA F7T3 RED 28,58 (1.1/8")ERW76</t>
  </si>
  <si>
    <t>ALETA GUIA F5T3 RED 38.1 (1.1/2") ERW76</t>
  </si>
  <si>
    <t>ALETA GUIA F6T3 RED 38.1 (1.1/2") ERW76</t>
  </si>
  <si>
    <t>ALETA GUIA F7T3 RED 38.1 (1.1/2") ERW76</t>
  </si>
  <si>
    <t>ALETA GUIA F5T3 CUAD 31.75 (1.1/4")ERW76</t>
  </si>
  <si>
    <t>ALETA GUIA F6T3 CUAD 31.75 (1.1/4")ERW76</t>
  </si>
  <si>
    <t>ALETA GUIA F7T3 CUAD 31.75 (1.1/4")ERW76</t>
  </si>
  <si>
    <t>ALETA GUIA F5T3 RED 44.45 (1.3/4")ERW76</t>
  </si>
  <si>
    <t>ALETA GUIA F6T3 RED 44.45 (1.3/4")ERW76</t>
  </si>
  <si>
    <t>ALETA GUIA F7T3 RED 44.45 (1.3/4")ERW76</t>
  </si>
  <si>
    <t>ALETA GUIA F5T3 CUAD 38,1 (1.1/2") ERW76</t>
  </si>
  <si>
    <t>ALETA GUIA F6T3 CUAD 38,1 (1.1/2") ERW76</t>
  </si>
  <si>
    <t>ALETA GUIA F7T3 CUAD 38,1 (1.1/2") ERW76</t>
  </si>
  <si>
    <t>ALETA GUIA F5T3 RED 50.8 (2") ERW76</t>
  </si>
  <si>
    <t>ALETA GUIA F6T3 RED 50.8 (2") ERW76</t>
  </si>
  <si>
    <t>ALETA GUIA F7T3 RED 50.8 (2") ERW76</t>
  </si>
  <si>
    <t>ALETA GUIA F5T3 RED 57.15 (2.1/4")ERW76</t>
  </si>
  <si>
    <t>ALETA GUIA F6T3 RED 57.15 (2.1/4")ERW76</t>
  </si>
  <si>
    <t>RELE PROT. ABB RED615 HBDDAEAGNHC5BNA11G</t>
  </si>
  <si>
    <t>VALVULA DIRECCIONAL 4WE 10 E33/CG24N9K4</t>
  </si>
  <si>
    <t>VALVULA DIRECCIONAL 4WE 10 J33/EG24N9K4</t>
  </si>
  <si>
    <t>VALVULA DIRECCIONAL 4WE 10 E33/EG24N9K4</t>
  </si>
  <si>
    <t>SIMATIC S7-300 MOD 6ES7 322-1FH00-0AA0</t>
  </si>
  <si>
    <t>BASTIDOR DE BOBCAT H.E</t>
  </si>
  <si>
    <t>INPUT MODULE ALLEN BRANDLEY 1756-IA16I</t>
  </si>
  <si>
    <t>CONTROLLOGIX ALLEN BRANDLEY 1756-OF8</t>
  </si>
  <si>
    <t>REDUCTOR HIDR. PART. ITEM00184627 ZATO</t>
  </si>
  <si>
    <t>VALV.DIRECCIONAL M-3SED 6 UK1X/350CG24N9</t>
  </si>
  <si>
    <t>CRUCETA 7392550606000 ZKG 83X139 JOURNAL</t>
  </si>
  <si>
    <t>VALVULA ELEMENTO LOGICO INSERTO LC 40 A2</t>
  </si>
  <si>
    <t>VALVULA ELEMENTO LOGICO INSERTO LC 32 A2</t>
  </si>
  <si>
    <t>VALVULA CHECK SANDWICH PLATE Z1S 6 P05-4</t>
  </si>
  <si>
    <t>TACO DE MAREDA TORNILLO DE 400MM LONG.EJ</t>
  </si>
  <si>
    <t>VALVULA DE PRESION SUN RDHA-LAN-T-16A</t>
  </si>
  <si>
    <t>JUEGO PILOTO 3/4" NPT FIVES 4011-12</t>
  </si>
  <si>
    <t>CILINDRO LAM 360X650MM CALIDAD KR-SPEED</t>
  </si>
  <si>
    <t>IMPEDER THROUGH FLOW 46X430MM OD SIN RET</t>
  </si>
  <si>
    <t>IMPEDER THROUGH FLOW 76X430MM OD SIN RET</t>
  </si>
  <si>
    <t>IMPEDER THROUGH FLOW 92X430MM OD SIN RET</t>
  </si>
  <si>
    <t>RETURN FLOW M3 IMPEDER 70X430MM T4</t>
  </si>
  <si>
    <t>KIT DE SELLOS ACUMULADOR DE PISTONES H-E</t>
  </si>
  <si>
    <t>CILINDRO LAMINADOR 10H- 11H 380X600mm</t>
  </si>
  <si>
    <t>INTERRUPTOR DE MEDIA TENSION VD4 ABB</t>
  </si>
  <si>
    <t>PASTECA POLIPASTO 5T S/PLANO</t>
  </si>
  <si>
    <t>INSERTO ENDURECIDO DE EJES SPINDLES T-50</t>
  </si>
  <si>
    <t>PLACA FINAL DE EJES SPINDLES T-500/T-450</t>
  </si>
  <si>
    <t>CENTER TUBE SHAFT #4784-0983-500 RENOLD</t>
  </si>
  <si>
    <t>TIP PILOTO 4021 CON BUJIA</t>
  </si>
  <si>
    <t>BOMBA HIDRAULICA HPV02-A2-280R LINDE</t>
  </si>
  <si>
    <t>RESISTENCIA 10K 5W C&amp;D ELETT RES05S5/100</t>
  </si>
  <si>
    <t>ROD SEAL KIT RK2AHL0135</t>
  </si>
  <si>
    <t>PERNO CAB CIL T/ALL 12X25 MM DIN912 INOX</t>
  </si>
  <si>
    <t>CILINDRO LAM-360X650-HSS-73/78- LAM-1</t>
  </si>
  <si>
    <t>TARJETA DE ENTRADA DIGITALES 6ES7 521-1B</t>
  </si>
  <si>
    <t>TARJETA DE SALIDAS DIGITALES 6ES7 522-1B</t>
  </si>
  <si>
    <t>TARJETA DE ENTRADAS ANALOGICAS 6ES7 531-</t>
  </si>
  <si>
    <t>TARJETA DE SALIDAS ANALOGICAS 6ES7 532-5</t>
  </si>
  <si>
    <t>TARJETA IM 6ES7 151-3AA23-0AB0</t>
  </si>
  <si>
    <t>TARJETA PM 6ES7 138-4CA01-0AA0</t>
  </si>
  <si>
    <t>TARJETA ENTRADAS DIGITALES 6ES7 131-4BF0</t>
  </si>
  <si>
    <t>TARJETA SALIDAS DIGITALES 6ES7 132-4BF00</t>
  </si>
  <si>
    <t>TARJETA ENTRADAS ANALOGICAS 6ES7 134-4GD</t>
  </si>
  <si>
    <t>TARJETA SALIDAS ANALOGICAS 6ES7 135-4FB0</t>
  </si>
  <si>
    <t>CONJUNTO POLEAS DE TRAVIESA DN 800 S/PL.</t>
  </si>
  <si>
    <t>GANCHO LAMINAS NGR40X130 L=1000 S/PL.</t>
  </si>
  <si>
    <t>RELE DE ESTADO SOLIDO PHOENIX 2980144</t>
  </si>
  <si>
    <t>RELE SSR WEIDMULLER 1126920000</t>
  </si>
  <si>
    <t>PERNO FIJACION ESTRUCTURA DANIELI 3 Y 9</t>
  </si>
  <si>
    <t>CONVERSOR UNIVERSAL SENECA Z109REG1</t>
  </si>
  <si>
    <t>MANGA FILTRANTE ARAMIDA 160MM X 6500MM</t>
  </si>
  <si>
    <t>TRANS DE CORRIENTE ESAM MT-CAT2_10-24</t>
  </si>
  <si>
    <t>TRANSDUCTOR DE VOLTAJE ESAM MT-VAT2-24</t>
  </si>
  <si>
    <t>CONVERTIDOR DE SEÑAL ESAM NI-DT4V10-24</t>
  </si>
  <si>
    <t>SENSOR DE FLUJO SIEMENS 7ME65202DF422AA1</t>
  </si>
  <si>
    <t>CONVERSOR FREC POWER FLEX 755 20G11ND040</t>
  </si>
  <si>
    <t>RODILLO PLANO CARB.CEMENTADO RE-75</t>
  </si>
  <si>
    <t>RIEL DE RODADURA OF 51353 GRUA PUENTE 8/</t>
  </si>
  <si>
    <t>AXIAL PISTON PUMP</t>
  </si>
  <si>
    <t>AMPLIFICADOR VT-VSPA1-11-1X/V0/0</t>
  </si>
  <si>
    <t>AISLANTES BRAZO-MASTIL S/PLANO 11805-13</t>
  </si>
  <si>
    <t>* SUJETADOR TIPO UÑA XDE MEDIDAS 52 X 60</t>
  </si>
  <si>
    <t>LUBRICANTE 650 AML CHESTERTON PN: 85892</t>
  </si>
  <si>
    <t>GAS PRESURE SWITCH DUNGS GAOA4-4-8</t>
  </si>
  <si>
    <t>GAS PRESURE SWITCH DUNGS GAOA4-4-5</t>
  </si>
  <si>
    <t>CONVERSOR FREC ALLEN 20G11ND040AA0NNNNN</t>
  </si>
  <si>
    <t>TUBO CONDUCTOR 3 X 2.1/2 PG X 12 9/16 PI</t>
  </si>
  <si>
    <t>INHIBIDOR CORROS. NALCO 3D TRASAR 3DT198</t>
  </si>
  <si>
    <t>BIOCIDA NO OXIDANTE NALCO 7330</t>
  </si>
  <si>
    <t>ARRANCADOR SUAVE SIEMENS 3RW5545-6HA14</t>
  </si>
  <si>
    <t>REDUCTOR HELICOIDAL POS(LR) ONLY GEAR RE</t>
  </si>
  <si>
    <t>REDUCTOR HELICOIDAL POS(RL) ONLY GEAR RE</t>
  </si>
  <si>
    <t>RUEDA MEJORADA MESA GIRO HORNOS.</t>
  </si>
  <si>
    <t>PIN DE HORQUILLA DE ZAPATAS</t>
  </si>
  <si>
    <t>POLIN GUIA DE TENDAL Y ACCESORIOS</t>
  </si>
  <si>
    <t>TACHUELA ACERO BC 3/4"X1.9CM (CJ 450 GR.</t>
  </si>
  <si>
    <t>SET TUBO DE MUELLE FRENO USB5-I</t>
  </si>
  <si>
    <t>ENROLLADOR MOT CONDUCTIX 3264901 BNA14</t>
  </si>
  <si>
    <t>ENROLLADOR MOT CONDUCTIX 3264903 BNA30</t>
  </si>
  <si>
    <t>PAQUETE DE MUELLE LOCOMOTORA COCKERILL</t>
  </si>
  <si>
    <t>EJE Y MANGUITO LARGO ACANALADOS - T4</t>
  </si>
  <si>
    <t>EJE Y MANGUITO CORTO ACANALADOS - T4</t>
  </si>
  <si>
    <t>CUCHILLAS LOOPER DE 1 HILO</t>
  </si>
  <si>
    <t>CUCHILLAS LOOPER DE 3 HILOS</t>
  </si>
  <si>
    <t>FILTRO HIDRAULICO RETORNO CR171F10R</t>
  </si>
  <si>
    <t>INT SIEMENS 3AH4215-2PM11-0BD7-Z-M30</t>
  </si>
  <si>
    <t>CABLE ACERO 20 MM ZS 8XK26WS 360,5 KN</t>
  </si>
  <si>
    <t>RODAMIENTO 22220/C4W33VA9A1</t>
  </si>
  <si>
    <t>RODAMIENTO 23220/C4W33VA9B1</t>
  </si>
  <si>
    <t>OXIGEN BACKP/N MKT - 65905-01-D</t>
  </si>
  <si>
    <t>EXIGEN INJECTOR TUBE P/N MKT-84400-01-T</t>
  </si>
  <si>
    <t>LANCE BODY DN110 P/N MKT-65904-D</t>
  </si>
  <si>
    <t>INTERNAL NOZZLE 2500P/N MKT-84000-05</t>
  </si>
  <si>
    <t>EXTERNAL NOZZLE 2500P/N MKT-84000-06</t>
  </si>
  <si>
    <t>CARBON BACK P/N MKT-84666-01-E</t>
  </si>
  <si>
    <t>CARBON INJECTOR P/N MKT-84562-01</t>
  </si>
  <si>
    <t>CARBON EXTRACTOR NUT P/N MKT-84666-02-E</t>
  </si>
  <si>
    <t>WG2159-400 MODULO POSITIVO THERMATOOLS</t>
  </si>
  <si>
    <t>CABLE TPC WIRE TC SUPER-TREX TIPO W 6/6</t>
  </si>
  <si>
    <t>WG2160-400 ASSY MODL NEG 400KHZ THERMATO</t>
  </si>
  <si>
    <t>ESAB FILTER BAG (OPC) ESAB</t>
  </si>
  <si>
    <t>Flux funnel complete ESAB</t>
  </si>
  <si>
    <t>INSERT, H = 24 MM ESAB</t>
  </si>
  <si>
    <t>BOMBA DE PISTONES AXIALES REXROTH A4VSO7</t>
  </si>
  <si>
    <t>VALVULA DE ESTRANGULACION Y ANTIRRETORNO</t>
  </si>
  <si>
    <t>VARIADOR ABB ACS88001011A5B056D150E202</t>
  </si>
  <si>
    <t>VARIADOR ABB ACS88001027A5B056D150E202</t>
  </si>
  <si>
    <t>VARIADOR ABB ACS88001156A5B056D150E202</t>
  </si>
  <si>
    <t>VARIADOR ABB ACS880-01-260A-5+D150+E202+</t>
  </si>
  <si>
    <t>VALVULA DE CIERRE AUTOMATICO FNA 1519-1</t>
  </si>
  <si>
    <t>POLIN DE GUIA RTO-2B</t>
  </si>
  <si>
    <t>POLIN DE GUIA RE-110</t>
  </si>
  <si>
    <t>POLIN DE GUIA RE-55WBF CAJA 14H</t>
  </si>
  <si>
    <t>POLIN DE GUIA RE-55WBF CAJA 15H</t>
  </si>
  <si>
    <t>POLIN DE GUIA RT-1CS2</t>
  </si>
  <si>
    <t>POLIN DE GUIA RE-55SP</t>
  </si>
  <si>
    <t>PUNTA PARA GUIA DS-1 12H PROD.1/2"</t>
  </si>
  <si>
    <t>PUNTA PARA GUIA RTO-1B 13V PROD.1/2"</t>
  </si>
  <si>
    <t>GUARDA DS-1 12H PROD.1/2"</t>
  </si>
  <si>
    <t>SEMIGUIA PARA GUIA RE-55 13V PROD.1/2"</t>
  </si>
  <si>
    <t>SEMIGUIA PARA GUIA RTO-1B 13V PROD.1/2"</t>
  </si>
  <si>
    <t>INSERTO DE SEMIGUIA RE-55WBF 14H PROD.1/</t>
  </si>
  <si>
    <t>INSERTO DE SEMIGUIA RE-55WBF 15H PROD.1/</t>
  </si>
  <si>
    <t>INSERTO DE NARIZ RE-55WBF 15H PROD.1/2"</t>
  </si>
  <si>
    <t>CODO MOVIL SEGUN PLANO T032769</t>
  </si>
  <si>
    <t>CUCHILLA DE CIZALLA DIVISORA LAMINADOR#2</t>
  </si>
  <si>
    <t>PIN PORTA ANILLO EBT M39 MM POS. 4</t>
  </si>
  <si>
    <t>EJE POSTE RODILLO LARGO IZQUIERDO ERW76</t>
  </si>
  <si>
    <t>EJE POSTE RODILLO LARGO R-DERECHO ERW76</t>
  </si>
  <si>
    <t>STANDARD TEST BLOCK - 60 HRBW</t>
  </si>
  <si>
    <t>STANDARD TEST BLOCK - 80 HRBW</t>
  </si>
  <si>
    <t>STANDARD TEST BLOCK - 60 HRC</t>
  </si>
  <si>
    <t>CUCHILLA DE PUESTA TIERRA FILNOR H.C.</t>
  </si>
  <si>
    <t>NARIZ RT-1CS2 - PROD.1/2"</t>
  </si>
  <si>
    <t>GRAPA DE FIJACION DE PUNTA - GUIA RT-1CS</t>
  </si>
  <si>
    <t>BRASS TURBOLUBE DISTRIBUTOR VTLM4</t>
  </si>
  <si>
    <t>BRASS TURBOLUBE DISTRIBUTOR VTL4-S</t>
  </si>
  <si>
    <t>BRASS TURBOLUBE DISTRIBUTOR VTL3-S</t>
  </si>
  <si>
    <t>BRASS TURBOLUBE DISTRIBUTOR TLR6-S</t>
  </si>
  <si>
    <t>PUERTA CAMARA COMBUSTION ENSAMBLADA PTE</t>
  </si>
  <si>
    <t>ESPIRAL AMARRADORA DE PAQUETES ACABADOS</t>
  </si>
  <si>
    <t>BLOQUE HIDRAULICO P/ PULPO NGR 4173 STEM</t>
  </si>
  <si>
    <t>MANGUITO POSICIONA.DE CARTUCHO SINOSTELL</t>
  </si>
  <si>
    <t>CAMISETA Ø192XØ167X111 RODIL.ENT.M-ENF#2</t>
  </si>
  <si>
    <t>CAMISETA Ø192XØ168X111 RODIL.ENT.M-ENF#2</t>
  </si>
  <si>
    <t>PLACA DE SACRIFICIO FORMADOR DE LAZO 1H</t>
  </si>
  <si>
    <t>PLACA DE SACRIFICIO FORMADOR DE LAZO 3H</t>
  </si>
  <si>
    <t>RODILLO FIJO FORMADOR DE LAZO DE 1H</t>
  </si>
  <si>
    <t>RODILLO MOVIL FORMADOR DE LAZO 1H</t>
  </si>
  <si>
    <t>RODILLO FIJO FORMADOR DE LAZO 3H</t>
  </si>
  <si>
    <t>RODILLO MOVIL FORMADOR DE LAZO 3H</t>
  </si>
  <si>
    <t>RODILLO FIJO FORMADOR DE LAZO DE 1H MAT.</t>
  </si>
  <si>
    <t>RODILLO MOVIL MAT. FUN. NOD. GGG50 FORMA</t>
  </si>
  <si>
    <t>RODILLO FIJO MAT, FUN. NOD.GGG50 FORMADO</t>
  </si>
  <si>
    <t>GRASA RHENUS ABG 02 GRADO NLGI 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</si>
</sst>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6" fontId="0" fillId="0" borderId="0" xfId="0" applyNumberFormat="1"/>
    <xf numFmtId="0" fontId="2" fillId="0" borderId="0" xfId="0" applyFont="1"/>
    <xf numFmtId="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3" fontId="0" fillId="0" borderId="0" xfId="0" applyNumberFormat="1"/>
    <xf numFmtId="4" fontId="0" fillId="2" borderId="0" xfId="0" applyNumberFormat="1" applyFill="1"/>
    <xf numFmtId="16" fontId="0" fillId="2" borderId="0" xfId="0" applyNumberFormat="1" applyFill="1"/>
    <xf numFmtId="0" fontId="2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1" formatCode="d\-m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1" formatCode="d\-mmm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D_Abri25" displayName="BD_Abri25" ref="B1:AD2959" totalsRowShown="0" headerRowDxfId="14">
  <autoFilter ref="B1:AD2959"/>
  <tableColumns count="29">
    <tableColumn id="1" name="Frecuen."/>
    <tableColumn id="2" name="Ce." dataDxfId="13" totalsRowDxfId="12"/>
    <tableColumn id="3" name="CaP" dataDxfId="11" totalsRowDxfId="10"/>
    <tableColumn id="4" name="Material"/>
    <tableColumn id="5" name="Texto breve de material"/>
    <tableColumn id="6" name="Criticidad"/>
    <tableColumn id="7" name="ABC"/>
    <tableColumn id="8" name="PlN"/>
    <tableColumn id="9" name="GrPl"/>
    <tableColumn id="10" name="UMB"/>
    <tableColumn id="11" name="LP"/>
    <tableColumn id="12" name="GCp"/>
    <tableColumn id="13" name="SMAX"/>
    <tableColumn id="14" name="PP_SAP"/>
    <tableColumn id="15" name="SS_SAP"/>
    <tableColumn id="16" name="Stock"/>
    <tableColumn id="17" name="Valor Sto."/>
    <tableColumn id="18" name="Crit. Operacional">
      <calculatedColumnFormula>+IF(G2="PZ", "PZ: Alta Crit.",IF(G2="PY","PY: Media Crit.", "PX: Baja Crit."))</calculatedColumnFormula>
    </tableColumn>
    <tableColumn id="19" name="Ruptura">
      <calculatedColumnFormula>+IF(Q2=0,1,0)</calculatedColumnFormula>
    </tableColumn>
    <tableColumn id="20" name="Seguridad">
      <calculatedColumnFormula>+IF(AND(Q2&lt;=P2,Q2&gt;0),1,0)</calculatedColumnFormula>
    </tableColumn>
    <tableColumn id="21" name="Objetivo">
      <calculatedColumnFormula>+IF(AND(Q2&gt;P2,Q2&lt;=N2),1,0)</calculatedColumnFormula>
    </tableColumn>
    <tableColumn id="22" name="Exceso">
      <calculatedColumnFormula>+IF(Q2&gt;N2,1,0)</calculatedColumnFormula>
    </tableColumn>
    <tableColumn id="23" name="Total ítems"/>
    <tableColumn id="24" name="Fecha Reporte" dataDxfId="9" totalsRowDxfId="8"/>
    <tableColumn id="25" name="Analista" dataDxfId="7" totalsRowDxfId="6"/>
    <tableColumn id="26" name="Semana" dataDxfId="5" totalsRowDxfId="4"/>
    <tableColumn id="27" name="Status" dataDxfId="3" totalsRowDxfId="2"/>
    <tableColumn id="28" name="Motivo"/>
    <tableColumn id="29" name="Tipo Reposición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2959"/>
  <sheetViews>
    <sheetView tabSelected="1" workbookViewId="0">
      <selection activeCell="E656" sqref="E656:F1885"/>
    </sheetView>
  </sheetViews>
  <sheetFormatPr baseColWidth="10" defaultRowHeight="14"/>
  <cols>
    <col min="6" max="6" width="49.5" bestFit="1" customWidth="1"/>
  </cols>
  <sheetData>
    <row r="1" spans="2:3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2:30">
      <c r="B2">
        <v>12</v>
      </c>
      <c r="C2">
        <v>1020</v>
      </c>
      <c r="D2" t="s">
        <v>29</v>
      </c>
      <c r="E2">
        <v>10050036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20</v>
      </c>
      <c r="O2">
        <v>11</v>
      </c>
      <c r="P2">
        <v>4</v>
      </c>
      <c r="Q2">
        <v>21</v>
      </c>
      <c r="R2">
        <v>483</v>
      </c>
      <c r="S2" t="str">
        <f t="shared" ref="S2:S65" si="0">+IF(G2="PZ", "PZ: Alta Crit.",IF(G2="PY","PY: Media Crit.", "PX: Baja Crit."))</f>
        <v>PX: Baja Crit.</v>
      </c>
      <c r="T2">
        <f t="shared" ref="T2:T65" si="1">+IF(Q2=0,1,0)</f>
        <v>0</v>
      </c>
      <c r="U2">
        <f t="shared" ref="U2:U65" si="2">+IF(AND(Q2&lt;=P2,Q2&gt;0),1,0)</f>
        <v>0</v>
      </c>
      <c r="V2">
        <f t="shared" ref="V2:V65" si="3">+IF(AND(Q2&gt;P2,Q2&lt;=N2),1,0)</f>
        <v>0</v>
      </c>
      <c r="W2">
        <f t="shared" ref="W2:W65" si="4">+IF(Q2&gt;N2,1,0)</f>
        <v>1</v>
      </c>
      <c r="X2">
        <v>1</v>
      </c>
      <c r="Y2" s="2">
        <v>45768</v>
      </c>
      <c r="Z2" s="3" t="s">
        <v>38</v>
      </c>
      <c r="AA2" t="s">
        <v>39</v>
      </c>
      <c r="AB2" t="s">
        <v>40</v>
      </c>
      <c r="AC2" t="s">
        <v>40</v>
      </c>
      <c r="AD2" t="s">
        <v>41</v>
      </c>
    </row>
    <row r="3" spans="2:30">
      <c r="B3">
        <v>12</v>
      </c>
      <c r="C3">
        <v>1020</v>
      </c>
      <c r="D3" t="s">
        <v>29</v>
      </c>
      <c r="E3">
        <v>10041346</v>
      </c>
      <c r="F3" t="s">
        <v>42</v>
      </c>
      <c r="G3" t="s">
        <v>43</v>
      </c>
      <c r="H3" t="s">
        <v>44</v>
      </c>
      <c r="I3" t="s">
        <v>33</v>
      </c>
      <c r="J3" t="s">
        <v>45</v>
      </c>
      <c r="K3" t="s">
        <v>35</v>
      </c>
      <c r="L3" t="s">
        <v>36</v>
      </c>
      <c r="M3" t="s">
        <v>46</v>
      </c>
      <c r="N3">
        <v>30</v>
      </c>
      <c r="O3">
        <v>15</v>
      </c>
      <c r="P3">
        <v>0</v>
      </c>
      <c r="Q3">
        <v>406</v>
      </c>
      <c r="R3" s="4">
        <v>16497.79</v>
      </c>
      <c r="S3" t="str">
        <f t="shared" si="0"/>
        <v>PY: Media Crit.</v>
      </c>
      <c r="T3">
        <f t="shared" si="1"/>
        <v>0</v>
      </c>
      <c r="U3">
        <f t="shared" si="2"/>
        <v>0</v>
      </c>
      <c r="V3">
        <f t="shared" si="3"/>
        <v>0</v>
      </c>
      <c r="W3">
        <f t="shared" si="4"/>
        <v>1</v>
      </c>
      <c r="X3">
        <v>1</v>
      </c>
      <c r="Y3" s="2">
        <v>45768</v>
      </c>
      <c r="Z3" s="3" t="s">
        <v>47</v>
      </c>
      <c r="AA3" t="s">
        <v>39</v>
      </c>
      <c r="AB3" t="s">
        <v>40</v>
      </c>
      <c r="AC3" t="s">
        <v>40</v>
      </c>
      <c r="AD3" t="s">
        <v>41</v>
      </c>
    </row>
    <row r="4" spans="2:30">
      <c r="B4">
        <v>12</v>
      </c>
      <c r="C4">
        <v>1020</v>
      </c>
      <c r="D4" t="s">
        <v>29</v>
      </c>
      <c r="E4">
        <v>14192316</v>
      </c>
      <c r="F4" t="s">
        <v>48</v>
      </c>
      <c r="G4" t="s">
        <v>43</v>
      </c>
      <c r="H4" t="s">
        <v>44</v>
      </c>
      <c r="I4" t="s">
        <v>33</v>
      </c>
      <c r="J4" t="s">
        <v>45</v>
      </c>
      <c r="K4" t="s">
        <v>35</v>
      </c>
      <c r="L4" t="s">
        <v>36</v>
      </c>
      <c r="M4" t="s">
        <v>46</v>
      </c>
      <c r="N4">
        <v>30</v>
      </c>
      <c r="O4">
        <v>20</v>
      </c>
      <c r="P4">
        <v>0</v>
      </c>
      <c r="Q4">
        <v>302</v>
      </c>
      <c r="R4" s="4">
        <v>16559.95</v>
      </c>
      <c r="S4" t="str">
        <f t="shared" si="0"/>
        <v>PY: Media Crit.</v>
      </c>
      <c r="T4">
        <f t="shared" si="1"/>
        <v>0</v>
      </c>
      <c r="U4">
        <f t="shared" si="2"/>
        <v>0</v>
      </c>
      <c r="V4">
        <f t="shared" si="3"/>
        <v>0</v>
      </c>
      <c r="W4">
        <f t="shared" si="4"/>
        <v>1</v>
      </c>
      <c r="X4">
        <v>1</v>
      </c>
      <c r="Y4" s="2">
        <v>45768</v>
      </c>
      <c r="Z4" s="3" t="s">
        <v>47</v>
      </c>
      <c r="AA4" t="s">
        <v>39</v>
      </c>
      <c r="AB4" t="s">
        <v>49</v>
      </c>
      <c r="AC4" s="5" t="s">
        <v>50</v>
      </c>
      <c r="AD4" t="s">
        <v>41</v>
      </c>
    </row>
    <row r="5" spans="2:30">
      <c r="B5">
        <v>12</v>
      </c>
      <c r="C5">
        <v>1020</v>
      </c>
      <c r="D5" t="s">
        <v>29</v>
      </c>
      <c r="E5">
        <v>14120685</v>
      </c>
      <c r="F5" t="s">
        <v>51</v>
      </c>
      <c r="G5" t="s">
        <v>52</v>
      </c>
      <c r="H5" t="s">
        <v>32</v>
      </c>
      <c r="I5" t="s">
        <v>33</v>
      </c>
      <c r="J5" t="s">
        <v>45</v>
      </c>
      <c r="K5" t="s">
        <v>53</v>
      </c>
      <c r="L5" t="s">
        <v>36</v>
      </c>
      <c r="M5" t="s">
        <v>46</v>
      </c>
      <c r="N5">
        <v>10</v>
      </c>
      <c r="O5">
        <v>6</v>
      </c>
      <c r="P5">
        <v>2</v>
      </c>
      <c r="Q5">
        <v>12</v>
      </c>
      <c r="R5">
        <v>159.55000000000001</v>
      </c>
      <c r="S5" t="str">
        <f t="shared" si="0"/>
        <v>PZ: Alta Crit.</v>
      </c>
      <c r="T5">
        <f t="shared" si="1"/>
        <v>0</v>
      </c>
      <c r="U5">
        <f t="shared" si="2"/>
        <v>0</v>
      </c>
      <c r="V5">
        <f t="shared" si="3"/>
        <v>0</v>
      </c>
      <c r="W5">
        <f t="shared" si="4"/>
        <v>1</v>
      </c>
      <c r="X5">
        <v>1</v>
      </c>
      <c r="Y5" s="2">
        <v>45768</v>
      </c>
      <c r="Z5" s="3" t="s">
        <v>47</v>
      </c>
      <c r="AA5" t="s">
        <v>39</v>
      </c>
      <c r="AB5" t="s">
        <v>40</v>
      </c>
      <c r="AC5" t="s">
        <v>40</v>
      </c>
      <c r="AD5" t="s">
        <v>41</v>
      </c>
    </row>
    <row r="6" spans="2:30">
      <c r="B6">
        <v>12</v>
      </c>
      <c r="C6">
        <v>1020</v>
      </c>
      <c r="D6" t="s">
        <v>29</v>
      </c>
      <c r="E6">
        <v>10040728</v>
      </c>
      <c r="F6" t="s">
        <v>54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55</v>
      </c>
      <c r="N6">
        <v>400</v>
      </c>
      <c r="O6">
        <v>201</v>
      </c>
      <c r="P6">
        <v>60</v>
      </c>
      <c r="Q6">
        <v>236</v>
      </c>
      <c r="R6">
        <v>226.23</v>
      </c>
      <c r="S6" t="str">
        <f t="shared" si="0"/>
        <v>PX: Baja Crit.</v>
      </c>
      <c r="T6">
        <f t="shared" si="1"/>
        <v>0</v>
      </c>
      <c r="U6">
        <f t="shared" si="2"/>
        <v>0</v>
      </c>
      <c r="V6">
        <f t="shared" si="3"/>
        <v>1</v>
      </c>
      <c r="W6">
        <f t="shared" si="4"/>
        <v>0</v>
      </c>
      <c r="X6">
        <v>1</v>
      </c>
      <c r="Y6" s="2">
        <v>45768</v>
      </c>
      <c r="Z6" s="3" t="s">
        <v>56</v>
      </c>
      <c r="AA6" t="s">
        <v>39</v>
      </c>
      <c r="AB6" t="s">
        <v>40</v>
      </c>
      <c r="AC6" t="s">
        <v>40</v>
      </c>
      <c r="AD6" t="s">
        <v>41</v>
      </c>
    </row>
    <row r="7" spans="2:30">
      <c r="B7">
        <v>12</v>
      </c>
      <c r="C7">
        <v>1020</v>
      </c>
      <c r="D7" t="s">
        <v>29</v>
      </c>
      <c r="E7">
        <v>10306534</v>
      </c>
      <c r="F7" t="s">
        <v>57</v>
      </c>
      <c r="G7" t="s">
        <v>52</v>
      </c>
      <c r="H7" t="s">
        <v>44</v>
      </c>
      <c r="I7" t="s">
        <v>33</v>
      </c>
      <c r="J7" t="s">
        <v>45</v>
      </c>
      <c r="K7" t="s">
        <v>35</v>
      </c>
      <c r="L7" t="s">
        <v>36</v>
      </c>
      <c r="M7" t="s">
        <v>46</v>
      </c>
      <c r="N7">
        <v>20</v>
      </c>
      <c r="O7">
        <v>10</v>
      </c>
      <c r="P7">
        <v>6</v>
      </c>
      <c r="Q7">
        <v>65</v>
      </c>
      <c r="R7" s="4">
        <v>7935.32</v>
      </c>
      <c r="S7" t="str">
        <f t="shared" si="0"/>
        <v>PZ: Alta Crit.</v>
      </c>
      <c r="T7">
        <f t="shared" si="1"/>
        <v>0</v>
      </c>
      <c r="U7">
        <f t="shared" si="2"/>
        <v>0</v>
      </c>
      <c r="V7">
        <f t="shared" si="3"/>
        <v>0</v>
      </c>
      <c r="W7">
        <f t="shared" si="4"/>
        <v>1</v>
      </c>
      <c r="X7">
        <v>1</v>
      </c>
      <c r="Y7" s="2">
        <v>45768</v>
      </c>
      <c r="Z7" s="3" t="s">
        <v>47</v>
      </c>
      <c r="AA7" t="s">
        <v>39</v>
      </c>
      <c r="AB7" t="s">
        <v>49</v>
      </c>
      <c r="AC7" s="5" t="s">
        <v>50</v>
      </c>
      <c r="AD7" t="s">
        <v>41</v>
      </c>
    </row>
    <row r="8" spans="2:30">
      <c r="B8">
        <v>12</v>
      </c>
      <c r="C8">
        <v>1020</v>
      </c>
      <c r="D8" t="s">
        <v>29</v>
      </c>
      <c r="E8">
        <v>10041348</v>
      </c>
      <c r="F8" t="s">
        <v>58</v>
      </c>
      <c r="G8" t="s">
        <v>43</v>
      </c>
      <c r="H8" t="s">
        <v>44</v>
      </c>
      <c r="I8" t="s">
        <v>33</v>
      </c>
      <c r="J8" t="s">
        <v>45</v>
      </c>
      <c r="K8" t="s">
        <v>35</v>
      </c>
      <c r="L8" t="s">
        <v>36</v>
      </c>
      <c r="M8" t="s">
        <v>46</v>
      </c>
      <c r="N8">
        <v>30</v>
      </c>
      <c r="O8">
        <v>16</v>
      </c>
      <c r="P8">
        <v>0</v>
      </c>
      <c r="Q8">
        <v>461</v>
      </c>
      <c r="R8" s="4">
        <v>18565.22</v>
      </c>
      <c r="S8" t="str">
        <f t="shared" si="0"/>
        <v>PY: Media Crit.</v>
      </c>
      <c r="T8">
        <f t="shared" si="1"/>
        <v>0</v>
      </c>
      <c r="U8">
        <f t="shared" si="2"/>
        <v>0</v>
      </c>
      <c r="V8">
        <f t="shared" si="3"/>
        <v>0</v>
      </c>
      <c r="W8">
        <f t="shared" si="4"/>
        <v>1</v>
      </c>
      <c r="X8">
        <v>1</v>
      </c>
      <c r="Y8" s="2">
        <v>45768</v>
      </c>
      <c r="Z8" s="3" t="s">
        <v>47</v>
      </c>
      <c r="AA8" t="s">
        <v>39</v>
      </c>
      <c r="AB8" t="s">
        <v>40</v>
      </c>
      <c r="AC8" t="s">
        <v>40</v>
      </c>
      <c r="AD8" t="s">
        <v>41</v>
      </c>
    </row>
    <row r="9" spans="2:30">
      <c r="B9">
        <v>12</v>
      </c>
      <c r="C9">
        <v>1020</v>
      </c>
      <c r="D9" t="s">
        <v>29</v>
      </c>
      <c r="E9">
        <v>10041349</v>
      </c>
      <c r="F9" t="s">
        <v>59</v>
      </c>
      <c r="G9" t="s">
        <v>43</v>
      </c>
      <c r="H9" t="s">
        <v>60</v>
      </c>
      <c r="I9" t="s">
        <v>33</v>
      </c>
      <c r="J9" t="s">
        <v>45</v>
      </c>
      <c r="K9" t="s">
        <v>35</v>
      </c>
      <c r="L9" t="s">
        <v>36</v>
      </c>
      <c r="M9" t="s">
        <v>46</v>
      </c>
      <c r="N9">
        <v>20</v>
      </c>
      <c r="O9">
        <v>11</v>
      </c>
      <c r="P9">
        <v>0</v>
      </c>
      <c r="Q9">
        <v>217</v>
      </c>
      <c r="R9" s="4">
        <v>8812.91</v>
      </c>
      <c r="S9" t="str">
        <f t="shared" si="0"/>
        <v>PY: Media Crit.</v>
      </c>
      <c r="T9">
        <f t="shared" si="1"/>
        <v>0</v>
      </c>
      <c r="U9">
        <f t="shared" si="2"/>
        <v>0</v>
      </c>
      <c r="V9">
        <f t="shared" si="3"/>
        <v>0</v>
      </c>
      <c r="W9">
        <f t="shared" si="4"/>
        <v>1</v>
      </c>
      <c r="X9">
        <v>1</v>
      </c>
      <c r="Y9" s="2">
        <v>45768</v>
      </c>
      <c r="Z9" s="3" t="s">
        <v>47</v>
      </c>
      <c r="AA9" t="s">
        <v>39</v>
      </c>
      <c r="AB9" t="s">
        <v>40</v>
      </c>
      <c r="AC9" t="s">
        <v>40</v>
      </c>
      <c r="AD9" t="s">
        <v>41</v>
      </c>
    </row>
    <row r="10" spans="2:30">
      <c r="B10">
        <v>12</v>
      </c>
      <c r="C10">
        <v>1020</v>
      </c>
      <c r="D10" t="s">
        <v>29</v>
      </c>
      <c r="E10">
        <v>10048487</v>
      </c>
      <c r="F10" t="s">
        <v>61</v>
      </c>
      <c r="G10" t="s">
        <v>52</v>
      </c>
      <c r="H10" t="s">
        <v>44</v>
      </c>
      <c r="I10" t="s">
        <v>33</v>
      </c>
      <c r="J10" t="s">
        <v>45</v>
      </c>
      <c r="K10" t="s">
        <v>62</v>
      </c>
      <c r="L10" t="s">
        <v>36</v>
      </c>
      <c r="M10" t="s">
        <v>46</v>
      </c>
      <c r="N10">
        <v>20</v>
      </c>
      <c r="O10">
        <v>7</v>
      </c>
      <c r="P10">
        <v>5</v>
      </c>
      <c r="Q10">
        <v>308</v>
      </c>
      <c r="R10" s="4">
        <v>29723.08</v>
      </c>
      <c r="S10" t="str">
        <f t="shared" si="0"/>
        <v>PZ: Alta Crit.</v>
      </c>
      <c r="T10">
        <f t="shared" si="1"/>
        <v>0</v>
      </c>
      <c r="U10">
        <f t="shared" si="2"/>
        <v>0</v>
      </c>
      <c r="V10">
        <f t="shared" si="3"/>
        <v>0</v>
      </c>
      <c r="W10">
        <f t="shared" si="4"/>
        <v>1</v>
      </c>
      <c r="X10">
        <v>1</v>
      </c>
      <c r="Y10" s="2">
        <v>45768</v>
      </c>
      <c r="Z10" s="3" t="s">
        <v>47</v>
      </c>
      <c r="AA10" t="s">
        <v>39</v>
      </c>
      <c r="AB10" t="s">
        <v>40</v>
      </c>
      <c r="AC10" t="s">
        <v>40</v>
      </c>
      <c r="AD10" t="s">
        <v>41</v>
      </c>
    </row>
    <row r="11" spans="2:30">
      <c r="B11">
        <v>12</v>
      </c>
      <c r="C11">
        <v>1020</v>
      </c>
      <c r="D11" t="s">
        <v>29</v>
      </c>
      <c r="E11">
        <v>10048481</v>
      </c>
      <c r="F11" t="s">
        <v>63</v>
      </c>
      <c r="G11" t="s">
        <v>43</v>
      </c>
      <c r="H11" t="s">
        <v>44</v>
      </c>
      <c r="I11" t="s">
        <v>33</v>
      </c>
      <c r="J11" t="s">
        <v>45</v>
      </c>
      <c r="K11" t="s">
        <v>62</v>
      </c>
      <c r="L11" t="s">
        <v>36</v>
      </c>
      <c r="M11" t="s">
        <v>46</v>
      </c>
      <c r="N11">
        <v>10</v>
      </c>
      <c r="O11">
        <v>6</v>
      </c>
      <c r="P11">
        <v>5</v>
      </c>
      <c r="Q11">
        <v>288</v>
      </c>
      <c r="R11" s="4">
        <v>27725.84</v>
      </c>
      <c r="S11" t="str">
        <f t="shared" si="0"/>
        <v>PY: Media Crit.</v>
      </c>
      <c r="T11">
        <f t="shared" si="1"/>
        <v>0</v>
      </c>
      <c r="U11">
        <f t="shared" si="2"/>
        <v>0</v>
      </c>
      <c r="V11">
        <f t="shared" si="3"/>
        <v>0</v>
      </c>
      <c r="W11">
        <f t="shared" si="4"/>
        <v>1</v>
      </c>
      <c r="X11">
        <v>1</v>
      </c>
      <c r="Y11" s="2">
        <v>45768</v>
      </c>
      <c r="Z11" s="3" t="s">
        <v>47</v>
      </c>
      <c r="AA11" t="s">
        <v>39</v>
      </c>
      <c r="AB11" t="s">
        <v>40</v>
      </c>
      <c r="AC11" t="s">
        <v>40</v>
      </c>
      <c r="AD11" t="s">
        <v>41</v>
      </c>
    </row>
    <row r="12" spans="2:30">
      <c r="B12">
        <v>12</v>
      </c>
      <c r="C12">
        <v>1020</v>
      </c>
      <c r="D12" t="s">
        <v>29</v>
      </c>
      <c r="E12">
        <v>10016144</v>
      </c>
      <c r="F12" t="s">
        <v>64</v>
      </c>
      <c r="G12" t="s">
        <v>43</v>
      </c>
      <c r="H12" t="s">
        <v>32</v>
      </c>
      <c r="I12" t="s">
        <v>33</v>
      </c>
      <c r="J12" t="s">
        <v>45</v>
      </c>
      <c r="K12" t="s">
        <v>65</v>
      </c>
      <c r="L12" t="s">
        <v>36</v>
      </c>
      <c r="M12" t="s">
        <v>37</v>
      </c>
      <c r="N12">
        <v>75</v>
      </c>
      <c r="O12">
        <v>51</v>
      </c>
      <c r="P12">
        <v>15</v>
      </c>
      <c r="Q12">
        <v>85</v>
      </c>
      <c r="R12" s="4">
        <v>1128.1500000000001</v>
      </c>
      <c r="S12" t="str">
        <f t="shared" si="0"/>
        <v>PY: Media Crit.</v>
      </c>
      <c r="T12">
        <f t="shared" si="1"/>
        <v>0</v>
      </c>
      <c r="U12">
        <f t="shared" si="2"/>
        <v>0</v>
      </c>
      <c r="V12">
        <f t="shared" si="3"/>
        <v>0</v>
      </c>
      <c r="W12">
        <f t="shared" si="4"/>
        <v>1</v>
      </c>
      <c r="X12">
        <v>1</v>
      </c>
      <c r="Y12" s="2">
        <v>45768</v>
      </c>
      <c r="Z12" s="3" t="s">
        <v>38</v>
      </c>
      <c r="AA12" t="s">
        <v>39</v>
      </c>
      <c r="AB12" t="s">
        <v>40</v>
      </c>
      <c r="AC12" t="s">
        <v>40</v>
      </c>
      <c r="AD12" t="s">
        <v>41</v>
      </c>
    </row>
    <row r="13" spans="2:30">
      <c r="B13">
        <v>12</v>
      </c>
      <c r="C13">
        <v>1020</v>
      </c>
      <c r="D13" t="s">
        <v>29</v>
      </c>
      <c r="E13">
        <v>10041345</v>
      </c>
      <c r="F13" t="s">
        <v>66</v>
      </c>
      <c r="G13" t="s">
        <v>43</v>
      </c>
      <c r="H13" t="s">
        <v>60</v>
      </c>
      <c r="I13" t="s">
        <v>33</v>
      </c>
      <c r="J13" t="s">
        <v>45</v>
      </c>
      <c r="K13" t="s">
        <v>35</v>
      </c>
      <c r="L13" t="s">
        <v>36</v>
      </c>
      <c r="M13" t="s">
        <v>46</v>
      </c>
      <c r="N13">
        <v>20</v>
      </c>
      <c r="O13">
        <v>11</v>
      </c>
      <c r="P13">
        <v>0</v>
      </c>
      <c r="Q13">
        <v>140</v>
      </c>
      <c r="R13" s="4">
        <v>5797.63</v>
      </c>
      <c r="S13" t="str">
        <f t="shared" si="0"/>
        <v>PY: Media Crit.</v>
      </c>
      <c r="T13">
        <f t="shared" si="1"/>
        <v>0</v>
      </c>
      <c r="U13">
        <f t="shared" si="2"/>
        <v>0</v>
      </c>
      <c r="V13">
        <f t="shared" si="3"/>
        <v>0</v>
      </c>
      <c r="W13">
        <f t="shared" si="4"/>
        <v>1</v>
      </c>
      <c r="X13">
        <v>1</v>
      </c>
      <c r="Y13" s="2">
        <v>45768</v>
      </c>
      <c r="Z13" s="3" t="s">
        <v>47</v>
      </c>
      <c r="AA13" t="s">
        <v>39</v>
      </c>
      <c r="AB13" t="s">
        <v>49</v>
      </c>
      <c r="AC13" s="5" t="s">
        <v>50</v>
      </c>
      <c r="AD13" t="s">
        <v>41</v>
      </c>
    </row>
    <row r="14" spans="2:30">
      <c r="B14">
        <v>12</v>
      </c>
      <c r="C14">
        <v>1020</v>
      </c>
      <c r="D14" t="s">
        <v>29</v>
      </c>
      <c r="E14">
        <v>14158106</v>
      </c>
      <c r="F14" t="s">
        <v>67</v>
      </c>
      <c r="G14" t="s">
        <v>43</v>
      </c>
      <c r="H14" t="s">
        <v>44</v>
      </c>
      <c r="I14" t="s">
        <v>33</v>
      </c>
      <c r="J14" t="s">
        <v>45</v>
      </c>
      <c r="K14" t="s">
        <v>35</v>
      </c>
      <c r="L14" t="s">
        <v>36</v>
      </c>
      <c r="M14" t="s">
        <v>46</v>
      </c>
      <c r="N14">
        <v>10</v>
      </c>
      <c r="O14">
        <v>6</v>
      </c>
      <c r="P14">
        <v>0</v>
      </c>
      <c r="Q14">
        <v>124</v>
      </c>
      <c r="R14" s="4">
        <v>6883.55</v>
      </c>
      <c r="S14" t="str">
        <f t="shared" si="0"/>
        <v>PY: Media Crit.</v>
      </c>
      <c r="T14">
        <f t="shared" si="1"/>
        <v>0</v>
      </c>
      <c r="U14">
        <f t="shared" si="2"/>
        <v>0</v>
      </c>
      <c r="V14">
        <f t="shared" si="3"/>
        <v>0</v>
      </c>
      <c r="W14">
        <f t="shared" si="4"/>
        <v>1</v>
      </c>
      <c r="X14">
        <v>1</v>
      </c>
      <c r="Y14" s="2">
        <v>45768</v>
      </c>
      <c r="Z14" s="3" t="s">
        <v>47</v>
      </c>
      <c r="AA14" t="s">
        <v>39</v>
      </c>
      <c r="AB14" t="s">
        <v>40</v>
      </c>
      <c r="AC14" t="s">
        <v>40</v>
      </c>
      <c r="AD14" t="s">
        <v>41</v>
      </c>
    </row>
    <row r="15" spans="2:30">
      <c r="B15">
        <v>12</v>
      </c>
      <c r="C15">
        <v>1020</v>
      </c>
      <c r="D15" t="s">
        <v>29</v>
      </c>
      <c r="E15">
        <v>10054216</v>
      </c>
      <c r="F15" t="s">
        <v>68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69</v>
      </c>
      <c r="N15">
        <v>40</v>
      </c>
      <c r="O15">
        <v>12</v>
      </c>
      <c r="P15">
        <v>4</v>
      </c>
      <c r="Q15">
        <v>24</v>
      </c>
      <c r="R15" s="4">
        <v>3462.41</v>
      </c>
      <c r="S15" t="str">
        <f t="shared" si="0"/>
        <v>PX: Baja Crit.</v>
      </c>
      <c r="T15">
        <f t="shared" si="1"/>
        <v>0</v>
      </c>
      <c r="U15">
        <f t="shared" si="2"/>
        <v>0</v>
      </c>
      <c r="V15">
        <f t="shared" si="3"/>
        <v>1</v>
      </c>
      <c r="W15">
        <f t="shared" si="4"/>
        <v>0</v>
      </c>
      <c r="X15">
        <v>1</v>
      </c>
      <c r="Y15" s="2">
        <v>45768</v>
      </c>
      <c r="Z15" s="3" t="s">
        <v>70</v>
      </c>
      <c r="AA15" t="s">
        <v>39</v>
      </c>
      <c r="AB15" t="s">
        <v>40</v>
      </c>
      <c r="AC15" t="s">
        <v>40</v>
      </c>
      <c r="AD15" t="s">
        <v>41</v>
      </c>
    </row>
    <row r="16" spans="2:30">
      <c r="B16">
        <v>12</v>
      </c>
      <c r="C16">
        <v>1020</v>
      </c>
      <c r="D16" t="s">
        <v>29</v>
      </c>
      <c r="E16">
        <v>14158107</v>
      </c>
      <c r="F16" t="s">
        <v>71</v>
      </c>
      <c r="G16" t="s">
        <v>43</v>
      </c>
      <c r="H16" t="s">
        <v>44</v>
      </c>
      <c r="I16" t="s">
        <v>33</v>
      </c>
      <c r="J16" t="s">
        <v>45</v>
      </c>
      <c r="K16" t="s">
        <v>35</v>
      </c>
      <c r="L16" t="s">
        <v>36</v>
      </c>
      <c r="M16" t="s">
        <v>46</v>
      </c>
      <c r="N16">
        <v>15</v>
      </c>
      <c r="O16">
        <v>10</v>
      </c>
      <c r="P16">
        <v>5</v>
      </c>
      <c r="Q16">
        <v>73</v>
      </c>
      <c r="R16" s="4">
        <v>4258.1400000000003</v>
      </c>
      <c r="S16" t="str">
        <f t="shared" si="0"/>
        <v>PY: Media Crit.</v>
      </c>
      <c r="T16">
        <f t="shared" si="1"/>
        <v>0</v>
      </c>
      <c r="U16">
        <f t="shared" si="2"/>
        <v>0</v>
      </c>
      <c r="V16">
        <f t="shared" si="3"/>
        <v>0</v>
      </c>
      <c r="W16">
        <f t="shared" si="4"/>
        <v>1</v>
      </c>
      <c r="X16">
        <v>1</v>
      </c>
      <c r="Y16" s="2">
        <v>45768</v>
      </c>
      <c r="Z16" s="3" t="s">
        <v>47</v>
      </c>
      <c r="AA16" t="s">
        <v>39</v>
      </c>
      <c r="AB16" t="s">
        <v>40</v>
      </c>
      <c r="AC16" t="s">
        <v>40</v>
      </c>
      <c r="AD16" t="s">
        <v>41</v>
      </c>
    </row>
    <row r="17" spans="2:30">
      <c r="B17">
        <v>12</v>
      </c>
      <c r="C17">
        <v>1020</v>
      </c>
      <c r="D17" t="s">
        <v>29</v>
      </c>
      <c r="E17">
        <v>10599293</v>
      </c>
      <c r="F17" t="s">
        <v>72</v>
      </c>
      <c r="G17" t="s">
        <v>43</v>
      </c>
      <c r="H17" t="s">
        <v>60</v>
      </c>
      <c r="I17" t="s">
        <v>33</v>
      </c>
      <c r="J17" t="s">
        <v>34</v>
      </c>
      <c r="K17" t="s">
        <v>35</v>
      </c>
      <c r="L17" t="s">
        <v>36</v>
      </c>
      <c r="M17" t="s">
        <v>46</v>
      </c>
      <c r="N17">
        <v>100</v>
      </c>
      <c r="O17">
        <v>81</v>
      </c>
      <c r="P17">
        <v>10</v>
      </c>
      <c r="Q17">
        <v>38</v>
      </c>
      <c r="R17" s="4">
        <v>1636.9</v>
      </c>
      <c r="S17" t="str">
        <f t="shared" si="0"/>
        <v>PY: Media Crit.</v>
      </c>
      <c r="T17">
        <f t="shared" si="1"/>
        <v>0</v>
      </c>
      <c r="U17">
        <f t="shared" si="2"/>
        <v>0</v>
      </c>
      <c r="V17">
        <f t="shared" si="3"/>
        <v>1</v>
      </c>
      <c r="W17">
        <f t="shared" si="4"/>
        <v>0</v>
      </c>
      <c r="X17">
        <v>1</v>
      </c>
      <c r="Y17" s="2">
        <v>45768</v>
      </c>
      <c r="Z17" s="3" t="s">
        <v>47</v>
      </c>
      <c r="AA17" t="s">
        <v>39</v>
      </c>
      <c r="AB17" t="s">
        <v>49</v>
      </c>
      <c r="AC17" s="5" t="s">
        <v>50</v>
      </c>
      <c r="AD17" t="s">
        <v>41</v>
      </c>
    </row>
    <row r="18" spans="2:30">
      <c r="B18">
        <v>12</v>
      </c>
      <c r="C18">
        <v>1020</v>
      </c>
      <c r="D18" t="s">
        <v>29</v>
      </c>
      <c r="E18">
        <v>10050730</v>
      </c>
      <c r="F18" t="s">
        <v>73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>
        <v>30</v>
      </c>
      <c r="O18">
        <v>16</v>
      </c>
      <c r="P18">
        <v>2</v>
      </c>
      <c r="Q18">
        <v>30</v>
      </c>
      <c r="R18">
        <v>270</v>
      </c>
      <c r="S18" t="str">
        <f t="shared" si="0"/>
        <v>PX: Baja Crit.</v>
      </c>
      <c r="T18">
        <f t="shared" si="1"/>
        <v>0</v>
      </c>
      <c r="U18">
        <f t="shared" si="2"/>
        <v>0</v>
      </c>
      <c r="V18">
        <f t="shared" si="3"/>
        <v>1</v>
      </c>
      <c r="W18">
        <f t="shared" si="4"/>
        <v>0</v>
      </c>
      <c r="X18">
        <v>1</v>
      </c>
      <c r="Y18" s="2">
        <v>45768</v>
      </c>
      <c r="Z18" s="3" t="s">
        <v>38</v>
      </c>
      <c r="AA18" t="s">
        <v>39</v>
      </c>
      <c r="AB18" t="s">
        <v>40</v>
      </c>
      <c r="AC18" t="s">
        <v>40</v>
      </c>
      <c r="AD18" t="s">
        <v>41</v>
      </c>
    </row>
    <row r="19" spans="2:30">
      <c r="B19">
        <v>12</v>
      </c>
      <c r="C19">
        <v>1020</v>
      </c>
      <c r="D19" t="s">
        <v>29</v>
      </c>
      <c r="E19">
        <v>10056481</v>
      </c>
      <c r="F19" t="s">
        <v>74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>
        <v>100</v>
      </c>
      <c r="O19">
        <v>51</v>
      </c>
      <c r="P19">
        <v>20</v>
      </c>
      <c r="Q19">
        <v>145</v>
      </c>
      <c r="R19">
        <v>101.5</v>
      </c>
      <c r="S19" t="str">
        <f t="shared" si="0"/>
        <v>PX: Baja Crit.</v>
      </c>
      <c r="T19">
        <f t="shared" si="1"/>
        <v>0</v>
      </c>
      <c r="U19">
        <f t="shared" si="2"/>
        <v>0</v>
      </c>
      <c r="V19">
        <f t="shared" si="3"/>
        <v>0</v>
      </c>
      <c r="W19">
        <f t="shared" si="4"/>
        <v>1</v>
      </c>
      <c r="X19">
        <v>1</v>
      </c>
      <c r="Y19" s="2">
        <v>45768</v>
      </c>
      <c r="Z19" s="3" t="s">
        <v>38</v>
      </c>
      <c r="AA19" t="s">
        <v>39</v>
      </c>
      <c r="AB19" t="s">
        <v>40</v>
      </c>
      <c r="AC19" t="s">
        <v>40</v>
      </c>
      <c r="AD19" t="s">
        <v>41</v>
      </c>
    </row>
    <row r="20" spans="2:30">
      <c r="B20">
        <v>12</v>
      </c>
      <c r="C20">
        <v>1020</v>
      </c>
      <c r="D20" t="s">
        <v>29</v>
      </c>
      <c r="E20">
        <v>10054956</v>
      </c>
      <c r="F20" t="s">
        <v>75</v>
      </c>
      <c r="G20" t="s">
        <v>43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  <c r="M20" t="s">
        <v>37</v>
      </c>
      <c r="N20">
        <v>30</v>
      </c>
      <c r="O20">
        <v>16</v>
      </c>
      <c r="P20">
        <v>8</v>
      </c>
      <c r="Q20">
        <v>21</v>
      </c>
      <c r="R20">
        <v>493.36</v>
      </c>
      <c r="S20" t="str">
        <f t="shared" si="0"/>
        <v>PY: Media Crit.</v>
      </c>
      <c r="T20">
        <f t="shared" si="1"/>
        <v>0</v>
      </c>
      <c r="U20">
        <f t="shared" si="2"/>
        <v>0</v>
      </c>
      <c r="V20">
        <f t="shared" si="3"/>
        <v>1</v>
      </c>
      <c r="W20">
        <f t="shared" si="4"/>
        <v>0</v>
      </c>
      <c r="X20">
        <v>1</v>
      </c>
      <c r="Y20" s="2">
        <v>45768</v>
      </c>
      <c r="Z20" s="3" t="s">
        <v>38</v>
      </c>
      <c r="AA20" t="s">
        <v>39</v>
      </c>
      <c r="AB20" t="s">
        <v>76</v>
      </c>
      <c r="AC20" s="5" t="s">
        <v>77</v>
      </c>
      <c r="AD20" t="s">
        <v>41</v>
      </c>
    </row>
    <row r="21" spans="2:30">
      <c r="B21">
        <v>12</v>
      </c>
      <c r="C21">
        <v>1020</v>
      </c>
      <c r="D21" t="s">
        <v>29</v>
      </c>
      <c r="E21">
        <v>10013128</v>
      </c>
      <c r="F21" t="s">
        <v>78</v>
      </c>
      <c r="G21" t="s">
        <v>31</v>
      </c>
      <c r="H21" t="s">
        <v>44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>
        <v>80</v>
      </c>
      <c r="O21">
        <v>51</v>
      </c>
      <c r="P21">
        <v>10</v>
      </c>
      <c r="Q21">
        <v>86</v>
      </c>
      <c r="R21" s="4">
        <v>5381.88</v>
      </c>
      <c r="S21" t="str">
        <f t="shared" si="0"/>
        <v>PX: Baja Crit.</v>
      </c>
      <c r="T21">
        <f t="shared" si="1"/>
        <v>0</v>
      </c>
      <c r="U21">
        <f t="shared" si="2"/>
        <v>0</v>
      </c>
      <c r="V21">
        <f t="shared" si="3"/>
        <v>0</v>
      </c>
      <c r="W21">
        <f t="shared" si="4"/>
        <v>1</v>
      </c>
      <c r="X21">
        <v>1</v>
      </c>
      <c r="Y21" s="2">
        <v>45768</v>
      </c>
      <c r="Z21" s="3" t="s">
        <v>38</v>
      </c>
      <c r="AA21" t="s">
        <v>39</v>
      </c>
      <c r="AB21" t="s">
        <v>40</v>
      </c>
      <c r="AC21" t="s">
        <v>40</v>
      </c>
      <c r="AD21" t="s">
        <v>41</v>
      </c>
    </row>
    <row r="22" spans="2:30">
      <c r="B22">
        <v>12</v>
      </c>
      <c r="C22">
        <v>1020</v>
      </c>
      <c r="D22" t="s">
        <v>29</v>
      </c>
      <c r="E22">
        <v>10023485</v>
      </c>
      <c r="F22" s="6" t="s">
        <v>79</v>
      </c>
      <c r="G22" t="s">
        <v>31</v>
      </c>
      <c r="H22" t="s">
        <v>60</v>
      </c>
      <c r="I22" t="s">
        <v>33</v>
      </c>
      <c r="J22" t="s">
        <v>34</v>
      </c>
      <c r="K22" t="s">
        <v>80</v>
      </c>
      <c r="L22" t="s">
        <v>36</v>
      </c>
      <c r="M22" t="s">
        <v>37</v>
      </c>
      <c r="N22">
        <v>440</v>
      </c>
      <c r="O22">
        <v>276</v>
      </c>
      <c r="P22">
        <v>220</v>
      </c>
      <c r="Q22">
        <v>330</v>
      </c>
      <c r="R22" s="4">
        <v>11401.45</v>
      </c>
      <c r="S22" s="7" t="str">
        <f t="shared" si="0"/>
        <v>PX: Baja Crit.</v>
      </c>
      <c r="T22">
        <f t="shared" si="1"/>
        <v>0</v>
      </c>
      <c r="U22">
        <f t="shared" si="2"/>
        <v>0</v>
      </c>
      <c r="V22">
        <f t="shared" si="3"/>
        <v>1</v>
      </c>
      <c r="W22">
        <f t="shared" si="4"/>
        <v>0</v>
      </c>
      <c r="X22">
        <v>1</v>
      </c>
      <c r="Y22" s="2">
        <v>45768</v>
      </c>
      <c r="Z22" s="3" t="s">
        <v>38</v>
      </c>
      <c r="AA22" t="s">
        <v>39</v>
      </c>
      <c r="AB22" t="s">
        <v>49</v>
      </c>
      <c r="AC22" s="5" t="s">
        <v>50</v>
      </c>
      <c r="AD22" t="s">
        <v>41</v>
      </c>
    </row>
    <row r="23" spans="2:30">
      <c r="B23">
        <v>12</v>
      </c>
      <c r="C23">
        <v>1020</v>
      </c>
      <c r="D23" t="s">
        <v>29</v>
      </c>
      <c r="E23">
        <v>10048463</v>
      </c>
      <c r="F23" t="s">
        <v>81</v>
      </c>
      <c r="G23" t="s">
        <v>31</v>
      </c>
      <c r="H23" t="s">
        <v>44</v>
      </c>
      <c r="I23" t="s">
        <v>33</v>
      </c>
      <c r="J23" t="s">
        <v>45</v>
      </c>
      <c r="K23" t="s">
        <v>35</v>
      </c>
      <c r="L23" t="s">
        <v>36</v>
      </c>
      <c r="M23" t="s">
        <v>37</v>
      </c>
      <c r="N23" s="8">
        <v>1000</v>
      </c>
      <c r="O23">
        <v>750</v>
      </c>
      <c r="P23">
        <v>150</v>
      </c>
      <c r="Q23">
        <v>0</v>
      </c>
      <c r="R23">
        <v>0</v>
      </c>
      <c r="S23" t="str">
        <f t="shared" si="0"/>
        <v>PX: Baja Crit.</v>
      </c>
      <c r="T23">
        <f t="shared" si="1"/>
        <v>1</v>
      </c>
      <c r="U23">
        <f t="shared" si="2"/>
        <v>0</v>
      </c>
      <c r="V23">
        <f t="shared" si="3"/>
        <v>0</v>
      </c>
      <c r="W23">
        <f t="shared" si="4"/>
        <v>0</v>
      </c>
      <c r="X23">
        <v>1</v>
      </c>
      <c r="Y23" s="2">
        <v>45768</v>
      </c>
      <c r="Z23" s="3" t="s">
        <v>38</v>
      </c>
      <c r="AA23" t="s">
        <v>39</v>
      </c>
      <c r="AB23" t="s">
        <v>49</v>
      </c>
      <c r="AC23" s="5" t="s">
        <v>50</v>
      </c>
      <c r="AD23" t="s">
        <v>41</v>
      </c>
    </row>
    <row r="24" spans="2:30">
      <c r="B24">
        <v>12</v>
      </c>
      <c r="C24">
        <v>1020</v>
      </c>
      <c r="D24" t="s">
        <v>29</v>
      </c>
      <c r="E24">
        <v>10047069</v>
      </c>
      <c r="F24" t="s">
        <v>82</v>
      </c>
      <c r="G24" t="s">
        <v>43</v>
      </c>
      <c r="H24" t="s">
        <v>32</v>
      </c>
      <c r="I24" t="s">
        <v>33</v>
      </c>
      <c r="J24" t="s">
        <v>34</v>
      </c>
      <c r="K24" t="s">
        <v>35</v>
      </c>
      <c r="L24" t="s">
        <v>36</v>
      </c>
      <c r="M24" t="s">
        <v>55</v>
      </c>
      <c r="N24">
        <v>80</v>
      </c>
      <c r="O24">
        <v>41</v>
      </c>
      <c r="P24">
        <v>24</v>
      </c>
      <c r="Q24">
        <v>14</v>
      </c>
      <c r="R24">
        <v>10.24</v>
      </c>
      <c r="S24" t="str">
        <f t="shared" si="0"/>
        <v>PY: Media Crit.</v>
      </c>
      <c r="T24">
        <f t="shared" si="1"/>
        <v>0</v>
      </c>
      <c r="U24">
        <f t="shared" si="2"/>
        <v>1</v>
      </c>
      <c r="V24">
        <f t="shared" si="3"/>
        <v>0</v>
      </c>
      <c r="W24">
        <f t="shared" si="4"/>
        <v>0</v>
      </c>
      <c r="X24">
        <v>1</v>
      </c>
      <c r="Y24" s="2">
        <v>45768</v>
      </c>
      <c r="Z24" s="3" t="s">
        <v>56</v>
      </c>
      <c r="AA24" t="s">
        <v>39</v>
      </c>
      <c r="AB24" t="s">
        <v>49</v>
      </c>
      <c r="AC24" s="5" t="s">
        <v>50</v>
      </c>
      <c r="AD24" t="s">
        <v>41</v>
      </c>
    </row>
    <row r="25" spans="2:30">
      <c r="B25">
        <v>12</v>
      </c>
      <c r="C25">
        <v>1020</v>
      </c>
      <c r="D25" t="s">
        <v>29</v>
      </c>
      <c r="E25">
        <v>10050725</v>
      </c>
      <c r="F25" t="s">
        <v>83</v>
      </c>
      <c r="G25" t="s">
        <v>52</v>
      </c>
      <c r="H25" t="s">
        <v>44</v>
      </c>
      <c r="I25" t="s">
        <v>33</v>
      </c>
      <c r="J25" t="s">
        <v>34</v>
      </c>
      <c r="K25" t="s">
        <v>35</v>
      </c>
      <c r="L25" t="s">
        <v>36</v>
      </c>
      <c r="M25" t="s">
        <v>46</v>
      </c>
      <c r="N25">
        <v>30</v>
      </c>
      <c r="O25">
        <v>15</v>
      </c>
      <c r="P25">
        <v>8</v>
      </c>
      <c r="Q25">
        <v>5</v>
      </c>
      <c r="R25">
        <v>496.72</v>
      </c>
      <c r="S25" t="str">
        <f t="shared" si="0"/>
        <v>PZ: Alta Crit.</v>
      </c>
      <c r="T25">
        <f t="shared" si="1"/>
        <v>0</v>
      </c>
      <c r="U25">
        <f t="shared" si="2"/>
        <v>1</v>
      </c>
      <c r="V25">
        <f t="shared" si="3"/>
        <v>0</v>
      </c>
      <c r="W25">
        <f t="shared" si="4"/>
        <v>0</v>
      </c>
      <c r="X25">
        <v>1</v>
      </c>
      <c r="Y25" s="2">
        <v>45768</v>
      </c>
      <c r="Z25" s="3" t="s">
        <v>47</v>
      </c>
      <c r="AA25" t="s">
        <v>39</v>
      </c>
      <c r="AB25" t="s">
        <v>49</v>
      </c>
      <c r="AC25" s="5" t="s">
        <v>50</v>
      </c>
      <c r="AD25" t="s">
        <v>41</v>
      </c>
    </row>
    <row r="26" spans="2:30">
      <c r="B26">
        <v>12</v>
      </c>
      <c r="C26">
        <v>1020</v>
      </c>
      <c r="D26" t="s">
        <v>29</v>
      </c>
      <c r="E26">
        <v>14192317</v>
      </c>
      <c r="F26" t="s">
        <v>84</v>
      </c>
      <c r="G26" t="s">
        <v>43</v>
      </c>
      <c r="H26" t="s">
        <v>44</v>
      </c>
      <c r="I26" t="s">
        <v>33</v>
      </c>
      <c r="J26" t="s">
        <v>45</v>
      </c>
      <c r="K26" t="s">
        <v>35</v>
      </c>
      <c r="L26" t="s">
        <v>36</v>
      </c>
      <c r="M26" t="s">
        <v>46</v>
      </c>
      <c r="N26">
        <v>22</v>
      </c>
      <c r="O26">
        <v>11</v>
      </c>
      <c r="P26">
        <v>0</v>
      </c>
      <c r="Q26">
        <v>86</v>
      </c>
      <c r="R26" s="4">
        <v>4783.75</v>
      </c>
      <c r="S26" t="str">
        <f t="shared" si="0"/>
        <v>PY: Media Crit.</v>
      </c>
      <c r="T26">
        <f t="shared" si="1"/>
        <v>0</v>
      </c>
      <c r="U26">
        <f t="shared" si="2"/>
        <v>0</v>
      </c>
      <c r="V26">
        <f t="shared" si="3"/>
        <v>0</v>
      </c>
      <c r="W26">
        <f t="shared" si="4"/>
        <v>1</v>
      </c>
      <c r="X26">
        <v>1</v>
      </c>
      <c r="Y26" s="2">
        <v>45768</v>
      </c>
      <c r="Z26" s="3" t="s">
        <v>47</v>
      </c>
      <c r="AA26" t="s">
        <v>39</v>
      </c>
      <c r="AB26" t="s">
        <v>49</v>
      </c>
      <c r="AC26" s="5" t="s">
        <v>50</v>
      </c>
      <c r="AD26" t="s">
        <v>41</v>
      </c>
    </row>
    <row r="27" spans="2:30">
      <c r="B27">
        <v>12</v>
      </c>
      <c r="C27">
        <v>1020</v>
      </c>
      <c r="D27" t="s">
        <v>29</v>
      </c>
      <c r="E27">
        <v>10050794</v>
      </c>
      <c r="F27" t="s">
        <v>85</v>
      </c>
      <c r="G27" t="s">
        <v>31</v>
      </c>
      <c r="H27" t="s">
        <v>60</v>
      </c>
      <c r="I27" t="s">
        <v>33</v>
      </c>
      <c r="J27" t="s">
        <v>45</v>
      </c>
      <c r="K27" t="s">
        <v>35</v>
      </c>
      <c r="L27" t="s">
        <v>36</v>
      </c>
      <c r="M27" t="s">
        <v>37</v>
      </c>
      <c r="N27">
        <v>24</v>
      </c>
      <c r="O27">
        <v>13</v>
      </c>
      <c r="P27">
        <v>0</v>
      </c>
      <c r="Q27">
        <v>49</v>
      </c>
      <c r="R27">
        <v>289.10000000000002</v>
      </c>
      <c r="S27" t="str">
        <f t="shared" si="0"/>
        <v>PX: Baja Crit.</v>
      </c>
      <c r="T27">
        <f t="shared" si="1"/>
        <v>0</v>
      </c>
      <c r="U27">
        <f t="shared" si="2"/>
        <v>0</v>
      </c>
      <c r="V27">
        <f t="shared" si="3"/>
        <v>0</v>
      </c>
      <c r="W27">
        <f t="shared" si="4"/>
        <v>1</v>
      </c>
      <c r="X27">
        <v>1</v>
      </c>
      <c r="Y27" s="2">
        <v>45768</v>
      </c>
      <c r="Z27" s="3" t="s">
        <v>38</v>
      </c>
      <c r="AA27" t="s">
        <v>39</v>
      </c>
      <c r="AB27" t="s">
        <v>40</v>
      </c>
      <c r="AC27" t="s">
        <v>40</v>
      </c>
      <c r="AD27" t="s">
        <v>41</v>
      </c>
    </row>
    <row r="28" spans="2:30">
      <c r="B28">
        <v>12</v>
      </c>
      <c r="C28">
        <v>1020</v>
      </c>
      <c r="D28" t="s">
        <v>29</v>
      </c>
      <c r="E28">
        <v>10048480</v>
      </c>
      <c r="F28" t="s">
        <v>86</v>
      </c>
      <c r="G28" t="s">
        <v>43</v>
      </c>
      <c r="H28" t="s">
        <v>44</v>
      </c>
      <c r="I28" t="s">
        <v>33</v>
      </c>
      <c r="J28" t="s">
        <v>45</v>
      </c>
      <c r="K28" t="s">
        <v>62</v>
      </c>
      <c r="L28" t="s">
        <v>36</v>
      </c>
      <c r="M28" t="s">
        <v>46</v>
      </c>
      <c r="N28">
        <v>20</v>
      </c>
      <c r="O28">
        <v>11</v>
      </c>
      <c r="P28">
        <v>5</v>
      </c>
      <c r="Q28">
        <v>348</v>
      </c>
      <c r="R28" s="4">
        <v>33537.199999999997</v>
      </c>
      <c r="S28" t="str">
        <f t="shared" si="0"/>
        <v>PY: Media Crit.</v>
      </c>
      <c r="T28">
        <f t="shared" si="1"/>
        <v>0</v>
      </c>
      <c r="U28">
        <f t="shared" si="2"/>
        <v>0</v>
      </c>
      <c r="V28">
        <f t="shared" si="3"/>
        <v>0</v>
      </c>
      <c r="W28">
        <f t="shared" si="4"/>
        <v>1</v>
      </c>
      <c r="X28">
        <v>1</v>
      </c>
      <c r="Y28" s="2">
        <v>45768</v>
      </c>
      <c r="Z28" s="3" t="s">
        <v>47</v>
      </c>
      <c r="AA28" t="s">
        <v>39</v>
      </c>
      <c r="AB28" t="s">
        <v>40</v>
      </c>
      <c r="AC28" t="s">
        <v>40</v>
      </c>
      <c r="AD28" t="s">
        <v>41</v>
      </c>
    </row>
    <row r="29" spans="2:30">
      <c r="B29">
        <v>12</v>
      </c>
      <c r="C29">
        <v>1020</v>
      </c>
      <c r="D29" t="s">
        <v>29</v>
      </c>
      <c r="E29">
        <v>10040493</v>
      </c>
      <c r="F29" t="s">
        <v>87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36</v>
      </c>
      <c r="M29" t="s">
        <v>88</v>
      </c>
      <c r="N29" s="8">
        <v>1400</v>
      </c>
      <c r="O29">
        <v>601</v>
      </c>
      <c r="P29">
        <v>200</v>
      </c>
      <c r="Q29" s="8">
        <v>1000</v>
      </c>
      <c r="R29">
        <v>130</v>
      </c>
      <c r="S29" t="str">
        <f t="shared" si="0"/>
        <v>PX: Baja Crit.</v>
      </c>
      <c r="T29">
        <f t="shared" si="1"/>
        <v>0</v>
      </c>
      <c r="U29">
        <f t="shared" si="2"/>
        <v>0</v>
      </c>
      <c r="V29">
        <f t="shared" si="3"/>
        <v>1</v>
      </c>
      <c r="W29">
        <f t="shared" si="4"/>
        <v>0</v>
      </c>
      <c r="X29">
        <v>1</v>
      </c>
      <c r="Y29" s="2">
        <v>45768</v>
      </c>
      <c r="Z29" s="3" t="s">
        <v>89</v>
      </c>
      <c r="AA29" t="s">
        <v>39</v>
      </c>
      <c r="AB29" t="s">
        <v>40</v>
      </c>
      <c r="AC29" t="s">
        <v>40</v>
      </c>
      <c r="AD29" t="s">
        <v>41</v>
      </c>
    </row>
    <row r="30" spans="2:30">
      <c r="B30">
        <v>12</v>
      </c>
      <c r="C30">
        <v>1020</v>
      </c>
      <c r="D30" t="s">
        <v>29</v>
      </c>
      <c r="E30">
        <v>10049389</v>
      </c>
      <c r="F30" t="s">
        <v>90</v>
      </c>
      <c r="G30" t="s">
        <v>43</v>
      </c>
      <c r="H30" t="s">
        <v>32</v>
      </c>
      <c r="I30" t="s">
        <v>33</v>
      </c>
      <c r="J30" t="s">
        <v>34</v>
      </c>
      <c r="K30" t="s">
        <v>35</v>
      </c>
      <c r="L30" t="s">
        <v>36</v>
      </c>
      <c r="M30" t="s">
        <v>88</v>
      </c>
      <c r="N30">
        <v>6</v>
      </c>
      <c r="O30">
        <v>5</v>
      </c>
      <c r="P30">
        <v>2</v>
      </c>
      <c r="Q30">
        <v>12</v>
      </c>
      <c r="R30">
        <v>397.1</v>
      </c>
      <c r="S30" t="str">
        <f t="shared" si="0"/>
        <v>PY: Media Crit.</v>
      </c>
      <c r="T30">
        <f t="shared" si="1"/>
        <v>0</v>
      </c>
      <c r="U30">
        <f t="shared" si="2"/>
        <v>0</v>
      </c>
      <c r="V30">
        <f t="shared" si="3"/>
        <v>0</v>
      </c>
      <c r="W30">
        <f t="shared" si="4"/>
        <v>1</v>
      </c>
      <c r="X30">
        <v>1</v>
      </c>
      <c r="Y30" s="2">
        <v>45768</v>
      </c>
      <c r="Z30" s="3" t="s">
        <v>89</v>
      </c>
      <c r="AA30" t="s">
        <v>39</v>
      </c>
      <c r="AB30" t="s">
        <v>40</v>
      </c>
      <c r="AC30" t="s">
        <v>40</v>
      </c>
      <c r="AD30" t="s">
        <v>41</v>
      </c>
    </row>
    <row r="31" spans="2:30">
      <c r="B31">
        <v>12</v>
      </c>
      <c r="C31">
        <v>1020</v>
      </c>
      <c r="D31" t="s">
        <v>29</v>
      </c>
      <c r="E31">
        <v>10051769</v>
      </c>
      <c r="F31" t="s">
        <v>91</v>
      </c>
      <c r="G31" t="s">
        <v>31</v>
      </c>
      <c r="H31" t="s">
        <v>32</v>
      </c>
      <c r="I31" t="s">
        <v>33</v>
      </c>
      <c r="J31" t="s">
        <v>45</v>
      </c>
      <c r="K31" t="s">
        <v>35</v>
      </c>
      <c r="L31" t="s">
        <v>36</v>
      </c>
      <c r="M31" t="s">
        <v>46</v>
      </c>
      <c r="N31">
        <v>200</v>
      </c>
      <c r="O31">
        <v>101</v>
      </c>
      <c r="P31">
        <v>20</v>
      </c>
      <c r="Q31">
        <v>97</v>
      </c>
      <c r="R31" s="4">
        <v>1012.32</v>
      </c>
      <c r="S31" t="str">
        <f t="shared" si="0"/>
        <v>PX: Baja Crit.</v>
      </c>
      <c r="T31">
        <f t="shared" si="1"/>
        <v>0</v>
      </c>
      <c r="U31">
        <f t="shared" si="2"/>
        <v>0</v>
      </c>
      <c r="V31">
        <f t="shared" si="3"/>
        <v>1</v>
      </c>
      <c r="W31">
        <f t="shared" si="4"/>
        <v>0</v>
      </c>
      <c r="X31">
        <v>1</v>
      </c>
      <c r="Y31" s="2">
        <v>45768</v>
      </c>
      <c r="Z31" s="3" t="s">
        <v>47</v>
      </c>
      <c r="AA31" t="s">
        <v>39</v>
      </c>
      <c r="AB31" t="s">
        <v>40</v>
      </c>
      <c r="AC31" t="s">
        <v>40</v>
      </c>
      <c r="AD31" t="s">
        <v>41</v>
      </c>
    </row>
    <row r="32" spans="2:30">
      <c r="B32">
        <v>12</v>
      </c>
      <c r="C32">
        <v>1020</v>
      </c>
      <c r="D32" t="s">
        <v>29</v>
      </c>
      <c r="E32">
        <v>10040805</v>
      </c>
      <c r="F32" t="s">
        <v>92</v>
      </c>
      <c r="G32" t="s">
        <v>31</v>
      </c>
      <c r="H32" t="s">
        <v>32</v>
      </c>
      <c r="I32" t="s">
        <v>33</v>
      </c>
      <c r="J32" t="s">
        <v>34</v>
      </c>
      <c r="K32" t="s">
        <v>35</v>
      </c>
      <c r="L32" t="s">
        <v>36</v>
      </c>
      <c r="M32" t="s">
        <v>37</v>
      </c>
      <c r="N32">
        <v>20</v>
      </c>
      <c r="O32">
        <v>11</v>
      </c>
      <c r="P32">
        <v>7</v>
      </c>
      <c r="Q32">
        <v>21</v>
      </c>
      <c r="R32" s="4">
        <v>3129.4</v>
      </c>
      <c r="S32" t="str">
        <f t="shared" si="0"/>
        <v>PX: Baja Crit.</v>
      </c>
      <c r="T32">
        <f t="shared" si="1"/>
        <v>0</v>
      </c>
      <c r="U32">
        <f t="shared" si="2"/>
        <v>0</v>
      </c>
      <c r="V32">
        <f t="shared" si="3"/>
        <v>0</v>
      </c>
      <c r="W32">
        <f t="shared" si="4"/>
        <v>1</v>
      </c>
      <c r="X32">
        <v>1</v>
      </c>
      <c r="Y32" s="2">
        <v>45768</v>
      </c>
      <c r="Z32" s="3" t="s">
        <v>38</v>
      </c>
      <c r="AA32" t="s">
        <v>39</v>
      </c>
      <c r="AB32" t="s">
        <v>40</v>
      </c>
      <c r="AC32" t="s">
        <v>40</v>
      </c>
      <c r="AD32" t="s">
        <v>41</v>
      </c>
    </row>
    <row r="33" spans="2:30">
      <c r="B33">
        <v>12</v>
      </c>
      <c r="C33">
        <v>1020</v>
      </c>
      <c r="D33" t="s">
        <v>29</v>
      </c>
      <c r="E33">
        <v>10056502</v>
      </c>
      <c r="F33" t="s">
        <v>93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  <c r="N33">
        <v>40</v>
      </c>
      <c r="O33">
        <v>21</v>
      </c>
      <c r="P33">
        <v>5</v>
      </c>
      <c r="Q33">
        <v>25</v>
      </c>
      <c r="R33">
        <v>294.35000000000002</v>
      </c>
      <c r="S33" t="str">
        <f t="shared" si="0"/>
        <v>PX: Baja Crit.</v>
      </c>
      <c r="T33">
        <f t="shared" si="1"/>
        <v>0</v>
      </c>
      <c r="U33">
        <f t="shared" si="2"/>
        <v>0</v>
      </c>
      <c r="V33">
        <f t="shared" si="3"/>
        <v>1</v>
      </c>
      <c r="W33">
        <f t="shared" si="4"/>
        <v>0</v>
      </c>
      <c r="X33">
        <v>1</v>
      </c>
      <c r="Y33" s="2">
        <v>45768</v>
      </c>
      <c r="Z33" s="3" t="s">
        <v>38</v>
      </c>
      <c r="AA33" t="s">
        <v>39</v>
      </c>
      <c r="AB33" t="s">
        <v>40</v>
      </c>
      <c r="AC33" t="s">
        <v>40</v>
      </c>
      <c r="AD33" t="s">
        <v>41</v>
      </c>
    </row>
    <row r="34" spans="2:30">
      <c r="B34">
        <v>12</v>
      </c>
      <c r="C34">
        <v>1020</v>
      </c>
      <c r="D34" t="s">
        <v>29</v>
      </c>
      <c r="E34">
        <v>14138767</v>
      </c>
      <c r="F34" t="s">
        <v>94</v>
      </c>
      <c r="G34" t="s">
        <v>31</v>
      </c>
      <c r="H34" t="s">
        <v>44</v>
      </c>
      <c r="I34" t="s">
        <v>33</v>
      </c>
      <c r="J34" t="s">
        <v>45</v>
      </c>
      <c r="K34" t="s">
        <v>62</v>
      </c>
      <c r="L34" t="s">
        <v>36</v>
      </c>
      <c r="M34" t="s">
        <v>46</v>
      </c>
      <c r="N34">
        <v>48</v>
      </c>
      <c r="O34">
        <v>24</v>
      </c>
      <c r="P34">
        <v>12</v>
      </c>
      <c r="Q34">
        <v>15</v>
      </c>
      <c r="R34">
        <v>434.74</v>
      </c>
      <c r="S34" t="str">
        <f t="shared" si="0"/>
        <v>PX: Baja Crit.</v>
      </c>
      <c r="T34">
        <f t="shared" si="1"/>
        <v>0</v>
      </c>
      <c r="U34">
        <f t="shared" si="2"/>
        <v>0</v>
      </c>
      <c r="V34">
        <f t="shared" si="3"/>
        <v>1</v>
      </c>
      <c r="W34">
        <f t="shared" si="4"/>
        <v>0</v>
      </c>
      <c r="X34">
        <v>1</v>
      </c>
      <c r="Y34" s="2">
        <v>45768</v>
      </c>
      <c r="Z34" s="3" t="s">
        <v>47</v>
      </c>
      <c r="AA34" t="s">
        <v>39</v>
      </c>
      <c r="AB34" t="s">
        <v>49</v>
      </c>
      <c r="AC34" s="5" t="s">
        <v>50</v>
      </c>
      <c r="AD34" t="s">
        <v>41</v>
      </c>
    </row>
    <row r="35" spans="2:30">
      <c r="B35">
        <v>12</v>
      </c>
      <c r="C35">
        <v>1020</v>
      </c>
      <c r="D35" t="s">
        <v>29</v>
      </c>
      <c r="E35">
        <v>14142000</v>
      </c>
      <c r="F35" t="s">
        <v>95</v>
      </c>
      <c r="G35" t="s">
        <v>31</v>
      </c>
      <c r="H35" t="s">
        <v>32</v>
      </c>
      <c r="I35" t="s">
        <v>33</v>
      </c>
      <c r="J35" t="s">
        <v>45</v>
      </c>
      <c r="K35" t="s">
        <v>80</v>
      </c>
      <c r="L35" t="s">
        <v>36</v>
      </c>
      <c r="M35" t="s">
        <v>46</v>
      </c>
      <c r="N35">
        <v>30</v>
      </c>
      <c r="O35">
        <v>16</v>
      </c>
      <c r="P35">
        <v>5</v>
      </c>
      <c r="Q35">
        <v>15</v>
      </c>
      <c r="R35">
        <v>939.15</v>
      </c>
      <c r="S35" t="str">
        <f t="shared" si="0"/>
        <v>PX: Baja Crit.</v>
      </c>
      <c r="T35">
        <f t="shared" si="1"/>
        <v>0</v>
      </c>
      <c r="U35">
        <f t="shared" si="2"/>
        <v>0</v>
      </c>
      <c r="V35">
        <f t="shared" si="3"/>
        <v>1</v>
      </c>
      <c r="W35">
        <f t="shared" si="4"/>
        <v>0</v>
      </c>
      <c r="X35">
        <v>1</v>
      </c>
      <c r="Y35" s="2">
        <v>45768</v>
      </c>
      <c r="Z35" s="3" t="s">
        <v>47</v>
      </c>
      <c r="AA35" t="s">
        <v>39</v>
      </c>
      <c r="AB35" t="s">
        <v>76</v>
      </c>
      <c r="AC35" s="5" t="s">
        <v>77</v>
      </c>
      <c r="AD35" t="s">
        <v>41</v>
      </c>
    </row>
    <row r="36" spans="2:30">
      <c r="B36">
        <v>12</v>
      </c>
      <c r="C36">
        <v>1020</v>
      </c>
      <c r="D36" t="s">
        <v>29</v>
      </c>
      <c r="E36">
        <v>10049133</v>
      </c>
      <c r="F36" t="s">
        <v>96</v>
      </c>
      <c r="G36" t="s">
        <v>31</v>
      </c>
      <c r="H36" t="s">
        <v>32</v>
      </c>
      <c r="I36" t="s">
        <v>33</v>
      </c>
      <c r="J36" t="s">
        <v>34</v>
      </c>
      <c r="K36" t="s">
        <v>35</v>
      </c>
      <c r="L36" t="s">
        <v>36</v>
      </c>
      <c r="M36" t="s">
        <v>37</v>
      </c>
      <c r="N36">
        <v>10</v>
      </c>
      <c r="O36">
        <v>6</v>
      </c>
      <c r="P36">
        <v>2</v>
      </c>
      <c r="Q36">
        <v>6</v>
      </c>
      <c r="R36">
        <v>151.66999999999999</v>
      </c>
      <c r="S36" t="str">
        <f t="shared" si="0"/>
        <v>PX: Baja Crit.</v>
      </c>
      <c r="T36">
        <f t="shared" si="1"/>
        <v>0</v>
      </c>
      <c r="U36">
        <f t="shared" si="2"/>
        <v>0</v>
      </c>
      <c r="V36">
        <f t="shared" si="3"/>
        <v>1</v>
      </c>
      <c r="W36">
        <f t="shared" si="4"/>
        <v>0</v>
      </c>
      <c r="X36">
        <v>1</v>
      </c>
      <c r="Y36" s="2">
        <v>45768</v>
      </c>
      <c r="Z36" s="3" t="s">
        <v>38</v>
      </c>
      <c r="AA36" t="s">
        <v>39</v>
      </c>
      <c r="AB36" t="s">
        <v>40</v>
      </c>
      <c r="AC36" t="s">
        <v>40</v>
      </c>
      <c r="AD36" t="s">
        <v>41</v>
      </c>
    </row>
    <row r="37" spans="2:30">
      <c r="B37">
        <v>12</v>
      </c>
      <c r="C37">
        <v>1020</v>
      </c>
      <c r="D37" t="s">
        <v>29</v>
      </c>
      <c r="E37">
        <v>10050346</v>
      </c>
      <c r="F37" t="s">
        <v>97</v>
      </c>
      <c r="G37" t="s">
        <v>43</v>
      </c>
      <c r="H37" t="s">
        <v>60</v>
      </c>
      <c r="I37" t="s">
        <v>33</v>
      </c>
      <c r="J37" t="s">
        <v>45</v>
      </c>
      <c r="K37" t="s">
        <v>35</v>
      </c>
      <c r="L37" t="s">
        <v>36</v>
      </c>
      <c r="M37" t="s">
        <v>46</v>
      </c>
      <c r="N37">
        <v>90</v>
      </c>
      <c r="O37">
        <v>61</v>
      </c>
      <c r="P37">
        <v>10</v>
      </c>
      <c r="Q37">
        <v>57</v>
      </c>
      <c r="R37" s="4">
        <v>4468.47</v>
      </c>
      <c r="S37" t="str">
        <f t="shared" si="0"/>
        <v>PY: Media Crit.</v>
      </c>
      <c r="T37">
        <f t="shared" si="1"/>
        <v>0</v>
      </c>
      <c r="U37">
        <f t="shared" si="2"/>
        <v>0</v>
      </c>
      <c r="V37">
        <f t="shared" si="3"/>
        <v>1</v>
      </c>
      <c r="W37">
        <f t="shared" si="4"/>
        <v>0</v>
      </c>
      <c r="X37">
        <v>1</v>
      </c>
      <c r="Y37" s="2">
        <v>45768</v>
      </c>
      <c r="Z37" s="3" t="s">
        <v>47</v>
      </c>
      <c r="AA37" t="s">
        <v>39</v>
      </c>
      <c r="AB37" t="s">
        <v>49</v>
      </c>
      <c r="AC37" s="5" t="s">
        <v>50</v>
      </c>
      <c r="AD37" t="s">
        <v>41</v>
      </c>
    </row>
    <row r="38" spans="2:30">
      <c r="B38">
        <v>12</v>
      </c>
      <c r="C38">
        <v>1020</v>
      </c>
      <c r="D38" t="s">
        <v>29</v>
      </c>
      <c r="E38">
        <v>10158919</v>
      </c>
      <c r="F38" t="s">
        <v>98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  <c r="L38" t="s">
        <v>36</v>
      </c>
      <c r="M38" t="s">
        <v>37</v>
      </c>
      <c r="N38">
        <v>20</v>
      </c>
      <c r="O38">
        <v>10</v>
      </c>
      <c r="P38">
        <v>3</v>
      </c>
      <c r="Q38">
        <v>25</v>
      </c>
      <c r="R38">
        <v>195</v>
      </c>
      <c r="S38" t="str">
        <f t="shared" si="0"/>
        <v>PX: Baja Crit.</v>
      </c>
      <c r="T38">
        <f t="shared" si="1"/>
        <v>0</v>
      </c>
      <c r="U38">
        <f t="shared" si="2"/>
        <v>0</v>
      </c>
      <c r="V38">
        <f t="shared" si="3"/>
        <v>0</v>
      </c>
      <c r="W38">
        <f t="shared" si="4"/>
        <v>1</v>
      </c>
      <c r="X38">
        <v>1</v>
      </c>
      <c r="Y38" s="2">
        <v>45768</v>
      </c>
      <c r="Z38" s="3" t="s">
        <v>38</v>
      </c>
      <c r="AA38" t="s">
        <v>39</v>
      </c>
      <c r="AB38" t="s">
        <v>40</v>
      </c>
      <c r="AC38" t="s">
        <v>40</v>
      </c>
      <c r="AD38" t="s">
        <v>41</v>
      </c>
    </row>
    <row r="39" spans="2:30">
      <c r="B39">
        <v>12</v>
      </c>
      <c r="C39">
        <v>1020</v>
      </c>
      <c r="D39" t="s">
        <v>29</v>
      </c>
      <c r="E39">
        <v>10041456</v>
      </c>
      <c r="F39" t="s">
        <v>99</v>
      </c>
      <c r="G39" t="s">
        <v>43</v>
      </c>
      <c r="H39" t="s">
        <v>32</v>
      </c>
      <c r="I39" t="s">
        <v>33</v>
      </c>
      <c r="J39" t="s">
        <v>45</v>
      </c>
      <c r="K39" t="s">
        <v>35</v>
      </c>
      <c r="L39" t="s">
        <v>36</v>
      </c>
      <c r="M39" t="s">
        <v>46</v>
      </c>
      <c r="N39">
        <v>100</v>
      </c>
      <c r="O39">
        <v>51</v>
      </c>
      <c r="P39">
        <v>20</v>
      </c>
      <c r="Q39">
        <v>17</v>
      </c>
      <c r="R39">
        <v>562.76</v>
      </c>
      <c r="S39" t="str">
        <f t="shared" si="0"/>
        <v>PY: Media Crit.</v>
      </c>
      <c r="T39">
        <f t="shared" si="1"/>
        <v>0</v>
      </c>
      <c r="U39">
        <f t="shared" si="2"/>
        <v>1</v>
      </c>
      <c r="V39">
        <f t="shared" si="3"/>
        <v>0</v>
      </c>
      <c r="W39">
        <f t="shared" si="4"/>
        <v>0</v>
      </c>
      <c r="X39">
        <v>1</v>
      </c>
      <c r="Y39" s="2">
        <v>45768</v>
      </c>
      <c r="Z39" s="3" t="s">
        <v>47</v>
      </c>
      <c r="AA39" t="s">
        <v>39</v>
      </c>
      <c r="AB39" t="s">
        <v>49</v>
      </c>
      <c r="AC39" s="5" t="s">
        <v>50</v>
      </c>
      <c r="AD39" t="s">
        <v>41</v>
      </c>
    </row>
    <row r="40" spans="2:30">
      <c r="B40">
        <v>12</v>
      </c>
      <c r="C40">
        <v>1020</v>
      </c>
      <c r="D40" t="s">
        <v>29</v>
      </c>
      <c r="E40">
        <v>14115318</v>
      </c>
      <c r="F40" s="6" t="s">
        <v>100</v>
      </c>
      <c r="G40" t="s">
        <v>52</v>
      </c>
      <c r="H40" t="s">
        <v>32</v>
      </c>
      <c r="I40" t="s">
        <v>33</v>
      </c>
      <c r="J40" t="s">
        <v>45</v>
      </c>
      <c r="K40" t="s">
        <v>65</v>
      </c>
      <c r="L40" t="s">
        <v>36</v>
      </c>
      <c r="M40" t="s">
        <v>37</v>
      </c>
      <c r="N40">
        <v>126</v>
      </c>
      <c r="O40">
        <v>72</v>
      </c>
      <c r="P40">
        <v>18</v>
      </c>
      <c r="Q40">
        <v>90</v>
      </c>
      <c r="R40" s="4">
        <v>2777.59</v>
      </c>
      <c r="S40" t="str">
        <f t="shared" si="0"/>
        <v>PZ: Alta Crit.</v>
      </c>
      <c r="T40">
        <f t="shared" si="1"/>
        <v>0</v>
      </c>
      <c r="U40">
        <f t="shared" si="2"/>
        <v>0</v>
      </c>
      <c r="V40">
        <f t="shared" si="3"/>
        <v>1</v>
      </c>
      <c r="W40">
        <f t="shared" si="4"/>
        <v>0</v>
      </c>
      <c r="X40">
        <v>1</v>
      </c>
      <c r="Y40" s="2">
        <v>45768</v>
      </c>
      <c r="Z40" s="3" t="s">
        <v>38</v>
      </c>
      <c r="AA40" t="s">
        <v>39</v>
      </c>
      <c r="AB40" t="s">
        <v>76</v>
      </c>
      <c r="AC40" s="5" t="s">
        <v>77</v>
      </c>
      <c r="AD40" t="s">
        <v>41</v>
      </c>
    </row>
    <row r="41" spans="2:30">
      <c r="B41">
        <v>12</v>
      </c>
      <c r="C41">
        <v>1020</v>
      </c>
      <c r="D41" t="s">
        <v>29</v>
      </c>
      <c r="E41">
        <v>10043381</v>
      </c>
      <c r="F41" t="s">
        <v>101</v>
      </c>
      <c r="G41" t="s">
        <v>43</v>
      </c>
      <c r="H41" t="s">
        <v>32</v>
      </c>
      <c r="I41" t="s">
        <v>33</v>
      </c>
      <c r="J41" t="s">
        <v>34</v>
      </c>
      <c r="K41" t="s">
        <v>65</v>
      </c>
      <c r="L41" t="s">
        <v>36</v>
      </c>
      <c r="M41" t="s">
        <v>37</v>
      </c>
      <c r="N41">
        <v>150</v>
      </c>
      <c r="O41">
        <v>76</v>
      </c>
      <c r="P41">
        <v>50</v>
      </c>
      <c r="Q41">
        <v>105</v>
      </c>
      <c r="R41" s="4">
        <v>1250.5999999999999</v>
      </c>
      <c r="S41" t="str">
        <f t="shared" si="0"/>
        <v>PY: Media Crit.</v>
      </c>
      <c r="T41">
        <f t="shared" si="1"/>
        <v>0</v>
      </c>
      <c r="U41">
        <f t="shared" si="2"/>
        <v>0</v>
      </c>
      <c r="V41">
        <f t="shared" si="3"/>
        <v>1</v>
      </c>
      <c r="W41">
        <f t="shared" si="4"/>
        <v>0</v>
      </c>
      <c r="X41">
        <v>1</v>
      </c>
      <c r="Y41" s="2">
        <v>45768</v>
      </c>
      <c r="Z41" s="3" t="s">
        <v>38</v>
      </c>
      <c r="AA41" t="s">
        <v>39</v>
      </c>
      <c r="AB41" t="s">
        <v>40</v>
      </c>
      <c r="AC41" t="s">
        <v>40</v>
      </c>
      <c r="AD41" t="s">
        <v>41</v>
      </c>
    </row>
    <row r="42" spans="2:30">
      <c r="B42">
        <v>12</v>
      </c>
      <c r="C42">
        <v>1020</v>
      </c>
      <c r="D42" t="s">
        <v>29</v>
      </c>
      <c r="E42">
        <v>10043348</v>
      </c>
      <c r="F42" t="s">
        <v>102</v>
      </c>
      <c r="G42" t="s">
        <v>43</v>
      </c>
      <c r="H42" t="s">
        <v>32</v>
      </c>
      <c r="I42" t="s">
        <v>33</v>
      </c>
      <c r="J42" t="s">
        <v>34</v>
      </c>
      <c r="K42" t="s">
        <v>65</v>
      </c>
      <c r="L42" t="s">
        <v>36</v>
      </c>
      <c r="M42" t="s">
        <v>37</v>
      </c>
      <c r="N42">
        <v>250</v>
      </c>
      <c r="O42">
        <v>101</v>
      </c>
      <c r="P42">
        <v>25</v>
      </c>
      <c r="Q42">
        <v>45</v>
      </c>
      <c r="R42">
        <v>560.09</v>
      </c>
      <c r="S42" t="str">
        <f t="shared" si="0"/>
        <v>PY: Media Crit.</v>
      </c>
      <c r="T42">
        <f t="shared" si="1"/>
        <v>0</v>
      </c>
      <c r="U42">
        <f t="shared" si="2"/>
        <v>0</v>
      </c>
      <c r="V42">
        <f t="shared" si="3"/>
        <v>1</v>
      </c>
      <c r="W42">
        <f t="shared" si="4"/>
        <v>0</v>
      </c>
      <c r="X42">
        <v>1</v>
      </c>
      <c r="Y42" s="2">
        <v>45768</v>
      </c>
      <c r="Z42" s="3" t="s">
        <v>38</v>
      </c>
      <c r="AA42" t="s">
        <v>39</v>
      </c>
      <c r="AB42" t="s">
        <v>40</v>
      </c>
      <c r="AC42" t="s">
        <v>40</v>
      </c>
      <c r="AD42" t="s">
        <v>41</v>
      </c>
    </row>
    <row r="43" spans="2:30">
      <c r="B43">
        <v>12</v>
      </c>
      <c r="C43">
        <v>1020</v>
      </c>
      <c r="D43" t="s">
        <v>29</v>
      </c>
      <c r="E43">
        <v>10056454</v>
      </c>
      <c r="F43" t="s">
        <v>103</v>
      </c>
      <c r="G43" t="s">
        <v>43</v>
      </c>
      <c r="H43" t="s">
        <v>32</v>
      </c>
      <c r="I43" t="s">
        <v>33</v>
      </c>
      <c r="J43" t="s">
        <v>34</v>
      </c>
      <c r="K43" t="s">
        <v>35</v>
      </c>
      <c r="L43" t="s">
        <v>36</v>
      </c>
      <c r="M43" t="s">
        <v>46</v>
      </c>
      <c r="N43">
        <v>60</v>
      </c>
      <c r="O43">
        <v>41</v>
      </c>
      <c r="P43">
        <v>10</v>
      </c>
      <c r="Q43">
        <v>103</v>
      </c>
      <c r="R43" s="4">
        <v>2835.92</v>
      </c>
      <c r="S43" t="str">
        <f t="shared" si="0"/>
        <v>PY: Media Crit.</v>
      </c>
      <c r="T43">
        <f t="shared" si="1"/>
        <v>0</v>
      </c>
      <c r="U43">
        <f t="shared" si="2"/>
        <v>0</v>
      </c>
      <c r="V43">
        <f t="shared" si="3"/>
        <v>0</v>
      </c>
      <c r="W43">
        <f t="shared" si="4"/>
        <v>1</v>
      </c>
      <c r="X43">
        <v>1</v>
      </c>
      <c r="Y43" s="2">
        <v>45768</v>
      </c>
      <c r="Z43" s="3" t="s">
        <v>47</v>
      </c>
      <c r="AA43" t="s">
        <v>39</v>
      </c>
      <c r="AB43" t="s">
        <v>40</v>
      </c>
      <c r="AC43" t="s">
        <v>40</v>
      </c>
      <c r="AD43" t="s">
        <v>41</v>
      </c>
    </row>
    <row r="44" spans="2:30">
      <c r="B44">
        <v>12</v>
      </c>
      <c r="C44">
        <v>1020</v>
      </c>
      <c r="D44" t="s">
        <v>29</v>
      </c>
      <c r="E44">
        <v>10050037</v>
      </c>
      <c r="F44" t="s">
        <v>104</v>
      </c>
      <c r="G44" t="s">
        <v>31</v>
      </c>
      <c r="H44" t="s">
        <v>32</v>
      </c>
      <c r="I44" t="s">
        <v>33</v>
      </c>
      <c r="J44" t="s">
        <v>34</v>
      </c>
      <c r="K44" t="s">
        <v>35</v>
      </c>
      <c r="L44" t="s">
        <v>36</v>
      </c>
      <c r="M44" t="s">
        <v>37</v>
      </c>
      <c r="N44">
        <v>15</v>
      </c>
      <c r="O44">
        <v>9</v>
      </c>
      <c r="P44">
        <v>3</v>
      </c>
      <c r="Q44">
        <v>14</v>
      </c>
      <c r="R44">
        <v>238</v>
      </c>
      <c r="S44" t="str">
        <f t="shared" si="0"/>
        <v>PX: Baja Crit.</v>
      </c>
      <c r="T44">
        <f t="shared" si="1"/>
        <v>0</v>
      </c>
      <c r="U44">
        <f t="shared" si="2"/>
        <v>0</v>
      </c>
      <c r="V44">
        <f t="shared" si="3"/>
        <v>1</v>
      </c>
      <c r="W44">
        <f t="shared" si="4"/>
        <v>0</v>
      </c>
      <c r="X44">
        <v>1</v>
      </c>
      <c r="Y44" s="2">
        <v>45768</v>
      </c>
      <c r="Z44" s="3" t="s">
        <v>38</v>
      </c>
      <c r="AA44" t="s">
        <v>39</v>
      </c>
      <c r="AB44" t="s">
        <v>40</v>
      </c>
      <c r="AC44" t="s">
        <v>40</v>
      </c>
      <c r="AD44" t="s">
        <v>41</v>
      </c>
    </row>
    <row r="45" spans="2:30">
      <c r="B45">
        <v>12</v>
      </c>
      <c r="C45">
        <v>1020</v>
      </c>
      <c r="D45" t="s">
        <v>29</v>
      </c>
      <c r="E45">
        <v>10050379</v>
      </c>
      <c r="F45" s="6" t="s">
        <v>105</v>
      </c>
      <c r="G45" t="s">
        <v>52</v>
      </c>
      <c r="H45" t="s">
        <v>44</v>
      </c>
      <c r="I45" t="s">
        <v>33</v>
      </c>
      <c r="J45" t="s">
        <v>34</v>
      </c>
      <c r="K45" t="s">
        <v>106</v>
      </c>
      <c r="L45" t="s">
        <v>36</v>
      </c>
      <c r="M45" t="s">
        <v>37</v>
      </c>
      <c r="N45" s="8">
        <v>5600</v>
      </c>
      <c r="O45" s="8">
        <v>2001</v>
      </c>
      <c r="P45" s="8">
        <v>1200</v>
      </c>
      <c r="Q45" s="8">
        <v>2000</v>
      </c>
      <c r="R45" s="4">
        <v>22951.87</v>
      </c>
      <c r="S45" t="str">
        <f t="shared" si="0"/>
        <v>PZ: Alta Crit.</v>
      </c>
      <c r="T45">
        <f t="shared" si="1"/>
        <v>0</v>
      </c>
      <c r="U45">
        <f t="shared" si="2"/>
        <v>0</v>
      </c>
      <c r="V45">
        <f t="shared" si="3"/>
        <v>1</v>
      </c>
      <c r="W45">
        <f t="shared" si="4"/>
        <v>0</v>
      </c>
      <c r="X45">
        <v>1</v>
      </c>
      <c r="Y45" s="2">
        <v>45768</v>
      </c>
      <c r="Z45" s="3" t="s">
        <v>38</v>
      </c>
      <c r="AA45" t="s">
        <v>39</v>
      </c>
      <c r="AB45" t="s">
        <v>49</v>
      </c>
      <c r="AC45" s="5" t="s">
        <v>50</v>
      </c>
      <c r="AD45" t="s">
        <v>41</v>
      </c>
    </row>
    <row r="46" spans="2:30">
      <c r="B46">
        <v>12</v>
      </c>
      <c r="C46">
        <v>1020</v>
      </c>
      <c r="D46" t="s">
        <v>29</v>
      </c>
      <c r="E46">
        <v>10040952</v>
      </c>
      <c r="F46" t="s">
        <v>107</v>
      </c>
      <c r="G46" t="s">
        <v>43</v>
      </c>
      <c r="H46" t="s">
        <v>32</v>
      </c>
      <c r="I46" t="s">
        <v>33</v>
      </c>
      <c r="J46" t="s">
        <v>34</v>
      </c>
      <c r="K46" t="s">
        <v>35</v>
      </c>
      <c r="L46" t="s">
        <v>36</v>
      </c>
      <c r="M46" t="s">
        <v>37</v>
      </c>
      <c r="N46">
        <v>20</v>
      </c>
      <c r="O46">
        <v>13</v>
      </c>
      <c r="P46">
        <v>5</v>
      </c>
      <c r="Q46">
        <v>17</v>
      </c>
      <c r="R46">
        <v>876.22</v>
      </c>
      <c r="S46" t="str">
        <f t="shared" si="0"/>
        <v>PY: Media Crit.</v>
      </c>
      <c r="T46">
        <f t="shared" si="1"/>
        <v>0</v>
      </c>
      <c r="U46">
        <f t="shared" si="2"/>
        <v>0</v>
      </c>
      <c r="V46">
        <f t="shared" si="3"/>
        <v>1</v>
      </c>
      <c r="W46">
        <f t="shared" si="4"/>
        <v>0</v>
      </c>
      <c r="X46">
        <v>1</v>
      </c>
      <c r="Y46" s="2">
        <v>45768</v>
      </c>
      <c r="Z46" s="3" t="s">
        <v>38</v>
      </c>
      <c r="AA46" t="s">
        <v>39</v>
      </c>
      <c r="AB46" t="s">
        <v>40</v>
      </c>
      <c r="AC46" t="s">
        <v>40</v>
      </c>
      <c r="AD46" t="s">
        <v>41</v>
      </c>
    </row>
    <row r="47" spans="2:30">
      <c r="B47">
        <v>12</v>
      </c>
      <c r="C47">
        <v>1020</v>
      </c>
      <c r="D47" t="s">
        <v>29</v>
      </c>
      <c r="E47">
        <v>10050812</v>
      </c>
      <c r="F47" t="s">
        <v>108</v>
      </c>
      <c r="G47" t="s">
        <v>31</v>
      </c>
      <c r="H47" t="s">
        <v>32</v>
      </c>
      <c r="I47" t="s">
        <v>33</v>
      </c>
      <c r="J47" t="s">
        <v>34</v>
      </c>
      <c r="K47" t="s">
        <v>35</v>
      </c>
      <c r="L47" t="s">
        <v>36</v>
      </c>
      <c r="M47" t="s">
        <v>37</v>
      </c>
      <c r="N47">
        <v>40</v>
      </c>
      <c r="O47">
        <v>16</v>
      </c>
      <c r="P47">
        <v>4</v>
      </c>
      <c r="Q47">
        <v>76</v>
      </c>
      <c r="R47">
        <v>448.4</v>
      </c>
      <c r="S47" t="str">
        <f t="shared" si="0"/>
        <v>PX: Baja Crit.</v>
      </c>
      <c r="T47">
        <f t="shared" si="1"/>
        <v>0</v>
      </c>
      <c r="U47">
        <f t="shared" si="2"/>
        <v>0</v>
      </c>
      <c r="V47">
        <f t="shared" si="3"/>
        <v>0</v>
      </c>
      <c r="W47">
        <f t="shared" si="4"/>
        <v>1</v>
      </c>
      <c r="X47">
        <v>1</v>
      </c>
      <c r="Y47" s="2">
        <v>45768</v>
      </c>
      <c r="Z47" s="3" t="s">
        <v>38</v>
      </c>
      <c r="AA47" t="s">
        <v>39</v>
      </c>
      <c r="AB47" t="s">
        <v>40</v>
      </c>
      <c r="AC47" t="s">
        <v>40</v>
      </c>
      <c r="AD47" t="s">
        <v>41</v>
      </c>
    </row>
    <row r="48" spans="2:30">
      <c r="B48">
        <v>12</v>
      </c>
      <c r="C48">
        <v>1020</v>
      </c>
      <c r="D48" t="s">
        <v>29</v>
      </c>
      <c r="E48">
        <v>14094590</v>
      </c>
      <c r="F48" t="s">
        <v>109</v>
      </c>
      <c r="G48" t="s">
        <v>43</v>
      </c>
      <c r="H48" t="s">
        <v>44</v>
      </c>
      <c r="I48" t="s">
        <v>33</v>
      </c>
      <c r="J48" t="s">
        <v>34</v>
      </c>
      <c r="K48" t="s">
        <v>35</v>
      </c>
      <c r="L48" t="s">
        <v>36</v>
      </c>
      <c r="M48" t="s">
        <v>37</v>
      </c>
      <c r="N48">
        <v>30</v>
      </c>
      <c r="O48">
        <v>16</v>
      </c>
      <c r="P48">
        <v>5</v>
      </c>
      <c r="Q48">
        <v>16</v>
      </c>
      <c r="R48" s="4">
        <v>2693.54</v>
      </c>
      <c r="S48" t="str">
        <f t="shared" si="0"/>
        <v>PY: Media Crit.</v>
      </c>
      <c r="T48">
        <f t="shared" si="1"/>
        <v>0</v>
      </c>
      <c r="U48">
        <f t="shared" si="2"/>
        <v>0</v>
      </c>
      <c r="V48">
        <f t="shared" si="3"/>
        <v>1</v>
      </c>
      <c r="W48">
        <f t="shared" si="4"/>
        <v>0</v>
      </c>
      <c r="X48">
        <v>1</v>
      </c>
      <c r="Y48" s="2">
        <v>45768</v>
      </c>
      <c r="Z48" s="3" t="s">
        <v>38</v>
      </c>
      <c r="AA48" t="s">
        <v>39</v>
      </c>
      <c r="AB48" t="s">
        <v>49</v>
      </c>
      <c r="AC48" s="5" t="s">
        <v>50</v>
      </c>
      <c r="AD48" t="s">
        <v>41</v>
      </c>
    </row>
    <row r="49" spans="2:30">
      <c r="B49">
        <v>12</v>
      </c>
      <c r="C49">
        <v>1020</v>
      </c>
      <c r="D49" t="s">
        <v>29</v>
      </c>
      <c r="E49">
        <v>10352230</v>
      </c>
      <c r="F49" t="s">
        <v>110</v>
      </c>
      <c r="G49" t="s">
        <v>31</v>
      </c>
      <c r="H49" t="s">
        <v>32</v>
      </c>
      <c r="I49" t="s">
        <v>33</v>
      </c>
      <c r="J49" t="s">
        <v>34</v>
      </c>
      <c r="K49" t="s">
        <v>35</v>
      </c>
      <c r="L49" t="s">
        <v>36</v>
      </c>
      <c r="M49" t="s">
        <v>37</v>
      </c>
      <c r="N49">
        <v>100</v>
      </c>
      <c r="O49">
        <v>41</v>
      </c>
      <c r="P49">
        <v>10</v>
      </c>
      <c r="Q49">
        <v>0</v>
      </c>
      <c r="R49">
        <v>0</v>
      </c>
      <c r="S49" t="str">
        <f t="shared" si="0"/>
        <v>PX: Baja Crit.</v>
      </c>
      <c r="T49">
        <f t="shared" si="1"/>
        <v>1</v>
      </c>
      <c r="U49">
        <f t="shared" si="2"/>
        <v>0</v>
      </c>
      <c r="V49">
        <f t="shared" si="3"/>
        <v>0</v>
      </c>
      <c r="W49">
        <f t="shared" si="4"/>
        <v>0</v>
      </c>
      <c r="X49">
        <v>1</v>
      </c>
      <c r="Y49" s="2">
        <v>45768</v>
      </c>
      <c r="Z49" s="3" t="s">
        <v>38</v>
      </c>
      <c r="AA49" t="s">
        <v>39</v>
      </c>
      <c r="AB49" t="s">
        <v>49</v>
      </c>
      <c r="AC49" s="5" t="s">
        <v>50</v>
      </c>
      <c r="AD49" t="s">
        <v>41</v>
      </c>
    </row>
    <row r="50" spans="2:30">
      <c r="B50">
        <v>12</v>
      </c>
      <c r="C50">
        <v>1020</v>
      </c>
      <c r="D50" t="s">
        <v>29</v>
      </c>
      <c r="E50">
        <v>10601302</v>
      </c>
      <c r="F50" t="s">
        <v>111</v>
      </c>
      <c r="G50" t="s">
        <v>52</v>
      </c>
      <c r="H50" t="s">
        <v>60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>
        <v>30</v>
      </c>
      <c r="O50">
        <v>18</v>
      </c>
      <c r="P50">
        <v>14</v>
      </c>
      <c r="Q50">
        <v>12</v>
      </c>
      <c r="R50" s="4">
        <v>4824.6000000000004</v>
      </c>
      <c r="S50" t="str">
        <f t="shared" si="0"/>
        <v>PZ: Alta Crit.</v>
      </c>
      <c r="T50">
        <f t="shared" si="1"/>
        <v>0</v>
      </c>
      <c r="U50">
        <f t="shared" si="2"/>
        <v>1</v>
      </c>
      <c r="V50">
        <f t="shared" si="3"/>
        <v>0</v>
      </c>
      <c r="W50">
        <f t="shared" si="4"/>
        <v>0</v>
      </c>
      <c r="X50">
        <v>1</v>
      </c>
      <c r="Y50" s="2">
        <v>45768</v>
      </c>
      <c r="Z50" s="3" t="s">
        <v>38</v>
      </c>
      <c r="AA50" t="s">
        <v>39</v>
      </c>
      <c r="AB50" t="s">
        <v>76</v>
      </c>
      <c r="AC50" s="5" t="s">
        <v>77</v>
      </c>
      <c r="AD50" t="s">
        <v>41</v>
      </c>
    </row>
    <row r="51" spans="2:30">
      <c r="B51">
        <v>12</v>
      </c>
      <c r="C51">
        <v>1020</v>
      </c>
      <c r="D51" t="s">
        <v>29</v>
      </c>
      <c r="E51">
        <v>14207997</v>
      </c>
      <c r="F51" s="6" t="s">
        <v>112</v>
      </c>
      <c r="G51" t="s">
        <v>31</v>
      </c>
      <c r="H51" t="s">
        <v>44</v>
      </c>
      <c r="I51" t="s">
        <v>33</v>
      </c>
      <c r="J51" t="s">
        <v>45</v>
      </c>
      <c r="K51" t="s">
        <v>65</v>
      </c>
      <c r="L51" t="s">
        <v>36</v>
      </c>
      <c r="M51" t="s">
        <v>37</v>
      </c>
      <c r="N51" s="8">
        <v>6800</v>
      </c>
      <c r="O51" s="8">
        <v>4250</v>
      </c>
      <c r="P51" s="8">
        <v>3400</v>
      </c>
      <c r="Q51" s="8">
        <v>6185</v>
      </c>
      <c r="R51" s="4">
        <v>159469.42000000001</v>
      </c>
      <c r="S51" t="str">
        <f t="shared" si="0"/>
        <v>PX: Baja Crit.</v>
      </c>
      <c r="T51">
        <f t="shared" si="1"/>
        <v>0</v>
      </c>
      <c r="U51">
        <f t="shared" si="2"/>
        <v>0</v>
      </c>
      <c r="V51">
        <f t="shared" si="3"/>
        <v>1</v>
      </c>
      <c r="W51">
        <f t="shared" si="4"/>
        <v>0</v>
      </c>
      <c r="X51">
        <v>1</v>
      </c>
      <c r="Y51" s="2">
        <v>45768</v>
      </c>
      <c r="Z51" s="3" t="s">
        <v>38</v>
      </c>
      <c r="AA51" t="s">
        <v>39</v>
      </c>
      <c r="AB51" t="s">
        <v>76</v>
      </c>
      <c r="AC51" s="5" t="s">
        <v>77</v>
      </c>
      <c r="AD51" t="s">
        <v>41</v>
      </c>
    </row>
    <row r="52" spans="2:30">
      <c r="B52">
        <v>12</v>
      </c>
      <c r="C52">
        <v>1020</v>
      </c>
      <c r="D52" t="s">
        <v>29</v>
      </c>
      <c r="E52">
        <v>10056318</v>
      </c>
      <c r="F52" t="s">
        <v>113</v>
      </c>
      <c r="G52" t="s">
        <v>31</v>
      </c>
      <c r="H52" t="s">
        <v>60</v>
      </c>
      <c r="I52" t="s">
        <v>33</v>
      </c>
      <c r="J52" t="s">
        <v>34</v>
      </c>
      <c r="K52" t="s">
        <v>35</v>
      </c>
      <c r="L52" t="s">
        <v>36</v>
      </c>
      <c r="M52" t="s">
        <v>46</v>
      </c>
      <c r="N52">
        <v>80</v>
      </c>
      <c r="O52">
        <v>51</v>
      </c>
      <c r="P52">
        <v>26</v>
      </c>
      <c r="Q52">
        <v>79</v>
      </c>
      <c r="R52" s="4">
        <v>2326.59</v>
      </c>
      <c r="S52" t="str">
        <f t="shared" si="0"/>
        <v>PX: Baja Crit.</v>
      </c>
      <c r="T52">
        <f t="shared" si="1"/>
        <v>0</v>
      </c>
      <c r="U52">
        <f t="shared" si="2"/>
        <v>0</v>
      </c>
      <c r="V52">
        <f t="shared" si="3"/>
        <v>1</v>
      </c>
      <c r="W52">
        <f t="shared" si="4"/>
        <v>0</v>
      </c>
      <c r="X52">
        <v>1</v>
      </c>
      <c r="Y52" s="2">
        <v>45768</v>
      </c>
      <c r="Z52" s="3" t="s">
        <v>47</v>
      </c>
      <c r="AA52" t="s">
        <v>39</v>
      </c>
      <c r="AB52" t="s">
        <v>40</v>
      </c>
      <c r="AC52" t="s">
        <v>40</v>
      </c>
      <c r="AD52" t="s">
        <v>41</v>
      </c>
    </row>
    <row r="53" spans="2:30">
      <c r="B53">
        <v>12</v>
      </c>
      <c r="C53">
        <v>1020</v>
      </c>
      <c r="D53" t="s">
        <v>29</v>
      </c>
      <c r="E53">
        <v>10041490</v>
      </c>
      <c r="F53" t="s">
        <v>114</v>
      </c>
      <c r="G53" t="s">
        <v>43</v>
      </c>
      <c r="H53" t="s">
        <v>60</v>
      </c>
      <c r="I53" t="s">
        <v>33</v>
      </c>
      <c r="J53" t="s">
        <v>34</v>
      </c>
      <c r="K53" t="s">
        <v>35</v>
      </c>
      <c r="L53" t="s">
        <v>36</v>
      </c>
      <c r="M53" t="s">
        <v>46</v>
      </c>
      <c r="N53">
        <v>60</v>
      </c>
      <c r="O53">
        <v>41</v>
      </c>
      <c r="P53">
        <v>10</v>
      </c>
      <c r="Q53">
        <v>0</v>
      </c>
      <c r="R53">
        <v>0</v>
      </c>
      <c r="S53" t="str">
        <f t="shared" si="0"/>
        <v>PY: Media Crit.</v>
      </c>
      <c r="T53">
        <f t="shared" si="1"/>
        <v>1</v>
      </c>
      <c r="U53">
        <f t="shared" si="2"/>
        <v>0</v>
      </c>
      <c r="V53">
        <f t="shared" si="3"/>
        <v>0</v>
      </c>
      <c r="W53">
        <f t="shared" si="4"/>
        <v>0</v>
      </c>
      <c r="X53">
        <v>1</v>
      </c>
      <c r="Y53" s="2">
        <v>45768</v>
      </c>
      <c r="Z53" s="3" t="s">
        <v>47</v>
      </c>
      <c r="AA53" t="s">
        <v>39</v>
      </c>
      <c r="AB53" t="s">
        <v>49</v>
      </c>
      <c r="AC53" s="5" t="s">
        <v>50</v>
      </c>
      <c r="AD53" t="s">
        <v>41</v>
      </c>
    </row>
    <row r="54" spans="2:30">
      <c r="B54">
        <v>12</v>
      </c>
      <c r="C54">
        <v>1020</v>
      </c>
      <c r="D54" t="s">
        <v>29</v>
      </c>
      <c r="E54">
        <v>10043378</v>
      </c>
      <c r="F54" t="s">
        <v>115</v>
      </c>
      <c r="G54" t="s">
        <v>43</v>
      </c>
      <c r="H54" t="s">
        <v>32</v>
      </c>
      <c r="I54" t="s">
        <v>33</v>
      </c>
      <c r="J54" t="s">
        <v>34</v>
      </c>
      <c r="K54" t="s">
        <v>65</v>
      </c>
      <c r="L54" t="s">
        <v>36</v>
      </c>
      <c r="M54" t="s">
        <v>37</v>
      </c>
      <c r="N54">
        <v>200</v>
      </c>
      <c r="O54">
        <v>101</v>
      </c>
      <c r="P54">
        <v>50</v>
      </c>
      <c r="Q54">
        <v>120</v>
      </c>
      <c r="R54" s="4">
        <v>1513.61</v>
      </c>
      <c r="S54" t="str">
        <f t="shared" si="0"/>
        <v>PY: Media Crit.</v>
      </c>
      <c r="T54">
        <f t="shared" si="1"/>
        <v>0</v>
      </c>
      <c r="U54">
        <f t="shared" si="2"/>
        <v>0</v>
      </c>
      <c r="V54">
        <f t="shared" si="3"/>
        <v>1</v>
      </c>
      <c r="W54">
        <f t="shared" si="4"/>
        <v>0</v>
      </c>
      <c r="X54">
        <v>1</v>
      </c>
      <c r="Y54" s="2">
        <v>45768</v>
      </c>
      <c r="Z54" s="3" t="s">
        <v>38</v>
      </c>
      <c r="AA54" t="s">
        <v>39</v>
      </c>
      <c r="AB54" t="s">
        <v>40</v>
      </c>
      <c r="AC54" t="s">
        <v>40</v>
      </c>
      <c r="AD54" t="s">
        <v>41</v>
      </c>
    </row>
    <row r="55" spans="2:30">
      <c r="B55">
        <v>12</v>
      </c>
      <c r="C55">
        <v>1020</v>
      </c>
      <c r="D55" t="s">
        <v>29</v>
      </c>
      <c r="E55">
        <v>10045166</v>
      </c>
      <c r="F55" t="s">
        <v>116</v>
      </c>
      <c r="G55" t="s">
        <v>52</v>
      </c>
      <c r="H55" t="s">
        <v>44</v>
      </c>
      <c r="I55" t="s">
        <v>33</v>
      </c>
      <c r="J55" t="s">
        <v>45</v>
      </c>
      <c r="K55" t="s">
        <v>35</v>
      </c>
      <c r="L55" t="s">
        <v>36</v>
      </c>
      <c r="M55" t="s">
        <v>117</v>
      </c>
      <c r="N55">
        <v>60</v>
      </c>
      <c r="O55">
        <v>41</v>
      </c>
      <c r="P55">
        <v>20</v>
      </c>
      <c r="Q55">
        <v>87</v>
      </c>
      <c r="R55" s="4">
        <v>175855</v>
      </c>
      <c r="S55" t="str">
        <f t="shared" si="0"/>
        <v>PZ: Alta Crit.</v>
      </c>
      <c r="T55">
        <f t="shared" si="1"/>
        <v>0</v>
      </c>
      <c r="U55">
        <f t="shared" si="2"/>
        <v>0</v>
      </c>
      <c r="V55">
        <f t="shared" si="3"/>
        <v>0</v>
      </c>
      <c r="W55">
        <f t="shared" si="4"/>
        <v>1</v>
      </c>
      <c r="X55">
        <v>1</v>
      </c>
      <c r="Y55" s="2">
        <v>45768</v>
      </c>
      <c r="Z55" s="3" t="s">
        <v>118</v>
      </c>
      <c r="AA55" t="s">
        <v>39</v>
      </c>
      <c r="AB55" t="s">
        <v>40</v>
      </c>
      <c r="AC55" t="s">
        <v>40</v>
      </c>
      <c r="AD55" t="s">
        <v>41</v>
      </c>
    </row>
    <row r="56" spans="2:30">
      <c r="B56">
        <v>12</v>
      </c>
      <c r="C56">
        <v>1020</v>
      </c>
      <c r="D56" t="s">
        <v>29</v>
      </c>
      <c r="E56">
        <v>10043904</v>
      </c>
      <c r="F56" t="s">
        <v>119</v>
      </c>
      <c r="G56" t="s">
        <v>43</v>
      </c>
      <c r="H56" t="s">
        <v>44</v>
      </c>
      <c r="I56" t="s">
        <v>33</v>
      </c>
      <c r="J56" t="s">
        <v>34</v>
      </c>
      <c r="K56" t="s">
        <v>35</v>
      </c>
      <c r="L56" t="s">
        <v>36</v>
      </c>
      <c r="M56" t="s">
        <v>46</v>
      </c>
      <c r="N56">
        <v>35</v>
      </c>
      <c r="O56">
        <v>16</v>
      </c>
      <c r="P56">
        <v>5</v>
      </c>
      <c r="Q56">
        <v>1</v>
      </c>
      <c r="R56">
        <v>0</v>
      </c>
      <c r="S56" t="str">
        <f t="shared" si="0"/>
        <v>PY: Media Crit.</v>
      </c>
      <c r="T56">
        <f t="shared" si="1"/>
        <v>0</v>
      </c>
      <c r="U56">
        <f t="shared" si="2"/>
        <v>1</v>
      </c>
      <c r="V56">
        <f t="shared" si="3"/>
        <v>0</v>
      </c>
      <c r="W56">
        <f t="shared" si="4"/>
        <v>0</v>
      </c>
      <c r="X56">
        <v>1</v>
      </c>
      <c r="Y56" s="2">
        <v>45768</v>
      </c>
      <c r="Z56" s="3" t="s">
        <v>47</v>
      </c>
      <c r="AA56" t="s">
        <v>39</v>
      </c>
      <c r="AB56" t="s">
        <v>76</v>
      </c>
      <c r="AC56" s="5" t="s">
        <v>77</v>
      </c>
      <c r="AD56" t="s">
        <v>41</v>
      </c>
    </row>
    <row r="57" spans="2:30">
      <c r="B57">
        <v>12</v>
      </c>
      <c r="C57">
        <v>1020</v>
      </c>
      <c r="D57" t="s">
        <v>29</v>
      </c>
      <c r="E57">
        <v>10047098</v>
      </c>
      <c r="F57" t="s">
        <v>120</v>
      </c>
      <c r="G57" t="s">
        <v>43</v>
      </c>
      <c r="H57" t="s">
        <v>44</v>
      </c>
      <c r="I57" t="s">
        <v>33</v>
      </c>
      <c r="J57" t="s">
        <v>34</v>
      </c>
      <c r="K57" t="s">
        <v>35</v>
      </c>
      <c r="L57" t="s">
        <v>36</v>
      </c>
      <c r="M57" t="s">
        <v>46</v>
      </c>
      <c r="N57">
        <v>120</v>
      </c>
      <c r="O57">
        <v>71</v>
      </c>
      <c r="P57">
        <v>39</v>
      </c>
      <c r="Q57">
        <v>23</v>
      </c>
      <c r="R57" s="4">
        <v>2288.48</v>
      </c>
      <c r="S57" t="str">
        <f t="shared" si="0"/>
        <v>PY: Media Crit.</v>
      </c>
      <c r="T57">
        <f t="shared" si="1"/>
        <v>0</v>
      </c>
      <c r="U57">
        <f t="shared" si="2"/>
        <v>1</v>
      </c>
      <c r="V57">
        <f t="shared" si="3"/>
        <v>0</v>
      </c>
      <c r="W57">
        <f t="shared" si="4"/>
        <v>0</v>
      </c>
      <c r="X57">
        <v>1</v>
      </c>
      <c r="Y57" s="2">
        <v>45768</v>
      </c>
      <c r="Z57" s="3" t="s">
        <v>47</v>
      </c>
      <c r="AA57" t="s">
        <v>39</v>
      </c>
      <c r="AB57" t="s">
        <v>49</v>
      </c>
      <c r="AC57" s="5" t="s">
        <v>50</v>
      </c>
      <c r="AD57" t="s">
        <v>41</v>
      </c>
    </row>
    <row r="58" spans="2:30">
      <c r="B58">
        <v>12</v>
      </c>
      <c r="C58">
        <v>1020</v>
      </c>
      <c r="D58" t="s">
        <v>29</v>
      </c>
      <c r="E58">
        <v>10048379</v>
      </c>
      <c r="F58" t="s">
        <v>121</v>
      </c>
      <c r="G58" t="s">
        <v>43</v>
      </c>
      <c r="H58" t="s">
        <v>32</v>
      </c>
      <c r="I58" t="s">
        <v>33</v>
      </c>
      <c r="J58" t="s">
        <v>34</v>
      </c>
      <c r="K58" t="s">
        <v>35</v>
      </c>
      <c r="L58" t="s">
        <v>36</v>
      </c>
      <c r="M58" t="s">
        <v>46</v>
      </c>
      <c r="N58">
        <v>200</v>
      </c>
      <c r="O58">
        <v>101</v>
      </c>
      <c r="P58">
        <v>20</v>
      </c>
      <c r="Q58">
        <v>72</v>
      </c>
      <c r="R58" s="4">
        <v>2966.59</v>
      </c>
      <c r="S58" t="str">
        <f t="shared" si="0"/>
        <v>PY: Media Crit.</v>
      </c>
      <c r="T58">
        <f t="shared" si="1"/>
        <v>0</v>
      </c>
      <c r="U58">
        <f t="shared" si="2"/>
        <v>0</v>
      </c>
      <c r="V58">
        <f t="shared" si="3"/>
        <v>1</v>
      </c>
      <c r="W58">
        <f t="shared" si="4"/>
        <v>0</v>
      </c>
      <c r="X58">
        <v>1</v>
      </c>
      <c r="Y58" s="2">
        <v>45768</v>
      </c>
      <c r="Z58" s="3" t="s">
        <v>47</v>
      </c>
      <c r="AA58" t="s">
        <v>39</v>
      </c>
      <c r="AB58" t="s">
        <v>49</v>
      </c>
      <c r="AC58" s="5" t="s">
        <v>50</v>
      </c>
      <c r="AD58" t="s">
        <v>41</v>
      </c>
    </row>
    <row r="59" spans="2:30">
      <c r="B59">
        <v>12</v>
      </c>
      <c r="C59">
        <v>1020</v>
      </c>
      <c r="D59" t="s">
        <v>29</v>
      </c>
      <c r="E59">
        <v>14055246</v>
      </c>
      <c r="F59" t="s">
        <v>122</v>
      </c>
      <c r="G59" t="s">
        <v>52</v>
      </c>
      <c r="H59" t="s">
        <v>32</v>
      </c>
      <c r="I59" t="s">
        <v>33</v>
      </c>
      <c r="J59" t="s">
        <v>34</v>
      </c>
      <c r="K59" t="s">
        <v>35</v>
      </c>
      <c r="L59" t="s">
        <v>36</v>
      </c>
      <c r="M59" t="s">
        <v>37</v>
      </c>
      <c r="N59">
        <v>26</v>
      </c>
      <c r="O59">
        <v>15</v>
      </c>
      <c r="P59">
        <v>5</v>
      </c>
      <c r="Q59">
        <v>10</v>
      </c>
      <c r="R59">
        <v>461.45</v>
      </c>
      <c r="S59" t="str">
        <f t="shared" si="0"/>
        <v>PZ: Alta Crit.</v>
      </c>
      <c r="T59">
        <f t="shared" si="1"/>
        <v>0</v>
      </c>
      <c r="U59">
        <f t="shared" si="2"/>
        <v>0</v>
      </c>
      <c r="V59">
        <f t="shared" si="3"/>
        <v>1</v>
      </c>
      <c r="W59">
        <f t="shared" si="4"/>
        <v>0</v>
      </c>
      <c r="X59">
        <v>1</v>
      </c>
      <c r="Y59" s="2">
        <v>45768</v>
      </c>
      <c r="Z59" s="3" t="s">
        <v>38</v>
      </c>
      <c r="AA59" t="s">
        <v>39</v>
      </c>
      <c r="AB59" t="s">
        <v>76</v>
      </c>
      <c r="AC59" s="5" t="s">
        <v>77</v>
      </c>
      <c r="AD59" t="s">
        <v>41</v>
      </c>
    </row>
    <row r="60" spans="2:30">
      <c r="B60">
        <v>12</v>
      </c>
      <c r="C60">
        <v>1020</v>
      </c>
      <c r="D60" t="s">
        <v>29</v>
      </c>
      <c r="E60">
        <v>10043766</v>
      </c>
      <c r="F60" t="s">
        <v>123</v>
      </c>
      <c r="G60" t="s">
        <v>31</v>
      </c>
      <c r="H60" t="s">
        <v>32</v>
      </c>
      <c r="I60" t="s">
        <v>33</v>
      </c>
      <c r="J60" t="s">
        <v>34</v>
      </c>
      <c r="K60" t="s">
        <v>35</v>
      </c>
      <c r="L60" t="s">
        <v>36</v>
      </c>
      <c r="M60" t="s">
        <v>69</v>
      </c>
      <c r="N60">
        <v>100</v>
      </c>
      <c r="O60">
        <v>61</v>
      </c>
      <c r="P60">
        <v>24</v>
      </c>
      <c r="Q60">
        <v>73</v>
      </c>
      <c r="R60">
        <v>537.19000000000005</v>
      </c>
      <c r="S60" t="str">
        <f t="shared" si="0"/>
        <v>PX: Baja Crit.</v>
      </c>
      <c r="T60">
        <f t="shared" si="1"/>
        <v>0</v>
      </c>
      <c r="U60">
        <f t="shared" si="2"/>
        <v>0</v>
      </c>
      <c r="V60">
        <f t="shared" si="3"/>
        <v>1</v>
      </c>
      <c r="W60">
        <f t="shared" si="4"/>
        <v>0</v>
      </c>
      <c r="X60">
        <v>1</v>
      </c>
      <c r="Y60" s="2">
        <v>45768</v>
      </c>
      <c r="Z60" s="3" t="s">
        <v>70</v>
      </c>
      <c r="AA60" t="s">
        <v>39</v>
      </c>
      <c r="AB60" t="s">
        <v>40</v>
      </c>
      <c r="AC60" t="s">
        <v>40</v>
      </c>
      <c r="AD60" t="s">
        <v>41</v>
      </c>
    </row>
    <row r="61" spans="2:30">
      <c r="B61">
        <v>12</v>
      </c>
      <c r="C61">
        <v>1020</v>
      </c>
      <c r="D61" t="s">
        <v>29</v>
      </c>
      <c r="E61">
        <v>10045279</v>
      </c>
      <c r="F61" t="s">
        <v>124</v>
      </c>
      <c r="G61" t="s">
        <v>52</v>
      </c>
      <c r="H61" t="s">
        <v>44</v>
      </c>
      <c r="I61" t="s">
        <v>33</v>
      </c>
      <c r="J61" t="s">
        <v>34</v>
      </c>
      <c r="K61" t="s">
        <v>80</v>
      </c>
      <c r="L61" t="s">
        <v>36</v>
      </c>
      <c r="M61" t="s">
        <v>37</v>
      </c>
      <c r="N61">
        <v>935</v>
      </c>
      <c r="O61">
        <v>770</v>
      </c>
      <c r="P61">
        <v>660</v>
      </c>
      <c r="Q61">
        <v>385</v>
      </c>
      <c r="R61" s="4">
        <v>21922.78</v>
      </c>
      <c r="S61" t="str">
        <f t="shared" si="0"/>
        <v>PZ: Alta Crit.</v>
      </c>
      <c r="T61">
        <f t="shared" si="1"/>
        <v>0</v>
      </c>
      <c r="U61">
        <f t="shared" si="2"/>
        <v>1</v>
      </c>
      <c r="V61">
        <f t="shared" si="3"/>
        <v>0</v>
      </c>
      <c r="W61">
        <f t="shared" si="4"/>
        <v>0</v>
      </c>
      <c r="X61">
        <v>1</v>
      </c>
      <c r="Y61" s="2">
        <v>45768</v>
      </c>
      <c r="Z61" s="3" t="s">
        <v>38</v>
      </c>
      <c r="AA61" t="s">
        <v>39</v>
      </c>
      <c r="AB61" t="s">
        <v>49</v>
      </c>
      <c r="AC61" s="5" t="s">
        <v>50</v>
      </c>
      <c r="AD61" t="s">
        <v>41</v>
      </c>
    </row>
    <row r="62" spans="2:30">
      <c r="B62">
        <v>12</v>
      </c>
      <c r="C62">
        <v>1020</v>
      </c>
      <c r="D62" t="s">
        <v>29</v>
      </c>
      <c r="E62">
        <v>10056325</v>
      </c>
      <c r="F62" t="s">
        <v>125</v>
      </c>
      <c r="G62" t="s">
        <v>43</v>
      </c>
      <c r="H62" t="s">
        <v>60</v>
      </c>
      <c r="I62" t="s">
        <v>33</v>
      </c>
      <c r="J62" t="s">
        <v>34</v>
      </c>
      <c r="K62" t="s">
        <v>35</v>
      </c>
      <c r="L62" t="s">
        <v>36</v>
      </c>
      <c r="M62" t="s">
        <v>37</v>
      </c>
      <c r="N62">
        <v>50</v>
      </c>
      <c r="O62">
        <v>31</v>
      </c>
      <c r="P62">
        <v>10</v>
      </c>
      <c r="Q62">
        <v>59</v>
      </c>
      <c r="R62" s="4">
        <v>5669.56</v>
      </c>
      <c r="S62" t="str">
        <f t="shared" si="0"/>
        <v>PY: Media Crit.</v>
      </c>
      <c r="T62">
        <f t="shared" si="1"/>
        <v>0</v>
      </c>
      <c r="U62">
        <f t="shared" si="2"/>
        <v>0</v>
      </c>
      <c r="V62">
        <f t="shared" si="3"/>
        <v>0</v>
      </c>
      <c r="W62">
        <f t="shared" si="4"/>
        <v>1</v>
      </c>
      <c r="X62">
        <v>1</v>
      </c>
      <c r="Y62" s="2">
        <v>45768</v>
      </c>
      <c r="Z62" s="3" t="s">
        <v>38</v>
      </c>
      <c r="AA62" t="s">
        <v>39</v>
      </c>
      <c r="AB62" t="s">
        <v>40</v>
      </c>
      <c r="AC62" t="s">
        <v>40</v>
      </c>
      <c r="AD62" t="s">
        <v>41</v>
      </c>
    </row>
    <row r="63" spans="2:30">
      <c r="B63">
        <v>12</v>
      </c>
      <c r="C63">
        <v>1020</v>
      </c>
      <c r="D63" t="s">
        <v>29</v>
      </c>
      <c r="E63">
        <v>14280960</v>
      </c>
      <c r="F63" t="s">
        <v>126</v>
      </c>
      <c r="G63" t="s">
        <v>52</v>
      </c>
      <c r="H63" t="s">
        <v>44</v>
      </c>
      <c r="I63" t="s">
        <v>33</v>
      </c>
      <c r="J63" t="s">
        <v>45</v>
      </c>
      <c r="K63" t="s">
        <v>65</v>
      </c>
      <c r="L63" t="s">
        <v>36</v>
      </c>
      <c r="M63" t="s">
        <v>127</v>
      </c>
      <c r="N63" s="8">
        <v>1230</v>
      </c>
      <c r="O63" s="8">
        <v>1230</v>
      </c>
      <c r="P63">
        <v>0</v>
      </c>
      <c r="Q63" s="8">
        <v>1685</v>
      </c>
      <c r="R63" s="4">
        <v>66461.149999999994</v>
      </c>
      <c r="S63" t="str">
        <f t="shared" si="0"/>
        <v>PZ: Alta Crit.</v>
      </c>
      <c r="T63">
        <f t="shared" si="1"/>
        <v>0</v>
      </c>
      <c r="U63">
        <f t="shared" si="2"/>
        <v>0</v>
      </c>
      <c r="V63">
        <f t="shared" si="3"/>
        <v>0</v>
      </c>
      <c r="W63">
        <f t="shared" si="4"/>
        <v>1</v>
      </c>
      <c r="X63">
        <v>1</v>
      </c>
      <c r="Y63" s="2">
        <v>45768</v>
      </c>
      <c r="Z63" s="3" t="s">
        <v>128</v>
      </c>
      <c r="AA63" t="s">
        <v>39</v>
      </c>
      <c r="AB63" t="s">
        <v>76</v>
      </c>
      <c r="AC63" s="5" t="s">
        <v>77</v>
      </c>
      <c r="AD63" t="s">
        <v>41</v>
      </c>
    </row>
    <row r="64" spans="2:30">
      <c r="B64">
        <v>12</v>
      </c>
      <c r="C64">
        <v>1020</v>
      </c>
      <c r="D64" t="s">
        <v>29</v>
      </c>
      <c r="E64">
        <v>10040664</v>
      </c>
      <c r="F64" t="s">
        <v>129</v>
      </c>
      <c r="G64" t="s">
        <v>31</v>
      </c>
      <c r="H64" t="s">
        <v>32</v>
      </c>
      <c r="I64" t="s">
        <v>33</v>
      </c>
      <c r="J64" t="s">
        <v>34</v>
      </c>
      <c r="K64" t="s">
        <v>35</v>
      </c>
      <c r="L64" t="s">
        <v>36</v>
      </c>
      <c r="M64" t="s">
        <v>37</v>
      </c>
      <c r="N64">
        <v>20</v>
      </c>
      <c r="O64">
        <v>11</v>
      </c>
      <c r="P64">
        <v>3</v>
      </c>
      <c r="Q64">
        <v>14</v>
      </c>
      <c r="R64" s="4">
        <v>1036.92</v>
      </c>
      <c r="S64" t="str">
        <f t="shared" si="0"/>
        <v>PX: Baja Crit.</v>
      </c>
      <c r="T64">
        <f t="shared" si="1"/>
        <v>0</v>
      </c>
      <c r="U64">
        <f t="shared" si="2"/>
        <v>0</v>
      </c>
      <c r="V64">
        <f t="shared" si="3"/>
        <v>1</v>
      </c>
      <c r="W64">
        <f t="shared" si="4"/>
        <v>0</v>
      </c>
      <c r="X64">
        <v>1</v>
      </c>
      <c r="Y64" s="2">
        <v>45768</v>
      </c>
      <c r="Z64" s="3" t="s">
        <v>38</v>
      </c>
      <c r="AA64" t="s">
        <v>39</v>
      </c>
      <c r="AB64" t="s">
        <v>40</v>
      </c>
      <c r="AC64" t="s">
        <v>40</v>
      </c>
      <c r="AD64" t="s">
        <v>41</v>
      </c>
    </row>
    <row r="65" spans="2:30">
      <c r="B65">
        <v>12</v>
      </c>
      <c r="C65">
        <v>1020</v>
      </c>
      <c r="D65" t="s">
        <v>29</v>
      </c>
      <c r="E65">
        <v>10044076</v>
      </c>
      <c r="F65" t="s">
        <v>130</v>
      </c>
      <c r="G65" t="s">
        <v>31</v>
      </c>
      <c r="H65" t="s">
        <v>32</v>
      </c>
      <c r="I65" t="s">
        <v>33</v>
      </c>
      <c r="J65" t="s">
        <v>34</v>
      </c>
      <c r="K65" t="s">
        <v>35</v>
      </c>
      <c r="L65" t="s">
        <v>36</v>
      </c>
      <c r="M65" t="s">
        <v>46</v>
      </c>
      <c r="N65">
        <v>400</v>
      </c>
      <c r="O65">
        <v>201</v>
      </c>
      <c r="P65">
        <v>50</v>
      </c>
      <c r="Q65">
        <v>70</v>
      </c>
      <c r="R65">
        <v>136.97999999999999</v>
      </c>
      <c r="S65" t="str">
        <f t="shared" si="0"/>
        <v>PX: Baja Crit.</v>
      </c>
      <c r="T65">
        <f t="shared" si="1"/>
        <v>0</v>
      </c>
      <c r="U65">
        <f t="shared" si="2"/>
        <v>0</v>
      </c>
      <c r="V65">
        <f t="shared" si="3"/>
        <v>1</v>
      </c>
      <c r="W65">
        <f t="shared" si="4"/>
        <v>0</v>
      </c>
      <c r="X65">
        <v>1</v>
      </c>
      <c r="Y65" s="2">
        <v>45768</v>
      </c>
      <c r="Z65" s="3" t="s">
        <v>47</v>
      </c>
      <c r="AA65" t="s">
        <v>39</v>
      </c>
      <c r="AB65" t="s">
        <v>76</v>
      </c>
      <c r="AC65" s="5" t="s">
        <v>77</v>
      </c>
      <c r="AD65" t="s">
        <v>41</v>
      </c>
    </row>
    <row r="66" spans="2:30">
      <c r="B66">
        <v>12</v>
      </c>
      <c r="C66">
        <v>1020</v>
      </c>
      <c r="D66" t="s">
        <v>29</v>
      </c>
      <c r="E66">
        <v>10643071</v>
      </c>
      <c r="F66" t="s">
        <v>131</v>
      </c>
      <c r="G66" t="s">
        <v>43</v>
      </c>
      <c r="H66" t="s">
        <v>60</v>
      </c>
      <c r="I66" t="s">
        <v>33</v>
      </c>
      <c r="J66" t="s">
        <v>45</v>
      </c>
      <c r="K66" t="s">
        <v>35</v>
      </c>
      <c r="L66" t="s">
        <v>36</v>
      </c>
      <c r="M66" t="s">
        <v>117</v>
      </c>
      <c r="N66">
        <v>60</v>
      </c>
      <c r="O66">
        <v>40</v>
      </c>
      <c r="P66">
        <v>30</v>
      </c>
      <c r="Q66">
        <v>102</v>
      </c>
      <c r="R66" s="4">
        <v>211163.38</v>
      </c>
      <c r="S66" t="str">
        <f t="shared" ref="S66:S129" si="5">+IF(G66="PZ", "PZ: Alta Crit.",IF(G66="PY","PY: Media Crit.", "PX: Baja Crit."))</f>
        <v>PY: Media Crit.</v>
      </c>
      <c r="T66">
        <f t="shared" ref="T66:T129" si="6">+IF(Q66=0,1,0)</f>
        <v>0</v>
      </c>
      <c r="U66">
        <f t="shared" ref="U66:U129" si="7">+IF(AND(Q66&lt;=P66,Q66&gt;0),1,0)</f>
        <v>0</v>
      </c>
      <c r="V66">
        <f t="shared" ref="V66:V129" si="8">+IF(AND(Q66&gt;P66,Q66&lt;=N66),1,0)</f>
        <v>0</v>
      </c>
      <c r="W66">
        <f t="shared" ref="W66:W129" si="9">+IF(Q66&gt;N66,1,0)</f>
        <v>1</v>
      </c>
      <c r="X66">
        <v>1</v>
      </c>
      <c r="Y66" s="2">
        <v>45768</v>
      </c>
      <c r="Z66" s="3" t="s">
        <v>118</v>
      </c>
      <c r="AA66" t="s">
        <v>39</v>
      </c>
      <c r="AB66" t="s">
        <v>40</v>
      </c>
      <c r="AC66" t="s">
        <v>40</v>
      </c>
      <c r="AD66" t="s">
        <v>41</v>
      </c>
    </row>
    <row r="67" spans="2:30">
      <c r="B67">
        <v>12</v>
      </c>
      <c r="C67">
        <v>1020</v>
      </c>
      <c r="D67" t="s">
        <v>29</v>
      </c>
      <c r="E67">
        <v>10009077</v>
      </c>
      <c r="F67" t="s">
        <v>132</v>
      </c>
      <c r="G67" t="s">
        <v>31</v>
      </c>
      <c r="H67" t="s">
        <v>32</v>
      </c>
      <c r="I67" t="s">
        <v>33</v>
      </c>
      <c r="J67" t="s">
        <v>34</v>
      </c>
      <c r="K67" t="s">
        <v>53</v>
      </c>
      <c r="L67" t="s">
        <v>36</v>
      </c>
      <c r="M67" t="s">
        <v>46</v>
      </c>
      <c r="N67">
        <v>24</v>
      </c>
      <c r="O67">
        <v>12</v>
      </c>
      <c r="P67">
        <v>5</v>
      </c>
      <c r="Q67">
        <v>20</v>
      </c>
      <c r="R67">
        <v>322</v>
      </c>
      <c r="S67" t="str">
        <f t="shared" si="5"/>
        <v>PX: Baja Crit.</v>
      </c>
      <c r="T67">
        <f t="shared" si="6"/>
        <v>0</v>
      </c>
      <c r="U67">
        <f t="shared" si="7"/>
        <v>0</v>
      </c>
      <c r="V67">
        <f t="shared" si="8"/>
        <v>1</v>
      </c>
      <c r="W67">
        <f t="shared" si="9"/>
        <v>0</v>
      </c>
      <c r="X67">
        <v>1</v>
      </c>
      <c r="Y67" s="2">
        <v>45768</v>
      </c>
      <c r="Z67" s="3" t="s">
        <v>47</v>
      </c>
      <c r="AA67" t="s">
        <v>39</v>
      </c>
      <c r="AB67" t="s">
        <v>40</v>
      </c>
      <c r="AC67" t="s">
        <v>40</v>
      </c>
      <c r="AD67" t="s">
        <v>41</v>
      </c>
    </row>
    <row r="68" spans="2:30">
      <c r="B68">
        <v>12</v>
      </c>
      <c r="C68">
        <v>1020</v>
      </c>
      <c r="D68" t="s">
        <v>29</v>
      </c>
      <c r="E68">
        <v>10046796</v>
      </c>
      <c r="F68" t="s">
        <v>133</v>
      </c>
      <c r="G68" t="s">
        <v>43</v>
      </c>
      <c r="H68" t="s">
        <v>60</v>
      </c>
      <c r="I68" t="s">
        <v>33</v>
      </c>
      <c r="J68" t="s">
        <v>34</v>
      </c>
      <c r="K68" t="s">
        <v>62</v>
      </c>
      <c r="L68" t="s">
        <v>36</v>
      </c>
      <c r="M68" t="s">
        <v>46</v>
      </c>
      <c r="N68">
        <v>200</v>
      </c>
      <c r="O68">
        <v>70</v>
      </c>
      <c r="P68">
        <v>32</v>
      </c>
      <c r="Q68">
        <v>114</v>
      </c>
      <c r="R68" s="4">
        <v>3363</v>
      </c>
      <c r="S68" t="str">
        <f t="shared" si="5"/>
        <v>PY: Media Crit.</v>
      </c>
      <c r="T68">
        <f t="shared" si="6"/>
        <v>0</v>
      </c>
      <c r="U68">
        <f t="shared" si="7"/>
        <v>0</v>
      </c>
      <c r="V68">
        <f t="shared" si="8"/>
        <v>1</v>
      </c>
      <c r="W68">
        <f t="shared" si="9"/>
        <v>0</v>
      </c>
      <c r="X68">
        <v>1</v>
      </c>
      <c r="Y68" s="2">
        <v>45768</v>
      </c>
      <c r="Z68" s="3" t="s">
        <v>47</v>
      </c>
      <c r="AA68" t="s">
        <v>39</v>
      </c>
      <c r="AB68" t="s">
        <v>76</v>
      </c>
      <c r="AC68" s="5" t="s">
        <v>77</v>
      </c>
      <c r="AD68" t="s">
        <v>41</v>
      </c>
    </row>
    <row r="69" spans="2:30">
      <c r="B69">
        <v>12</v>
      </c>
      <c r="C69">
        <v>1020</v>
      </c>
      <c r="D69" t="s">
        <v>29</v>
      </c>
      <c r="E69">
        <v>10050531</v>
      </c>
      <c r="F69" t="s">
        <v>134</v>
      </c>
      <c r="G69" t="s">
        <v>43</v>
      </c>
      <c r="H69" t="s">
        <v>60</v>
      </c>
      <c r="I69" t="s">
        <v>33</v>
      </c>
      <c r="J69" t="s">
        <v>34</v>
      </c>
      <c r="K69" t="s">
        <v>35</v>
      </c>
      <c r="L69" t="s">
        <v>36</v>
      </c>
      <c r="M69" t="s">
        <v>55</v>
      </c>
      <c r="N69">
        <v>150</v>
      </c>
      <c r="O69">
        <v>63</v>
      </c>
      <c r="P69">
        <v>33</v>
      </c>
      <c r="Q69">
        <v>82</v>
      </c>
      <c r="R69" s="4">
        <v>1249.8599999999999</v>
      </c>
      <c r="S69" t="str">
        <f t="shared" si="5"/>
        <v>PY: Media Crit.</v>
      </c>
      <c r="T69">
        <f t="shared" si="6"/>
        <v>0</v>
      </c>
      <c r="U69">
        <f t="shared" si="7"/>
        <v>0</v>
      </c>
      <c r="V69">
        <f t="shared" si="8"/>
        <v>1</v>
      </c>
      <c r="W69">
        <f t="shared" si="9"/>
        <v>0</v>
      </c>
      <c r="X69">
        <v>1</v>
      </c>
      <c r="Y69" s="2">
        <v>45768</v>
      </c>
      <c r="Z69" s="3" t="s">
        <v>56</v>
      </c>
      <c r="AA69" t="s">
        <v>39</v>
      </c>
      <c r="AB69" t="s">
        <v>40</v>
      </c>
      <c r="AC69" t="s">
        <v>40</v>
      </c>
      <c r="AD69" t="s">
        <v>41</v>
      </c>
    </row>
    <row r="70" spans="2:30">
      <c r="B70">
        <v>12</v>
      </c>
      <c r="C70">
        <v>1020</v>
      </c>
      <c r="D70" t="s">
        <v>29</v>
      </c>
      <c r="E70">
        <v>10056486</v>
      </c>
      <c r="F70" t="s">
        <v>135</v>
      </c>
      <c r="G70" t="s">
        <v>31</v>
      </c>
      <c r="H70" t="s">
        <v>32</v>
      </c>
      <c r="I70" t="s">
        <v>33</v>
      </c>
      <c r="J70" t="s">
        <v>34</v>
      </c>
      <c r="K70" t="s">
        <v>35</v>
      </c>
      <c r="L70" t="s">
        <v>36</v>
      </c>
      <c r="M70" t="s">
        <v>37</v>
      </c>
      <c r="N70">
        <v>20</v>
      </c>
      <c r="O70">
        <v>12</v>
      </c>
      <c r="P70">
        <v>4</v>
      </c>
      <c r="Q70">
        <v>30</v>
      </c>
      <c r="R70" s="4">
        <v>1258.5</v>
      </c>
      <c r="S70" t="str">
        <f t="shared" si="5"/>
        <v>PX: Baja Crit.</v>
      </c>
      <c r="T70">
        <f t="shared" si="6"/>
        <v>0</v>
      </c>
      <c r="U70">
        <f t="shared" si="7"/>
        <v>0</v>
      </c>
      <c r="V70">
        <f t="shared" si="8"/>
        <v>0</v>
      </c>
      <c r="W70">
        <f t="shared" si="9"/>
        <v>1</v>
      </c>
      <c r="X70">
        <v>1</v>
      </c>
      <c r="Y70" s="2">
        <v>45768</v>
      </c>
      <c r="Z70" s="3" t="s">
        <v>38</v>
      </c>
      <c r="AA70" t="s">
        <v>39</v>
      </c>
      <c r="AB70" t="s">
        <v>40</v>
      </c>
      <c r="AC70" t="s">
        <v>40</v>
      </c>
      <c r="AD70" t="s">
        <v>41</v>
      </c>
    </row>
    <row r="71" spans="2:30">
      <c r="B71">
        <v>12</v>
      </c>
      <c r="C71">
        <v>1020</v>
      </c>
      <c r="D71" t="s">
        <v>29</v>
      </c>
      <c r="E71">
        <v>10151021</v>
      </c>
      <c r="F71" t="s">
        <v>136</v>
      </c>
      <c r="G71" t="s">
        <v>43</v>
      </c>
      <c r="H71" t="s">
        <v>32</v>
      </c>
      <c r="I71" t="s">
        <v>33</v>
      </c>
      <c r="J71" t="s">
        <v>34</v>
      </c>
      <c r="K71" t="s">
        <v>62</v>
      </c>
      <c r="L71" t="s">
        <v>36</v>
      </c>
      <c r="M71" t="s">
        <v>46</v>
      </c>
      <c r="N71">
        <v>200</v>
      </c>
      <c r="O71">
        <v>101</v>
      </c>
      <c r="P71">
        <v>44</v>
      </c>
      <c r="Q71">
        <v>154</v>
      </c>
      <c r="R71" s="4">
        <v>2192.12</v>
      </c>
      <c r="S71" t="str">
        <f t="shared" si="5"/>
        <v>PY: Media Crit.</v>
      </c>
      <c r="T71">
        <f t="shared" si="6"/>
        <v>0</v>
      </c>
      <c r="U71">
        <f t="shared" si="7"/>
        <v>0</v>
      </c>
      <c r="V71">
        <f t="shared" si="8"/>
        <v>1</v>
      </c>
      <c r="W71">
        <f t="shared" si="9"/>
        <v>0</v>
      </c>
      <c r="X71">
        <v>1</v>
      </c>
      <c r="Y71" s="2">
        <v>45768</v>
      </c>
      <c r="Z71" s="3" t="s">
        <v>47</v>
      </c>
      <c r="AA71" t="s">
        <v>39</v>
      </c>
      <c r="AB71" t="s">
        <v>76</v>
      </c>
      <c r="AC71" s="5" t="s">
        <v>77</v>
      </c>
      <c r="AD71" t="s">
        <v>41</v>
      </c>
    </row>
    <row r="72" spans="2:30">
      <c r="B72">
        <v>12</v>
      </c>
      <c r="C72">
        <v>1020</v>
      </c>
      <c r="D72" t="s">
        <v>29</v>
      </c>
      <c r="E72">
        <v>10638349</v>
      </c>
      <c r="F72" t="s">
        <v>137</v>
      </c>
      <c r="G72" t="s">
        <v>43</v>
      </c>
      <c r="H72" t="s">
        <v>32</v>
      </c>
      <c r="I72" t="s">
        <v>33</v>
      </c>
      <c r="J72" t="s">
        <v>45</v>
      </c>
      <c r="K72" t="s">
        <v>62</v>
      </c>
      <c r="L72" t="s">
        <v>36</v>
      </c>
      <c r="M72" t="s">
        <v>46</v>
      </c>
      <c r="N72">
        <v>120</v>
      </c>
      <c r="O72">
        <v>81</v>
      </c>
      <c r="P72">
        <v>20</v>
      </c>
      <c r="Q72">
        <v>102</v>
      </c>
      <c r="R72" s="4">
        <v>1047.04</v>
      </c>
      <c r="S72" t="str">
        <f t="shared" si="5"/>
        <v>PY: Media Crit.</v>
      </c>
      <c r="T72">
        <f t="shared" si="6"/>
        <v>0</v>
      </c>
      <c r="U72">
        <f t="shared" si="7"/>
        <v>0</v>
      </c>
      <c r="V72">
        <f t="shared" si="8"/>
        <v>1</v>
      </c>
      <c r="W72">
        <f t="shared" si="9"/>
        <v>0</v>
      </c>
      <c r="X72">
        <v>1</v>
      </c>
      <c r="Y72" s="2">
        <v>45768</v>
      </c>
      <c r="Z72" s="3" t="s">
        <v>47</v>
      </c>
      <c r="AA72" t="s">
        <v>39</v>
      </c>
      <c r="AB72" t="s">
        <v>40</v>
      </c>
      <c r="AC72" t="s">
        <v>40</v>
      </c>
      <c r="AD72" t="s">
        <v>41</v>
      </c>
    </row>
    <row r="73" spans="2:30">
      <c r="B73">
        <v>12</v>
      </c>
      <c r="C73">
        <v>1020</v>
      </c>
      <c r="D73" t="s">
        <v>29</v>
      </c>
      <c r="E73">
        <v>14111298</v>
      </c>
      <c r="F73" t="s">
        <v>138</v>
      </c>
      <c r="G73" t="s">
        <v>52</v>
      </c>
      <c r="H73" t="s">
        <v>32</v>
      </c>
      <c r="I73" t="s">
        <v>33</v>
      </c>
      <c r="J73" t="s">
        <v>34</v>
      </c>
      <c r="K73" t="s">
        <v>62</v>
      </c>
      <c r="L73" t="s">
        <v>36</v>
      </c>
      <c r="M73" t="s">
        <v>46</v>
      </c>
      <c r="N73">
        <v>180</v>
      </c>
      <c r="O73">
        <v>101</v>
      </c>
      <c r="P73">
        <v>40</v>
      </c>
      <c r="Q73">
        <v>150</v>
      </c>
      <c r="R73" s="4">
        <v>4200</v>
      </c>
      <c r="S73" t="str">
        <f t="shared" si="5"/>
        <v>PZ: Alta Crit.</v>
      </c>
      <c r="T73">
        <f t="shared" si="6"/>
        <v>0</v>
      </c>
      <c r="U73">
        <f t="shared" si="7"/>
        <v>0</v>
      </c>
      <c r="V73">
        <f t="shared" si="8"/>
        <v>1</v>
      </c>
      <c r="W73">
        <f t="shared" si="9"/>
        <v>0</v>
      </c>
      <c r="X73">
        <v>1</v>
      </c>
      <c r="Y73" s="2">
        <v>45768</v>
      </c>
      <c r="Z73" s="3" t="s">
        <v>47</v>
      </c>
      <c r="AA73" t="s">
        <v>39</v>
      </c>
      <c r="AB73" t="s">
        <v>40</v>
      </c>
      <c r="AC73" t="s">
        <v>40</v>
      </c>
      <c r="AD73" t="s">
        <v>41</v>
      </c>
    </row>
    <row r="74" spans="2:30">
      <c r="B74">
        <v>12</v>
      </c>
      <c r="C74">
        <v>1020</v>
      </c>
      <c r="D74" t="s">
        <v>29</v>
      </c>
      <c r="E74">
        <v>14168950</v>
      </c>
      <c r="F74" t="s">
        <v>139</v>
      </c>
      <c r="G74" t="s">
        <v>31</v>
      </c>
      <c r="H74" t="s">
        <v>44</v>
      </c>
      <c r="I74" t="s">
        <v>33</v>
      </c>
      <c r="J74" t="s">
        <v>45</v>
      </c>
      <c r="K74" t="s">
        <v>35</v>
      </c>
      <c r="L74" t="s">
        <v>36</v>
      </c>
      <c r="M74" t="s">
        <v>37</v>
      </c>
      <c r="N74" s="8">
        <v>1000</v>
      </c>
      <c r="O74">
        <v>500</v>
      </c>
      <c r="P74">
        <v>200</v>
      </c>
      <c r="Q74">
        <v>0</v>
      </c>
      <c r="R74">
        <v>0</v>
      </c>
      <c r="S74" t="str">
        <f t="shared" si="5"/>
        <v>PX: Baja Crit.</v>
      </c>
      <c r="T74">
        <f t="shared" si="6"/>
        <v>1</v>
      </c>
      <c r="U74">
        <f t="shared" si="7"/>
        <v>0</v>
      </c>
      <c r="V74">
        <f t="shared" si="8"/>
        <v>0</v>
      </c>
      <c r="W74">
        <f t="shared" si="9"/>
        <v>0</v>
      </c>
      <c r="X74">
        <v>1</v>
      </c>
      <c r="Y74" s="2">
        <v>45768</v>
      </c>
      <c r="Z74" s="3" t="s">
        <v>38</v>
      </c>
      <c r="AA74" t="s">
        <v>39</v>
      </c>
      <c r="AB74" t="s">
        <v>49</v>
      </c>
      <c r="AC74" s="5" t="s">
        <v>50</v>
      </c>
      <c r="AD74" t="s">
        <v>41</v>
      </c>
    </row>
    <row r="75" spans="2:30">
      <c r="B75">
        <v>12</v>
      </c>
      <c r="C75">
        <v>1020</v>
      </c>
      <c r="D75" t="s">
        <v>29</v>
      </c>
      <c r="E75">
        <v>14243626</v>
      </c>
      <c r="F75" t="s">
        <v>140</v>
      </c>
      <c r="G75" t="s">
        <v>43</v>
      </c>
      <c r="H75" t="s">
        <v>44</v>
      </c>
      <c r="I75" t="s">
        <v>33</v>
      </c>
      <c r="J75" t="s">
        <v>45</v>
      </c>
      <c r="K75" t="s">
        <v>35</v>
      </c>
      <c r="L75" t="s">
        <v>36</v>
      </c>
      <c r="M75" t="s">
        <v>37</v>
      </c>
      <c r="N75">
        <v>6</v>
      </c>
      <c r="O75">
        <v>4</v>
      </c>
      <c r="P75">
        <v>0</v>
      </c>
      <c r="Q75">
        <v>6</v>
      </c>
      <c r="R75" s="4">
        <v>10623.05</v>
      </c>
      <c r="S75" t="str">
        <f t="shared" si="5"/>
        <v>PY: Media Crit.</v>
      </c>
      <c r="T75">
        <f t="shared" si="6"/>
        <v>0</v>
      </c>
      <c r="U75">
        <f t="shared" si="7"/>
        <v>0</v>
      </c>
      <c r="V75">
        <f t="shared" si="8"/>
        <v>1</v>
      </c>
      <c r="W75">
        <f t="shared" si="9"/>
        <v>0</v>
      </c>
      <c r="X75">
        <v>1</v>
      </c>
      <c r="Y75" s="2">
        <v>45768</v>
      </c>
      <c r="Z75" s="3" t="s">
        <v>38</v>
      </c>
      <c r="AA75" t="s">
        <v>39</v>
      </c>
      <c r="AB75" t="s">
        <v>40</v>
      </c>
      <c r="AC75" t="s">
        <v>40</v>
      </c>
      <c r="AD75" t="s">
        <v>41</v>
      </c>
    </row>
    <row r="76" spans="2:30">
      <c r="B76">
        <v>12</v>
      </c>
      <c r="C76">
        <v>1020</v>
      </c>
      <c r="D76" t="s">
        <v>29</v>
      </c>
      <c r="E76">
        <v>10056934</v>
      </c>
      <c r="F76" t="s">
        <v>141</v>
      </c>
      <c r="G76" t="s">
        <v>31</v>
      </c>
      <c r="H76" t="s">
        <v>32</v>
      </c>
      <c r="I76" t="s">
        <v>33</v>
      </c>
      <c r="J76" t="s">
        <v>34</v>
      </c>
      <c r="K76" t="s">
        <v>35</v>
      </c>
      <c r="L76" t="s">
        <v>36</v>
      </c>
      <c r="M76" t="s">
        <v>37</v>
      </c>
      <c r="N76">
        <v>50</v>
      </c>
      <c r="O76">
        <v>21</v>
      </c>
      <c r="P76">
        <v>6</v>
      </c>
      <c r="Q76">
        <v>36</v>
      </c>
      <c r="R76">
        <v>701.63</v>
      </c>
      <c r="S76" t="str">
        <f t="shared" si="5"/>
        <v>PX: Baja Crit.</v>
      </c>
      <c r="T76">
        <f t="shared" si="6"/>
        <v>0</v>
      </c>
      <c r="U76">
        <f t="shared" si="7"/>
        <v>0</v>
      </c>
      <c r="V76">
        <f t="shared" si="8"/>
        <v>1</v>
      </c>
      <c r="W76">
        <f t="shared" si="9"/>
        <v>0</v>
      </c>
      <c r="X76">
        <v>1</v>
      </c>
      <c r="Y76" s="2">
        <v>45768</v>
      </c>
      <c r="Z76" s="3" t="s">
        <v>38</v>
      </c>
      <c r="AA76" t="s">
        <v>39</v>
      </c>
      <c r="AB76" t="s">
        <v>40</v>
      </c>
      <c r="AC76" t="s">
        <v>40</v>
      </c>
      <c r="AD76" t="s">
        <v>41</v>
      </c>
    </row>
    <row r="77" spans="2:30">
      <c r="B77">
        <v>12</v>
      </c>
      <c r="C77">
        <v>1020</v>
      </c>
      <c r="D77" t="s">
        <v>29</v>
      </c>
      <c r="E77">
        <v>10016103</v>
      </c>
      <c r="F77" t="s">
        <v>142</v>
      </c>
      <c r="G77" t="s">
        <v>43</v>
      </c>
      <c r="H77" t="s">
        <v>32</v>
      </c>
      <c r="I77" t="s">
        <v>33</v>
      </c>
      <c r="J77" t="s">
        <v>34</v>
      </c>
      <c r="K77" t="s">
        <v>65</v>
      </c>
      <c r="L77" t="s">
        <v>36</v>
      </c>
      <c r="M77" t="s">
        <v>37</v>
      </c>
      <c r="N77">
        <v>225</v>
      </c>
      <c r="O77">
        <v>151</v>
      </c>
      <c r="P77">
        <v>50</v>
      </c>
      <c r="Q77">
        <v>125</v>
      </c>
      <c r="R77" s="4">
        <v>1522.73</v>
      </c>
      <c r="S77" t="str">
        <f t="shared" si="5"/>
        <v>PY: Media Crit.</v>
      </c>
      <c r="T77">
        <f t="shared" si="6"/>
        <v>0</v>
      </c>
      <c r="U77">
        <f t="shared" si="7"/>
        <v>0</v>
      </c>
      <c r="V77">
        <f t="shared" si="8"/>
        <v>1</v>
      </c>
      <c r="W77">
        <f t="shared" si="9"/>
        <v>0</v>
      </c>
      <c r="X77">
        <v>1</v>
      </c>
      <c r="Y77" s="2">
        <v>45768</v>
      </c>
      <c r="Z77" s="3" t="s">
        <v>38</v>
      </c>
      <c r="AA77" t="s">
        <v>39</v>
      </c>
      <c r="AB77" t="s">
        <v>40</v>
      </c>
      <c r="AC77" t="s">
        <v>40</v>
      </c>
      <c r="AD77" t="s">
        <v>41</v>
      </c>
    </row>
    <row r="78" spans="2:30">
      <c r="B78">
        <v>12</v>
      </c>
      <c r="C78">
        <v>1020</v>
      </c>
      <c r="D78" t="s">
        <v>29</v>
      </c>
      <c r="E78">
        <v>10056676</v>
      </c>
      <c r="F78" t="s">
        <v>143</v>
      </c>
      <c r="G78" t="s">
        <v>52</v>
      </c>
      <c r="H78" t="s">
        <v>60</v>
      </c>
      <c r="I78" t="s">
        <v>33</v>
      </c>
      <c r="J78" t="s">
        <v>34</v>
      </c>
      <c r="K78" t="s">
        <v>35</v>
      </c>
      <c r="L78" t="s">
        <v>36</v>
      </c>
      <c r="M78" t="s">
        <v>88</v>
      </c>
      <c r="N78">
        <v>60</v>
      </c>
      <c r="O78">
        <v>31</v>
      </c>
      <c r="P78">
        <v>15</v>
      </c>
      <c r="Q78">
        <v>72</v>
      </c>
      <c r="R78" s="4">
        <v>10085.030000000001</v>
      </c>
      <c r="S78" t="str">
        <f t="shared" si="5"/>
        <v>PZ: Alta Crit.</v>
      </c>
      <c r="T78">
        <f t="shared" si="6"/>
        <v>0</v>
      </c>
      <c r="U78">
        <f t="shared" si="7"/>
        <v>0</v>
      </c>
      <c r="V78">
        <f t="shared" si="8"/>
        <v>0</v>
      </c>
      <c r="W78">
        <f t="shared" si="9"/>
        <v>1</v>
      </c>
      <c r="X78">
        <v>1</v>
      </c>
      <c r="Y78" s="2">
        <v>45768</v>
      </c>
      <c r="Z78" s="3" t="s">
        <v>89</v>
      </c>
      <c r="AA78" t="s">
        <v>39</v>
      </c>
      <c r="AB78" t="s">
        <v>40</v>
      </c>
      <c r="AC78" t="s">
        <v>40</v>
      </c>
      <c r="AD78" t="s">
        <v>41</v>
      </c>
    </row>
    <row r="79" spans="2:30">
      <c r="B79">
        <v>12</v>
      </c>
      <c r="C79">
        <v>1020</v>
      </c>
      <c r="D79" t="s">
        <v>29</v>
      </c>
      <c r="E79">
        <v>10051790</v>
      </c>
      <c r="F79" t="s">
        <v>144</v>
      </c>
      <c r="G79" t="s">
        <v>31</v>
      </c>
      <c r="H79" t="s">
        <v>60</v>
      </c>
      <c r="I79" t="s">
        <v>33</v>
      </c>
      <c r="J79" t="s">
        <v>45</v>
      </c>
      <c r="K79" t="s">
        <v>35</v>
      </c>
      <c r="L79" t="s">
        <v>36</v>
      </c>
      <c r="M79" t="s">
        <v>46</v>
      </c>
      <c r="N79">
        <v>180</v>
      </c>
      <c r="O79">
        <v>101</v>
      </c>
      <c r="P79">
        <v>20</v>
      </c>
      <c r="Q79">
        <v>144</v>
      </c>
      <c r="R79" s="4">
        <v>1462.3</v>
      </c>
      <c r="S79" t="str">
        <f t="shared" si="5"/>
        <v>PX: Baja Crit.</v>
      </c>
      <c r="T79">
        <f t="shared" si="6"/>
        <v>0</v>
      </c>
      <c r="U79">
        <f t="shared" si="7"/>
        <v>0</v>
      </c>
      <c r="V79">
        <f t="shared" si="8"/>
        <v>1</v>
      </c>
      <c r="W79">
        <f t="shared" si="9"/>
        <v>0</v>
      </c>
      <c r="X79">
        <v>1</v>
      </c>
      <c r="Y79" s="2">
        <v>45768</v>
      </c>
      <c r="Z79" s="3" t="s">
        <v>47</v>
      </c>
      <c r="AA79" t="s">
        <v>39</v>
      </c>
      <c r="AB79" t="s">
        <v>49</v>
      </c>
      <c r="AC79" s="5" t="s">
        <v>50</v>
      </c>
      <c r="AD79" t="s">
        <v>41</v>
      </c>
    </row>
    <row r="80" spans="2:30">
      <c r="B80">
        <v>12</v>
      </c>
      <c r="C80">
        <v>1020</v>
      </c>
      <c r="D80" t="s">
        <v>29</v>
      </c>
      <c r="E80">
        <v>10056705</v>
      </c>
      <c r="F80" t="s">
        <v>145</v>
      </c>
      <c r="G80" t="s">
        <v>52</v>
      </c>
      <c r="H80" t="s">
        <v>44</v>
      </c>
      <c r="I80" t="s">
        <v>33</v>
      </c>
      <c r="J80" t="s">
        <v>45</v>
      </c>
      <c r="K80" t="s">
        <v>35</v>
      </c>
      <c r="L80" t="s">
        <v>36</v>
      </c>
      <c r="M80" t="s">
        <v>46</v>
      </c>
      <c r="N80" s="8">
        <v>20000</v>
      </c>
      <c r="O80" s="8">
        <v>11000</v>
      </c>
      <c r="P80" s="8">
        <v>10000</v>
      </c>
      <c r="Q80" s="8">
        <v>20000</v>
      </c>
      <c r="R80" s="4">
        <v>5917.87</v>
      </c>
      <c r="S80" t="str">
        <f t="shared" si="5"/>
        <v>PZ: Alta Crit.</v>
      </c>
      <c r="T80">
        <f t="shared" si="6"/>
        <v>0</v>
      </c>
      <c r="U80">
        <f t="shared" si="7"/>
        <v>0</v>
      </c>
      <c r="V80">
        <f t="shared" si="8"/>
        <v>1</v>
      </c>
      <c r="W80">
        <f t="shared" si="9"/>
        <v>0</v>
      </c>
      <c r="X80">
        <v>1</v>
      </c>
      <c r="Y80" s="2">
        <v>45768</v>
      </c>
      <c r="Z80" s="3" t="s">
        <v>47</v>
      </c>
      <c r="AA80" t="s">
        <v>39</v>
      </c>
      <c r="AB80" t="s">
        <v>40</v>
      </c>
      <c r="AC80" t="s">
        <v>40</v>
      </c>
      <c r="AD80" t="s">
        <v>41</v>
      </c>
    </row>
    <row r="81" spans="2:30">
      <c r="B81">
        <v>12</v>
      </c>
      <c r="C81">
        <v>1020</v>
      </c>
      <c r="D81" t="s">
        <v>29</v>
      </c>
      <c r="E81">
        <v>10053001</v>
      </c>
      <c r="F81" t="s">
        <v>146</v>
      </c>
      <c r="G81" t="s">
        <v>52</v>
      </c>
      <c r="H81" t="s">
        <v>60</v>
      </c>
      <c r="I81" t="s">
        <v>33</v>
      </c>
      <c r="J81" t="s">
        <v>34</v>
      </c>
      <c r="K81" t="s">
        <v>35</v>
      </c>
      <c r="L81" t="s">
        <v>36</v>
      </c>
      <c r="M81" t="s">
        <v>69</v>
      </c>
      <c r="N81">
        <v>20</v>
      </c>
      <c r="O81">
        <v>13</v>
      </c>
      <c r="P81">
        <v>5</v>
      </c>
      <c r="Q81">
        <v>25</v>
      </c>
      <c r="R81" s="4">
        <v>2371.65</v>
      </c>
      <c r="S81" t="str">
        <f t="shared" si="5"/>
        <v>PZ: Alta Crit.</v>
      </c>
      <c r="T81">
        <f t="shared" si="6"/>
        <v>0</v>
      </c>
      <c r="U81">
        <f t="shared" si="7"/>
        <v>0</v>
      </c>
      <c r="V81">
        <f t="shared" si="8"/>
        <v>0</v>
      </c>
      <c r="W81">
        <f t="shared" si="9"/>
        <v>1</v>
      </c>
      <c r="X81">
        <v>1</v>
      </c>
      <c r="Y81" s="2">
        <v>45768</v>
      </c>
      <c r="Z81" s="3" t="s">
        <v>70</v>
      </c>
      <c r="AA81" t="s">
        <v>39</v>
      </c>
      <c r="AB81" t="s">
        <v>40</v>
      </c>
      <c r="AC81" t="s">
        <v>40</v>
      </c>
      <c r="AD81" t="s">
        <v>41</v>
      </c>
    </row>
    <row r="82" spans="2:30">
      <c r="B82">
        <v>12</v>
      </c>
      <c r="C82">
        <v>1020</v>
      </c>
      <c r="D82" t="s">
        <v>29</v>
      </c>
      <c r="E82">
        <v>10056529</v>
      </c>
      <c r="F82" t="s">
        <v>147</v>
      </c>
      <c r="G82" t="s">
        <v>31</v>
      </c>
      <c r="H82" t="s">
        <v>32</v>
      </c>
      <c r="I82" t="s">
        <v>33</v>
      </c>
      <c r="J82" t="s">
        <v>34</v>
      </c>
      <c r="K82" t="s">
        <v>35</v>
      </c>
      <c r="L82" t="s">
        <v>36</v>
      </c>
      <c r="M82" t="s">
        <v>37</v>
      </c>
      <c r="N82">
        <v>80</v>
      </c>
      <c r="O82">
        <v>41</v>
      </c>
      <c r="P82">
        <v>15</v>
      </c>
      <c r="Q82">
        <v>102</v>
      </c>
      <c r="R82" s="4">
        <v>1449.19</v>
      </c>
      <c r="S82" t="str">
        <f t="shared" si="5"/>
        <v>PX: Baja Crit.</v>
      </c>
      <c r="T82">
        <f t="shared" si="6"/>
        <v>0</v>
      </c>
      <c r="U82">
        <f t="shared" si="7"/>
        <v>0</v>
      </c>
      <c r="V82">
        <f t="shared" si="8"/>
        <v>0</v>
      </c>
      <c r="W82">
        <f t="shared" si="9"/>
        <v>1</v>
      </c>
      <c r="X82">
        <v>1</v>
      </c>
      <c r="Y82" s="2">
        <v>45768</v>
      </c>
      <c r="Z82" s="3" t="s">
        <v>38</v>
      </c>
      <c r="AA82" t="s">
        <v>39</v>
      </c>
      <c r="AB82" t="s">
        <v>40</v>
      </c>
      <c r="AC82" t="s">
        <v>40</v>
      </c>
      <c r="AD82" t="s">
        <v>41</v>
      </c>
    </row>
    <row r="83" spans="2:30">
      <c r="B83">
        <v>12</v>
      </c>
      <c r="C83">
        <v>1020</v>
      </c>
      <c r="D83" t="s">
        <v>29</v>
      </c>
      <c r="E83">
        <v>10056695</v>
      </c>
      <c r="F83" t="s">
        <v>148</v>
      </c>
      <c r="G83" t="s">
        <v>52</v>
      </c>
      <c r="H83" t="s">
        <v>44</v>
      </c>
      <c r="I83" t="s">
        <v>33</v>
      </c>
      <c r="J83" t="s">
        <v>45</v>
      </c>
      <c r="K83" t="s">
        <v>149</v>
      </c>
      <c r="L83" t="s">
        <v>36</v>
      </c>
      <c r="M83" t="s">
        <v>46</v>
      </c>
      <c r="N83">
        <v>6</v>
      </c>
      <c r="O83">
        <v>3</v>
      </c>
      <c r="P83">
        <v>2</v>
      </c>
      <c r="Q83">
        <v>6</v>
      </c>
      <c r="R83" s="4">
        <v>35462.21</v>
      </c>
      <c r="S83" t="str">
        <f t="shared" si="5"/>
        <v>PZ: Alta Crit.</v>
      </c>
      <c r="T83">
        <f t="shared" si="6"/>
        <v>0</v>
      </c>
      <c r="U83">
        <f t="shared" si="7"/>
        <v>0</v>
      </c>
      <c r="V83">
        <f t="shared" si="8"/>
        <v>1</v>
      </c>
      <c r="W83">
        <f t="shared" si="9"/>
        <v>0</v>
      </c>
      <c r="X83">
        <v>1</v>
      </c>
      <c r="Y83" s="2">
        <v>45768</v>
      </c>
      <c r="Z83" s="3" t="s">
        <v>47</v>
      </c>
      <c r="AA83" t="s">
        <v>39</v>
      </c>
      <c r="AB83" t="s">
        <v>40</v>
      </c>
      <c r="AC83" t="s">
        <v>40</v>
      </c>
      <c r="AD83" t="s">
        <v>41</v>
      </c>
    </row>
    <row r="84" spans="2:30">
      <c r="B84">
        <v>12</v>
      </c>
      <c r="C84">
        <v>1020</v>
      </c>
      <c r="D84" t="s">
        <v>29</v>
      </c>
      <c r="E84">
        <v>14016044</v>
      </c>
      <c r="F84" t="s">
        <v>150</v>
      </c>
      <c r="G84" t="s">
        <v>31</v>
      </c>
      <c r="H84" t="s">
        <v>44</v>
      </c>
      <c r="I84" t="s">
        <v>33</v>
      </c>
      <c r="J84" t="s">
        <v>34</v>
      </c>
      <c r="K84" t="s">
        <v>35</v>
      </c>
      <c r="L84" t="s">
        <v>36</v>
      </c>
      <c r="M84" t="s">
        <v>117</v>
      </c>
      <c r="N84">
        <v>12</v>
      </c>
      <c r="O84">
        <v>8</v>
      </c>
      <c r="P84">
        <v>2</v>
      </c>
      <c r="Q84">
        <v>4</v>
      </c>
      <c r="R84" s="4">
        <v>7986.11</v>
      </c>
      <c r="S84" t="str">
        <f t="shared" si="5"/>
        <v>PX: Baja Crit.</v>
      </c>
      <c r="T84">
        <f t="shared" si="6"/>
        <v>0</v>
      </c>
      <c r="U84">
        <f t="shared" si="7"/>
        <v>0</v>
      </c>
      <c r="V84">
        <f t="shared" si="8"/>
        <v>1</v>
      </c>
      <c r="W84">
        <f t="shared" si="9"/>
        <v>0</v>
      </c>
      <c r="X84">
        <v>1</v>
      </c>
      <c r="Y84" s="2">
        <v>45768</v>
      </c>
      <c r="Z84" s="3" t="s">
        <v>118</v>
      </c>
      <c r="AA84" t="s">
        <v>39</v>
      </c>
      <c r="AB84" t="s">
        <v>49</v>
      </c>
      <c r="AC84" s="5" t="s">
        <v>50</v>
      </c>
      <c r="AD84" t="s">
        <v>41</v>
      </c>
    </row>
    <row r="85" spans="2:30">
      <c r="B85">
        <v>12</v>
      </c>
      <c r="C85">
        <v>1020</v>
      </c>
      <c r="D85" t="s">
        <v>29</v>
      </c>
      <c r="E85">
        <v>10051793</v>
      </c>
      <c r="F85" t="s">
        <v>151</v>
      </c>
      <c r="G85" t="s">
        <v>31</v>
      </c>
      <c r="H85" t="s">
        <v>60</v>
      </c>
      <c r="I85" t="s">
        <v>33</v>
      </c>
      <c r="J85" t="s">
        <v>34</v>
      </c>
      <c r="K85" t="s">
        <v>35</v>
      </c>
      <c r="L85" t="s">
        <v>36</v>
      </c>
      <c r="M85" t="s">
        <v>46</v>
      </c>
      <c r="N85">
        <v>300</v>
      </c>
      <c r="O85">
        <v>201</v>
      </c>
      <c r="P85">
        <v>30</v>
      </c>
      <c r="Q85">
        <v>204</v>
      </c>
      <c r="R85" s="4">
        <v>2036.96</v>
      </c>
      <c r="S85" t="str">
        <f t="shared" si="5"/>
        <v>PX: Baja Crit.</v>
      </c>
      <c r="T85">
        <f t="shared" si="6"/>
        <v>0</v>
      </c>
      <c r="U85">
        <f t="shared" si="7"/>
        <v>0</v>
      </c>
      <c r="V85">
        <f t="shared" si="8"/>
        <v>1</v>
      </c>
      <c r="W85">
        <f t="shared" si="9"/>
        <v>0</v>
      </c>
      <c r="X85">
        <v>1</v>
      </c>
      <c r="Y85" s="2">
        <v>45768</v>
      </c>
      <c r="Z85" s="3" t="s">
        <v>47</v>
      </c>
      <c r="AA85" t="s">
        <v>39</v>
      </c>
      <c r="AB85" t="s">
        <v>49</v>
      </c>
      <c r="AC85" s="5" t="s">
        <v>50</v>
      </c>
      <c r="AD85" t="s">
        <v>41</v>
      </c>
    </row>
    <row r="86" spans="2:30">
      <c r="B86">
        <v>12</v>
      </c>
      <c r="C86">
        <v>1020</v>
      </c>
      <c r="D86" t="s">
        <v>29</v>
      </c>
      <c r="E86">
        <v>14086963</v>
      </c>
      <c r="F86" t="s">
        <v>152</v>
      </c>
      <c r="G86" t="s">
        <v>31</v>
      </c>
      <c r="H86" t="s">
        <v>32</v>
      </c>
      <c r="I86" t="s">
        <v>33</v>
      </c>
      <c r="J86" t="s">
        <v>34</v>
      </c>
      <c r="K86" t="s">
        <v>35</v>
      </c>
      <c r="L86" t="s">
        <v>36</v>
      </c>
      <c r="M86" t="s">
        <v>37</v>
      </c>
      <c r="N86">
        <v>15</v>
      </c>
      <c r="O86">
        <v>11</v>
      </c>
      <c r="P86">
        <v>2</v>
      </c>
      <c r="Q86">
        <v>0</v>
      </c>
      <c r="R86">
        <v>0</v>
      </c>
      <c r="S86" t="str">
        <f t="shared" si="5"/>
        <v>PX: Baja Crit.</v>
      </c>
      <c r="T86">
        <f t="shared" si="6"/>
        <v>1</v>
      </c>
      <c r="U86">
        <f t="shared" si="7"/>
        <v>0</v>
      </c>
      <c r="V86">
        <f t="shared" si="8"/>
        <v>0</v>
      </c>
      <c r="W86">
        <f t="shared" si="9"/>
        <v>0</v>
      </c>
      <c r="X86">
        <v>1</v>
      </c>
      <c r="Y86" s="2">
        <v>45768</v>
      </c>
      <c r="Z86" s="3" t="s">
        <v>38</v>
      </c>
      <c r="AA86" t="s">
        <v>39</v>
      </c>
      <c r="AB86" t="s">
        <v>76</v>
      </c>
      <c r="AC86" s="5" t="s">
        <v>77</v>
      </c>
      <c r="AD86" t="s">
        <v>41</v>
      </c>
    </row>
    <row r="87" spans="2:30">
      <c r="B87">
        <v>12</v>
      </c>
      <c r="C87">
        <v>1020</v>
      </c>
      <c r="D87" t="s">
        <v>29</v>
      </c>
      <c r="E87">
        <v>10041902</v>
      </c>
      <c r="F87" t="s">
        <v>153</v>
      </c>
      <c r="G87" t="s">
        <v>31</v>
      </c>
      <c r="H87" t="s">
        <v>60</v>
      </c>
      <c r="I87" t="s">
        <v>33</v>
      </c>
      <c r="J87" t="s">
        <v>45</v>
      </c>
      <c r="K87" t="s">
        <v>80</v>
      </c>
      <c r="L87" t="s">
        <v>36</v>
      </c>
      <c r="M87" t="s">
        <v>37</v>
      </c>
      <c r="N87">
        <v>120</v>
      </c>
      <c r="O87">
        <v>80</v>
      </c>
      <c r="P87">
        <v>20</v>
      </c>
      <c r="Q87">
        <v>83</v>
      </c>
      <c r="R87" s="4">
        <v>4869.28</v>
      </c>
      <c r="S87" t="str">
        <f t="shared" si="5"/>
        <v>PX: Baja Crit.</v>
      </c>
      <c r="T87">
        <f t="shared" si="6"/>
        <v>0</v>
      </c>
      <c r="U87">
        <f t="shared" si="7"/>
        <v>0</v>
      </c>
      <c r="V87">
        <f t="shared" si="8"/>
        <v>1</v>
      </c>
      <c r="W87">
        <f t="shared" si="9"/>
        <v>0</v>
      </c>
      <c r="X87">
        <v>1</v>
      </c>
      <c r="Y87" s="2">
        <v>45768</v>
      </c>
      <c r="Z87" s="3" t="s">
        <v>38</v>
      </c>
      <c r="AA87" t="s">
        <v>39</v>
      </c>
      <c r="AB87" t="s">
        <v>40</v>
      </c>
      <c r="AC87" t="s">
        <v>40</v>
      </c>
      <c r="AD87" t="s">
        <v>41</v>
      </c>
    </row>
    <row r="88" spans="2:30">
      <c r="B88">
        <v>12</v>
      </c>
      <c r="C88">
        <v>1020</v>
      </c>
      <c r="D88" t="s">
        <v>29</v>
      </c>
      <c r="E88">
        <v>10051766</v>
      </c>
      <c r="F88" t="s">
        <v>154</v>
      </c>
      <c r="G88" t="s">
        <v>31</v>
      </c>
      <c r="H88" t="s">
        <v>44</v>
      </c>
      <c r="I88" t="s">
        <v>33</v>
      </c>
      <c r="J88" t="s">
        <v>34</v>
      </c>
      <c r="K88" t="s">
        <v>155</v>
      </c>
      <c r="L88" t="s">
        <v>36</v>
      </c>
      <c r="M88" t="s">
        <v>37</v>
      </c>
      <c r="N88">
        <v>60</v>
      </c>
      <c r="O88">
        <v>41</v>
      </c>
      <c r="P88">
        <v>15</v>
      </c>
      <c r="Q88">
        <v>48</v>
      </c>
      <c r="R88" s="4">
        <v>10832.4</v>
      </c>
      <c r="S88" t="str">
        <f t="shared" si="5"/>
        <v>PX: Baja Crit.</v>
      </c>
      <c r="T88">
        <f t="shared" si="6"/>
        <v>0</v>
      </c>
      <c r="U88">
        <f t="shared" si="7"/>
        <v>0</v>
      </c>
      <c r="V88">
        <f t="shared" si="8"/>
        <v>1</v>
      </c>
      <c r="W88">
        <f t="shared" si="9"/>
        <v>0</v>
      </c>
      <c r="X88">
        <v>1</v>
      </c>
      <c r="Y88" s="2">
        <v>45768</v>
      </c>
      <c r="Z88" s="3" t="s">
        <v>38</v>
      </c>
      <c r="AA88" t="s">
        <v>39</v>
      </c>
      <c r="AB88" t="s">
        <v>40</v>
      </c>
      <c r="AC88" t="s">
        <v>40</v>
      </c>
      <c r="AD88" t="s">
        <v>41</v>
      </c>
    </row>
    <row r="89" spans="2:30">
      <c r="B89">
        <v>12</v>
      </c>
      <c r="C89">
        <v>1020</v>
      </c>
      <c r="D89" t="s">
        <v>29</v>
      </c>
      <c r="E89">
        <v>10040875</v>
      </c>
      <c r="F89" t="s">
        <v>156</v>
      </c>
      <c r="G89" t="s">
        <v>43</v>
      </c>
      <c r="H89" t="s">
        <v>60</v>
      </c>
      <c r="I89" t="s">
        <v>33</v>
      </c>
      <c r="J89" t="s">
        <v>34</v>
      </c>
      <c r="K89" t="s">
        <v>35</v>
      </c>
      <c r="L89" t="s">
        <v>36</v>
      </c>
      <c r="M89" t="s">
        <v>46</v>
      </c>
      <c r="N89">
        <v>120</v>
      </c>
      <c r="O89">
        <v>70</v>
      </c>
      <c r="P89">
        <v>40</v>
      </c>
      <c r="Q89">
        <v>109</v>
      </c>
      <c r="R89" s="4">
        <v>3597</v>
      </c>
      <c r="S89" t="str">
        <f t="shared" si="5"/>
        <v>PY: Media Crit.</v>
      </c>
      <c r="T89">
        <f t="shared" si="6"/>
        <v>0</v>
      </c>
      <c r="U89">
        <f t="shared" si="7"/>
        <v>0</v>
      </c>
      <c r="V89">
        <f t="shared" si="8"/>
        <v>1</v>
      </c>
      <c r="W89">
        <f t="shared" si="9"/>
        <v>0</v>
      </c>
      <c r="X89">
        <v>1</v>
      </c>
      <c r="Y89" s="2">
        <v>45768</v>
      </c>
      <c r="Z89" s="3" t="s">
        <v>47</v>
      </c>
      <c r="AA89" t="s">
        <v>39</v>
      </c>
      <c r="AB89" t="s">
        <v>40</v>
      </c>
      <c r="AC89" t="s">
        <v>40</v>
      </c>
      <c r="AD89" t="s">
        <v>41</v>
      </c>
    </row>
    <row r="90" spans="2:30">
      <c r="B90">
        <v>12</v>
      </c>
      <c r="C90">
        <v>1020</v>
      </c>
      <c r="D90" t="s">
        <v>29</v>
      </c>
      <c r="E90">
        <v>10051797</v>
      </c>
      <c r="F90" t="s">
        <v>157</v>
      </c>
      <c r="G90" t="s">
        <v>31</v>
      </c>
      <c r="H90" t="s">
        <v>32</v>
      </c>
      <c r="I90" t="s">
        <v>33</v>
      </c>
      <c r="J90" t="s">
        <v>34</v>
      </c>
      <c r="K90" t="s">
        <v>158</v>
      </c>
      <c r="L90" t="s">
        <v>36</v>
      </c>
      <c r="M90" t="s">
        <v>37</v>
      </c>
      <c r="N90">
        <v>80</v>
      </c>
      <c r="O90">
        <v>61</v>
      </c>
      <c r="P90">
        <v>10</v>
      </c>
      <c r="Q90">
        <v>51</v>
      </c>
      <c r="R90" s="4">
        <v>1360.83</v>
      </c>
      <c r="S90" t="str">
        <f t="shared" si="5"/>
        <v>PX: Baja Crit.</v>
      </c>
      <c r="T90">
        <f t="shared" si="6"/>
        <v>0</v>
      </c>
      <c r="U90">
        <f t="shared" si="7"/>
        <v>0</v>
      </c>
      <c r="V90">
        <f t="shared" si="8"/>
        <v>1</v>
      </c>
      <c r="W90">
        <f t="shared" si="9"/>
        <v>0</v>
      </c>
      <c r="X90">
        <v>1</v>
      </c>
      <c r="Y90" s="2">
        <v>45768</v>
      </c>
      <c r="Z90" s="3" t="s">
        <v>38</v>
      </c>
      <c r="AA90" t="s">
        <v>39</v>
      </c>
      <c r="AB90" t="s">
        <v>49</v>
      </c>
      <c r="AC90" s="5" t="s">
        <v>50</v>
      </c>
      <c r="AD90" t="s">
        <v>41</v>
      </c>
    </row>
    <row r="91" spans="2:30">
      <c r="B91">
        <v>12</v>
      </c>
      <c r="C91">
        <v>1020</v>
      </c>
      <c r="D91" t="s">
        <v>29</v>
      </c>
      <c r="E91">
        <v>10043083</v>
      </c>
      <c r="F91" t="s">
        <v>159</v>
      </c>
      <c r="G91" t="s">
        <v>31</v>
      </c>
      <c r="H91" t="s">
        <v>32</v>
      </c>
      <c r="I91" t="s">
        <v>33</v>
      </c>
      <c r="J91" t="s">
        <v>34</v>
      </c>
      <c r="K91" t="s">
        <v>35</v>
      </c>
      <c r="L91" t="s">
        <v>36</v>
      </c>
      <c r="M91" t="s">
        <v>37</v>
      </c>
      <c r="N91">
        <v>200</v>
      </c>
      <c r="O91">
        <v>101</v>
      </c>
      <c r="P91">
        <v>44</v>
      </c>
      <c r="Q91">
        <v>190</v>
      </c>
      <c r="R91" s="4">
        <v>1044.99</v>
      </c>
      <c r="S91" t="str">
        <f t="shared" si="5"/>
        <v>PX: Baja Crit.</v>
      </c>
      <c r="T91">
        <f t="shared" si="6"/>
        <v>0</v>
      </c>
      <c r="U91">
        <f t="shared" si="7"/>
        <v>0</v>
      </c>
      <c r="V91">
        <f t="shared" si="8"/>
        <v>1</v>
      </c>
      <c r="W91">
        <f t="shared" si="9"/>
        <v>0</v>
      </c>
      <c r="X91">
        <v>1</v>
      </c>
      <c r="Y91" s="2">
        <v>45768</v>
      </c>
      <c r="Z91" s="3" t="s">
        <v>38</v>
      </c>
      <c r="AA91" t="s">
        <v>39</v>
      </c>
      <c r="AB91" t="s">
        <v>40</v>
      </c>
      <c r="AC91" t="s">
        <v>40</v>
      </c>
      <c r="AD91" t="s">
        <v>41</v>
      </c>
    </row>
    <row r="92" spans="2:30">
      <c r="B92">
        <v>12</v>
      </c>
      <c r="C92">
        <v>1020</v>
      </c>
      <c r="D92" t="s">
        <v>29</v>
      </c>
      <c r="E92">
        <v>10600326</v>
      </c>
      <c r="F92" t="s">
        <v>160</v>
      </c>
      <c r="G92" t="s">
        <v>43</v>
      </c>
      <c r="H92" t="s">
        <v>32</v>
      </c>
      <c r="I92" t="s">
        <v>33</v>
      </c>
      <c r="J92" t="s">
        <v>34</v>
      </c>
      <c r="K92" t="s">
        <v>62</v>
      </c>
      <c r="L92" t="s">
        <v>36</v>
      </c>
      <c r="M92" t="s">
        <v>46</v>
      </c>
      <c r="N92">
        <v>150</v>
      </c>
      <c r="O92">
        <v>81</v>
      </c>
      <c r="P92">
        <v>10</v>
      </c>
      <c r="Q92">
        <v>45</v>
      </c>
      <c r="R92">
        <v>639.95000000000005</v>
      </c>
      <c r="S92" t="str">
        <f t="shared" si="5"/>
        <v>PY: Media Crit.</v>
      </c>
      <c r="T92">
        <f t="shared" si="6"/>
        <v>0</v>
      </c>
      <c r="U92">
        <f t="shared" si="7"/>
        <v>0</v>
      </c>
      <c r="V92">
        <f t="shared" si="8"/>
        <v>1</v>
      </c>
      <c r="W92">
        <f t="shared" si="9"/>
        <v>0</v>
      </c>
      <c r="X92">
        <v>1</v>
      </c>
      <c r="Y92" s="2">
        <v>45768</v>
      </c>
      <c r="Z92" s="3" t="s">
        <v>47</v>
      </c>
      <c r="AA92" t="s">
        <v>39</v>
      </c>
      <c r="AB92" t="s">
        <v>49</v>
      </c>
      <c r="AC92" s="5" t="s">
        <v>50</v>
      </c>
      <c r="AD92" t="s">
        <v>41</v>
      </c>
    </row>
    <row r="93" spans="2:30">
      <c r="B93">
        <v>12</v>
      </c>
      <c r="C93">
        <v>1020</v>
      </c>
      <c r="D93" t="s">
        <v>29</v>
      </c>
      <c r="E93">
        <v>10163137</v>
      </c>
      <c r="F93" t="s">
        <v>161</v>
      </c>
      <c r="G93" t="s">
        <v>31</v>
      </c>
      <c r="H93" t="s">
        <v>32</v>
      </c>
      <c r="I93" t="s">
        <v>33</v>
      </c>
      <c r="J93" t="s">
        <v>34</v>
      </c>
      <c r="K93" t="s">
        <v>35</v>
      </c>
      <c r="L93" t="s">
        <v>36</v>
      </c>
      <c r="M93" t="s">
        <v>37</v>
      </c>
      <c r="N93">
        <v>140</v>
      </c>
      <c r="O93">
        <v>71</v>
      </c>
      <c r="P93">
        <v>38</v>
      </c>
      <c r="Q93">
        <v>222</v>
      </c>
      <c r="R93" s="4">
        <v>1110</v>
      </c>
      <c r="S93" t="str">
        <f t="shared" si="5"/>
        <v>PX: Baja Crit.</v>
      </c>
      <c r="T93">
        <f t="shared" si="6"/>
        <v>0</v>
      </c>
      <c r="U93">
        <f t="shared" si="7"/>
        <v>0</v>
      </c>
      <c r="V93">
        <f t="shared" si="8"/>
        <v>0</v>
      </c>
      <c r="W93">
        <f t="shared" si="9"/>
        <v>1</v>
      </c>
      <c r="X93">
        <v>1</v>
      </c>
      <c r="Y93" s="2">
        <v>45768</v>
      </c>
      <c r="Z93" s="3" t="s">
        <v>38</v>
      </c>
      <c r="AA93" t="s">
        <v>39</v>
      </c>
      <c r="AB93" t="s">
        <v>40</v>
      </c>
      <c r="AC93" t="s">
        <v>40</v>
      </c>
      <c r="AD93" t="s">
        <v>41</v>
      </c>
    </row>
    <row r="94" spans="2:30">
      <c r="B94">
        <v>12</v>
      </c>
      <c r="C94">
        <v>1020</v>
      </c>
      <c r="D94" t="s">
        <v>29</v>
      </c>
      <c r="E94">
        <v>10045313</v>
      </c>
      <c r="F94" t="s">
        <v>162</v>
      </c>
      <c r="G94" t="s">
        <v>31</v>
      </c>
      <c r="H94" t="s">
        <v>44</v>
      </c>
      <c r="I94" t="s">
        <v>33</v>
      </c>
      <c r="J94" t="s">
        <v>34</v>
      </c>
      <c r="K94" t="s">
        <v>158</v>
      </c>
      <c r="L94" t="s">
        <v>36</v>
      </c>
      <c r="M94" t="s">
        <v>37</v>
      </c>
      <c r="N94">
        <v>200</v>
      </c>
      <c r="O94">
        <v>101</v>
      </c>
      <c r="P94">
        <v>20</v>
      </c>
      <c r="Q94">
        <v>72</v>
      </c>
      <c r="R94" s="4">
        <v>1978.94</v>
      </c>
      <c r="S94" t="str">
        <f t="shared" si="5"/>
        <v>PX: Baja Crit.</v>
      </c>
      <c r="T94">
        <f t="shared" si="6"/>
        <v>0</v>
      </c>
      <c r="U94">
        <f t="shared" si="7"/>
        <v>0</v>
      </c>
      <c r="V94">
        <f t="shared" si="8"/>
        <v>1</v>
      </c>
      <c r="W94">
        <f t="shared" si="9"/>
        <v>0</v>
      </c>
      <c r="X94">
        <v>1</v>
      </c>
      <c r="Y94" s="2">
        <v>45768</v>
      </c>
      <c r="Z94" s="3" t="s">
        <v>38</v>
      </c>
      <c r="AA94" t="s">
        <v>39</v>
      </c>
      <c r="AB94" t="s">
        <v>49</v>
      </c>
      <c r="AC94" s="5" t="s">
        <v>50</v>
      </c>
      <c r="AD94" t="s">
        <v>41</v>
      </c>
    </row>
    <row r="95" spans="2:30">
      <c r="B95">
        <v>12</v>
      </c>
      <c r="C95">
        <v>1020</v>
      </c>
      <c r="D95" t="s">
        <v>29</v>
      </c>
      <c r="E95">
        <v>10057155</v>
      </c>
      <c r="F95" t="s">
        <v>163</v>
      </c>
      <c r="G95" t="s">
        <v>31</v>
      </c>
      <c r="H95" t="s">
        <v>60</v>
      </c>
      <c r="I95" t="s">
        <v>33</v>
      </c>
      <c r="J95" t="s">
        <v>34</v>
      </c>
      <c r="K95" t="s">
        <v>35</v>
      </c>
      <c r="L95" t="s">
        <v>36</v>
      </c>
      <c r="M95" t="s">
        <v>37</v>
      </c>
      <c r="N95">
        <v>60</v>
      </c>
      <c r="O95">
        <v>31</v>
      </c>
      <c r="P95">
        <v>10</v>
      </c>
      <c r="Q95">
        <v>56</v>
      </c>
      <c r="R95" s="4">
        <v>5820.91</v>
      </c>
      <c r="S95" t="str">
        <f t="shared" si="5"/>
        <v>PX: Baja Crit.</v>
      </c>
      <c r="T95">
        <f t="shared" si="6"/>
        <v>0</v>
      </c>
      <c r="U95">
        <f t="shared" si="7"/>
        <v>0</v>
      </c>
      <c r="V95">
        <f t="shared" si="8"/>
        <v>1</v>
      </c>
      <c r="W95">
        <f t="shared" si="9"/>
        <v>0</v>
      </c>
      <c r="X95">
        <v>1</v>
      </c>
      <c r="Y95" s="2">
        <v>45768</v>
      </c>
      <c r="Z95" s="3" t="s">
        <v>38</v>
      </c>
      <c r="AA95" t="s">
        <v>39</v>
      </c>
      <c r="AB95" t="s">
        <v>40</v>
      </c>
      <c r="AC95" t="s">
        <v>40</v>
      </c>
      <c r="AD95" t="s">
        <v>41</v>
      </c>
    </row>
    <row r="96" spans="2:30">
      <c r="B96">
        <v>12</v>
      </c>
      <c r="C96">
        <v>1020</v>
      </c>
      <c r="D96" t="s">
        <v>29</v>
      </c>
      <c r="E96">
        <v>10600327</v>
      </c>
      <c r="F96" t="s">
        <v>164</v>
      </c>
      <c r="G96" t="s">
        <v>43</v>
      </c>
      <c r="H96" t="s">
        <v>60</v>
      </c>
      <c r="I96" t="s">
        <v>33</v>
      </c>
      <c r="J96" t="s">
        <v>45</v>
      </c>
      <c r="K96" t="s">
        <v>62</v>
      </c>
      <c r="L96" t="s">
        <v>36</v>
      </c>
      <c r="M96" t="s">
        <v>46</v>
      </c>
      <c r="N96">
        <v>200</v>
      </c>
      <c r="O96">
        <v>101</v>
      </c>
      <c r="P96">
        <v>0</v>
      </c>
      <c r="Q96">
        <v>187</v>
      </c>
      <c r="R96" s="4">
        <v>1838.59</v>
      </c>
      <c r="S96" t="str">
        <f t="shared" si="5"/>
        <v>PY: Media Crit.</v>
      </c>
      <c r="T96">
        <f t="shared" si="6"/>
        <v>0</v>
      </c>
      <c r="U96">
        <f t="shared" si="7"/>
        <v>0</v>
      </c>
      <c r="V96">
        <f t="shared" si="8"/>
        <v>1</v>
      </c>
      <c r="W96">
        <f t="shared" si="9"/>
        <v>0</v>
      </c>
      <c r="X96">
        <v>1</v>
      </c>
      <c r="Y96" s="2">
        <v>45768</v>
      </c>
      <c r="Z96" s="3" t="s">
        <v>47</v>
      </c>
      <c r="AA96" t="s">
        <v>39</v>
      </c>
      <c r="AB96" t="s">
        <v>40</v>
      </c>
      <c r="AC96" t="s">
        <v>40</v>
      </c>
      <c r="AD96" t="s">
        <v>41</v>
      </c>
    </row>
    <row r="97" spans="2:30">
      <c r="B97">
        <v>12</v>
      </c>
      <c r="C97">
        <v>1020</v>
      </c>
      <c r="D97" t="s">
        <v>29</v>
      </c>
      <c r="E97">
        <v>10634841</v>
      </c>
      <c r="F97" t="s">
        <v>165</v>
      </c>
      <c r="G97" t="s">
        <v>43</v>
      </c>
      <c r="H97" t="s">
        <v>44</v>
      </c>
      <c r="I97" t="s">
        <v>33</v>
      </c>
      <c r="J97" t="s">
        <v>34</v>
      </c>
      <c r="K97" t="s">
        <v>35</v>
      </c>
      <c r="L97" t="s">
        <v>36</v>
      </c>
      <c r="M97" t="s">
        <v>46</v>
      </c>
      <c r="N97">
        <v>800</v>
      </c>
      <c r="O97">
        <v>350</v>
      </c>
      <c r="P97">
        <v>100</v>
      </c>
      <c r="Q97">
        <v>277</v>
      </c>
      <c r="R97" s="4">
        <v>5633.8</v>
      </c>
      <c r="S97" t="str">
        <f t="shared" si="5"/>
        <v>PY: Media Crit.</v>
      </c>
      <c r="T97">
        <f t="shared" si="6"/>
        <v>0</v>
      </c>
      <c r="U97">
        <f t="shared" si="7"/>
        <v>0</v>
      </c>
      <c r="V97">
        <f t="shared" si="8"/>
        <v>1</v>
      </c>
      <c r="W97">
        <f t="shared" si="9"/>
        <v>0</v>
      </c>
      <c r="X97">
        <v>1</v>
      </c>
      <c r="Y97" s="2">
        <v>45768</v>
      </c>
      <c r="Z97" s="3" t="s">
        <v>47</v>
      </c>
      <c r="AA97" t="s">
        <v>39</v>
      </c>
      <c r="AB97" t="s">
        <v>49</v>
      </c>
      <c r="AC97" s="5" t="s">
        <v>50</v>
      </c>
      <c r="AD97" t="s">
        <v>41</v>
      </c>
    </row>
    <row r="98" spans="2:30">
      <c r="B98">
        <v>12</v>
      </c>
      <c r="C98">
        <v>1020</v>
      </c>
      <c r="D98" t="s">
        <v>29</v>
      </c>
      <c r="E98">
        <v>10044238</v>
      </c>
      <c r="F98" t="s">
        <v>166</v>
      </c>
      <c r="G98" t="s">
        <v>43</v>
      </c>
      <c r="H98" t="s">
        <v>32</v>
      </c>
      <c r="I98" t="s">
        <v>33</v>
      </c>
      <c r="J98" t="s">
        <v>45</v>
      </c>
      <c r="K98" t="s">
        <v>35</v>
      </c>
      <c r="L98" t="s">
        <v>36</v>
      </c>
      <c r="M98" t="s">
        <v>46</v>
      </c>
      <c r="N98">
        <v>50</v>
      </c>
      <c r="O98">
        <v>31</v>
      </c>
      <c r="P98">
        <v>15</v>
      </c>
      <c r="Q98">
        <v>46</v>
      </c>
      <c r="R98" s="4">
        <v>3175.94</v>
      </c>
      <c r="S98" t="str">
        <f t="shared" si="5"/>
        <v>PY: Media Crit.</v>
      </c>
      <c r="T98">
        <f t="shared" si="6"/>
        <v>0</v>
      </c>
      <c r="U98">
        <f t="shared" si="7"/>
        <v>0</v>
      </c>
      <c r="V98">
        <f t="shared" si="8"/>
        <v>1</v>
      </c>
      <c r="W98">
        <f t="shared" si="9"/>
        <v>0</v>
      </c>
      <c r="X98">
        <v>1</v>
      </c>
      <c r="Y98" s="2">
        <v>45768</v>
      </c>
      <c r="Z98" s="3" t="s">
        <v>47</v>
      </c>
      <c r="AA98" t="s">
        <v>39</v>
      </c>
      <c r="AB98" t="s">
        <v>40</v>
      </c>
      <c r="AC98" t="s">
        <v>40</v>
      </c>
      <c r="AD98" t="s">
        <v>41</v>
      </c>
    </row>
    <row r="99" spans="2:30">
      <c r="B99">
        <v>12</v>
      </c>
      <c r="C99">
        <v>1020</v>
      </c>
      <c r="D99" t="s">
        <v>29</v>
      </c>
      <c r="E99">
        <v>14054941</v>
      </c>
      <c r="F99" t="s">
        <v>167</v>
      </c>
      <c r="G99" t="s">
        <v>52</v>
      </c>
      <c r="H99" t="s">
        <v>32</v>
      </c>
      <c r="I99" t="s">
        <v>33</v>
      </c>
      <c r="J99" t="s">
        <v>34</v>
      </c>
      <c r="K99" t="s">
        <v>62</v>
      </c>
      <c r="L99" t="s">
        <v>36</v>
      </c>
      <c r="M99" t="s">
        <v>46</v>
      </c>
      <c r="N99">
        <v>70</v>
      </c>
      <c r="O99">
        <v>41</v>
      </c>
      <c r="P99">
        <v>12</v>
      </c>
      <c r="Q99">
        <v>78</v>
      </c>
      <c r="R99" s="4">
        <v>1560</v>
      </c>
      <c r="S99" t="str">
        <f t="shared" si="5"/>
        <v>PZ: Alta Crit.</v>
      </c>
      <c r="T99">
        <f t="shared" si="6"/>
        <v>0</v>
      </c>
      <c r="U99">
        <f t="shared" si="7"/>
        <v>0</v>
      </c>
      <c r="V99">
        <f t="shared" si="8"/>
        <v>0</v>
      </c>
      <c r="W99">
        <f t="shared" si="9"/>
        <v>1</v>
      </c>
      <c r="X99">
        <v>1</v>
      </c>
      <c r="Y99" s="2">
        <v>45768</v>
      </c>
      <c r="Z99" s="3" t="s">
        <v>47</v>
      </c>
      <c r="AA99" t="s">
        <v>39</v>
      </c>
      <c r="AB99" t="s">
        <v>40</v>
      </c>
      <c r="AC99" t="s">
        <v>40</v>
      </c>
      <c r="AD99" t="s">
        <v>41</v>
      </c>
    </row>
    <row r="100" spans="2:30">
      <c r="B100">
        <v>12</v>
      </c>
      <c r="C100">
        <v>1020</v>
      </c>
      <c r="D100" t="s">
        <v>29</v>
      </c>
      <c r="E100">
        <v>14142064</v>
      </c>
      <c r="F100" t="s">
        <v>168</v>
      </c>
      <c r="G100" t="s">
        <v>52</v>
      </c>
      <c r="H100" t="s">
        <v>32</v>
      </c>
      <c r="I100" t="s">
        <v>33</v>
      </c>
      <c r="J100" t="s">
        <v>45</v>
      </c>
      <c r="K100" t="s">
        <v>35</v>
      </c>
      <c r="L100" t="s">
        <v>36</v>
      </c>
      <c r="M100" t="s">
        <v>117</v>
      </c>
      <c r="N100">
        <v>60</v>
      </c>
      <c r="O100">
        <v>41</v>
      </c>
      <c r="P100">
        <v>10</v>
      </c>
      <c r="Q100">
        <v>40</v>
      </c>
      <c r="R100" s="4">
        <v>343900.84</v>
      </c>
      <c r="S100" t="str">
        <f t="shared" si="5"/>
        <v>PZ: Alta Crit.</v>
      </c>
      <c r="T100">
        <f t="shared" si="6"/>
        <v>0</v>
      </c>
      <c r="U100">
        <f t="shared" si="7"/>
        <v>0</v>
      </c>
      <c r="V100">
        <f t="shared" si="8"/>
        <v>1</v>
      </c>
      <c r="W100">
        <f t="shared" si="9"/>
        <v>0</v>
      </c>
      <c r="X100">
        <v>1</v>
      </c>
      <c r="Y100" s="2">
        <v>45768</v>
      </c>
      <c r="Z100" s="3" t="s">
        <v>118</v>
      </c>
      <c r="AA100" t="s">
        <v>39</v>
      </c>
      <c r="AB100" t="s">
        <v>40</v>
      </c>
      <c r="AC100" t="s">
        <v>40</v>
      </c>
      <c r="AD100" t="s">
        <v>41</v>
      </c>
    </row>
    <row r="101" spans="2:30">
      <c r="B101">
        <v>12</v>
      </c>
      <c r="C101">
        <v>1020</v>
      </c>
      <c r="D101" t="s">
        <v>29</v>
      </c>
      <c r="E101">
        <v>10044215</v>
      </c>
      <c r="F101" t="s">
        <v>169</v>
      </c>
      <c r="G101" t="s">
        <v>31</v>
      </c>
      <c r="H101" t="s">
        <v>60</v>
      </c>
      <c r="I101" t="s">
        <v>33</v>
      </c>
      <c r="J101" t="s">
        <v>34</v>
      </c>
      <c r="K101" t="s">
        <v>155</v>
      </c>
      <c r="L101" t="s">
        <v>36</v>
      </c>
      <c r="M101" t="s">
        <v>46</v>
      </c>
      <c r="N101">
        <v>80</v>
      </c>
      <c r="O101">
        <v>41</v>
      </c>
      <c r="P101">
        <v>20</v>
      </c>
      <c r="Q101">
        <v>111</v>
      </c>
      <c r="R101" s="4">
        <v>7673.66</v>
      </c>
      <c r="S101" t="str">
        <f t="shared" si="5"/>
        <v>PX: Baja Crit.</v>
      </c>
      <c r="T101">
        <f t="shared" si="6"/>
        <v>0</v>
      </c>
      <c r="U101">
        <f t="shared" si="7"/>
        <v>0</v>
      </c>
      <c r="V101">
        <f t="shared" si="8"/>
        <v>0</v>
      </c>
      <c r="W101">
        <f t="shared" si="9"/>
        <v>1</v>
      </c>
      <c r="X101">
        <v>1</v>
      </c>
      <c r="Y101" s="2">
        <v>45768</v>
      </c>
      <c r="Z101" s="3" t="s">
        <v>47</v>
      </c>
      <c r="AA101" t="s">
        <v>39</v>
      </c>
      <c r="AB101" t="s">
        <v>40</v>
      </c>
      <c r="AC101" t="s">
        <v>40</v>
      </c>
      <c r="AD101" t="s">
        <v>41</v>
      </c>
    </row>
    <row r="102" spans="2:30">
      <c r="B102">
        <v>12</v>
      </c>
      <c r="C102">
        <v>1020</v>
      </c>
      <c r="D102" t="s">
        <v>29</v>
      </c>
      <c r="E102">
        <v>10039860</v>
      </c>
      <c r="F102" t="s">
        <v>170</v>
      </c>
      <c r="G102" t="s">
        <v>31</v>
      </c>
      <c r="H102" t="s">
        <v>32</v>
      </c>
      <c r="I102" t="s">
        <v>33</v>
      </c>
      <c r="J102" t="s">
        <v>34</v>
      </c>
      <c r="K102" t="s">
        <v>35</v>
      </c>
      <c r="L102" t="s">
        <v>36</v>
      </c>
      <c r="M102" t="s">
        <v>37</v>
      </c>
      <c r="N102">
        <v>50</v>
      </c>
      <c r="O102">
        <v>30</v>
      </c>
      <c r="P102">
        <v>10</v>
      </c>
      <c r="Q102">
        <v>68</v>
      </c>
      <c r="R102" s="4">
        <v>2016.88</v>
      </c>
      <c r="S102" t="str">
        <f t="shared" si="5"/>
        <v>PX: Baja Crit.</v>
      </c>
      <c r="T102">
        <f t="shared" si="6"/>
        <v>0</v>
      </c>
      <c r="U102">
        <f t="shared" si="7"/>
        <v>0</v>
      </c>
      <c r="V102">
        <f t="shared" si="8"/>
        <v>0</v>
      </c>
      <c r="W102">
        <f t="shared" si="9"/>
        <v>1</v>
      </c>
      <c r="X102">
        <v>1</v>
      </c>
      <c r="Y102" s="2">
        <v>45768</v>
      </c>
      <c r="Z102" s="3" t="s">
        <v>38</v>
      </c>
      <c r="AA102" t="s">
        <v>39</v>
      </c>
      <c r="AB102" t="s">
        <v>40</v>
      </c>
      <c r="AC102" t="s">
        <v>40</v>
      </c>
      <c r="AD102" t="s">
        <v>41</v>
      </c>
    </row>
    <row r="103" spans="2:30">
      <c r="B103">
        <v>12</v>
      </c>
      <c r="C103">
        <v>1020</v>
      </c>
      <c r="D103" t="s">
        <v>29</v>
      </c>
      <c r="E103">
        <v>10044236</v>
      </c>
      <c r="F103" t="s">
        <v>171</v>
      </c>
      <c r="G103" t="s">
        <v>43</v>
      </c>
      <c r="H103" t="s">
        <v>44</v>
      </c>
      <c r="I103" t="s">
        <v>33</v>
      </c>
      <c r="J103" t="s">
        <v>34</v>
      </c>
      <c r="K103" t="s">
        <v>62</v>
      </c>
      <c r="L103" t="s">
        <v>36</v>
      </c>
      <c r="M103" t="s">
        <v>46</v>
      </c>
      <c r="N103">
        <v>800</v>
      </c>
      <c r="O103">
        <v>501</v>
      </c>
      <c r="P103">
        <v>140</v>
      </c>
      <c r="Q103">
        <v>582</v>
      </c>
      <c r="R103" s="4">
        <v>5819.99</v>
      </c>
      <c r="S103" t="str">
        <f t="shared" si="5"/>
        <v>PY: Media Crit.</v>
      </c>
      <c r="T103">
        <f t="shared" si="6"/>
        <v>0</v>
      </c>
      <c r="U103">
        <f t="shared" si="7"/>
        <v>0</v>
      </c>
      <c r="V103">
        <f t="shared" si="8"/>
        <v>1</v>
      </c>
      <c r="W103">
        <f t="shared" si="9"/>
        <v>0</v>
      </c>
      <c r="X103">
        <v>1</v>
      </c>
      <c r="Y103" s="2">
        <v>45768</v>
      </c>
      <c r="Z103" s="3" t="s">
        <v>47</v>
      </c>
      <c r="AA103" t="s">
        <v>39</v>
      </c>
      <c r="AB103" t="s">
        <v>40</v>
      </c>
      <c r="AC103" t="s">
        <v>40</v>
      </c>
      <c r="AD103" t="s">
        <v>41</v>
      </c>
    </row>
    <row r="104" spans="2:30">
      <c r="B104">
        <v>12</v>
      </c>
      <c r="C104">
        <v>1020</v>
      </c>
      <c r="D104" t="s">
        <v>172</v>
      </c>
      <c r="E104">
        <v>10040715</v>
      </c>
      <c r="F104" t="s">
        <v>173</v>
      </c>
      <c r="G104" t="s">
        <v>52</v>
      </c>
      <c r="H104" t="s">
        <v>32</v>
      </c>
      <c r="I104" t="s">
        <v>174</v>
      </c>
      <c r="J104" t="s">
        <v>45</v>
      </c>
      <c r="K104" t="s">
        <v>35</v>
      </c>
      <c r="L104" t="s">
        <v>175</v>
      </c>
      <c r="M104" t="s">
        <v>46</v>
      </c>
      <c r="N104">
        <v>0</v>
      </c>
      <c r="O104">
        <v>0</v>
      </c>
      <c r="P104" s="8">
        <v>3500</v>
      </c>
      <c r="Q104" s="8">
        <v>29150</v>
      </c>
      <c r="R104" s="4">
        <v>730863.64</v>
      </c>
      <c r="S104" t="str">
        <f t="shared" si="5"/>
        <v>PZ: Alta Crit.</v>
      </c>
      <c r="T104">
        <f t="shared" si="6"/>
        <v>0</v>
      </c>
      <c r="U104">
        <f t="shared" si="7"/>
        <v>0</v>
      </c>
      <c r="V104">
        <f t="shared" si="8"/>
        <v>0</v>
      </c>
      <c r="W104">
        <f t="shared" si="9"/>
        <v>1</v>
      </c>
      <c r="X104">
        <v>1</v>
      </c>
      <c r="Y104" s="2">
        <v>45768</v>
      </c>
      <c r="Z104" s="3" t="s">
        <v>47</v>
      </c>
      <c r="AA104" t="s">
        <v>39</v>
      </c>
      <c r="AB104" t="s">
        <v>40</v>
      </c>
      <c r="AC104" t="s">
        <v>40</v>
      </c>
      <c r="AD104" t="s">
        <v>176</v>
      </c>
    </row>
    <row r="105" spans="2:30">
      <c r="B105">
        <v>12</v>
      </c>
      <c r="C105">
        <v>1020</v>
      </c>
      <c r="D105" t="s">
        <v>172</v>
      </c>
      <c r="E105">
        <v>10040717</v>
      </c>
      <c r="F105" t="s">
        <v>177</v>
      </c>
      <c r="G105" t="s">
        <v>52</v>
      </c>
      <c r="H105" t="s">
        <v>32</v>
      </c>
      <c r="I105" t="s">
        <v>174</v>
      </c>
      <c r="J105" t="s">
        <v>45</v>
      </c>
      <c r="K105" t="s">
        <v>35</v>
      </c>
      <c r="L105" t="s">
        <v>175</v>
      </c>
      <c r="M105" t="s">
        <v>46</v>
      </c>
      <c r="N105">
        <v>0</v>
      </c>
      <c r="O105">
        <v>0</v>
      </c>
      <c r="P105">
        <v>0</v>
      </c>
      <c r="Q105" s="8">
        <v>11510</v>
      </c>
      <c r="R105" s="4">
        <v>51914.55</v>
      </c>
      <c r="S105" t="str">
        <f t="shared" si="5"/>
        <v>PZ: Alta Crit.</v>
      </c>
      <c r="T105">
        <f t="shared" si="6"/>
        <v>0</v>
      </c>
      <c r="U105">
        <f t="shared" si="7"/>
        <v>0</v>
      </c>
      <c r="V105">
        <f t="shared" si="8"/>
        <v>0</v>
      </c>
      <c r="W105">
        <f t="shared" si="9"/>
        <v>1</v>
      </c>
      <c r="X105">
        <v>1</v>
      </c>
      <c r="Y105" s="2">
        <v>45768</v>
      </c>
      <c r="Z105" s="3" t="s">
        <v>47</v>
      </c>
      <c r="AA105" t="s">
        <v>39</v>
      </c>
      <c r="AB105" t="s">
        <v>76</v>
      </c>
      <c r="AC105" s="5" t="s">
        <v>77</v>
      </c>
      <c r="AD105" t="s">
        <v>176</v>
      </c>
    </row>
    <row r="106" spans="2:30">
      <c r="B106">
        <v>12</v>
      </c>
      <c r="C106">
        <v>1020</v>
      </c>
      <c r="D106" t="s">
        <v>172</v>
      </c>
      <c r="E106">
        <v>10046936</v>
      </c>
      <c r="F106" t="s">
        <v>178</v>
      </c>
      <c r="G106" t="s">
        <v>31</v>
      </c>
      <c r="H106" t="s">
        <v>60</v>
      </c>
      <c r="I106" t="s">
        <v>174</v>
      </c>
      <c r="J106" t="s">
        <v>45</v>
      </c>
      <c r="K106" t="s">
        <v>35</v>
      </c>
      <c r="L106" t="s">
        <v>175</v>
      </c>
      <c r="M106" t="s">
        <v>46</v>
      </c>
      <c r="N106">
        <v>0</v>
      </c>
      <c r="O106">
        <v>0</v>
      </c>
      <c r="P106" s="8">
        <v>3000</v>
      </c>
      <c r="Q106" s="8">
        <v>3090</v>
      </c>
      <c r="R106" s="4">
        <v>16743.419999999998</v>
      </c>
      <c r="S106" t="str">
        <f t="shared" si="5"/>
        <v>PX: Baja Crit.</v>
      </c>
      <c r="T106">
        <f t="shared" si="6"/>
        <v>0</v>
      </c>
      <c r="U106">
        <f t="shared" si="7"/>
        <v>0</v>
      </c>
      <c r="V106">
        <f t="shared" si="8"/>
        <v>0</v>
      </c>
      <c r="W106">
        <f t="shared" si="9"/>
        <v>1</v>
      </c>
      <c r="X106">
        <v>1</v>
      </c>
      <c r="Y106" s="2">
        <v>45768</v>
      </c>
      <c r="Z106" s="3" t="s">
        <v>47</v>
      </c>
      <c r="AA106" t="s">
        <v>39</v>
      </c>
      <c r="AB106" t="s">
        <v>76</v>
      </c>
      <c r="AC106" s="5" t="s">
        <v>77</v>
      </c>
      <c r="AD106" t="s">
        <v>176</v>
      </c>
    </row>
    <row r="107" spans="2:30">
      <c r="B107">
        <v>12</v>
      </c>
      <c r="C107">
        <v>1020</v>
      </c>
      <c r="D107" t="s">
        <v>172</v>
      </c>
      <c r="E107">
        <v>10048541</v>
      </c>
      <c r="F107" t="s">
        <v>179</v>
      </c>
      <c r="G107" t="s">
        <v>52</v>
      </c>
      <c r="H107" t="s">
        <v>60</v>
      </c>
      <c r="I107" t="s">
        <v>174</v>
      </c>
      <c r="J107" t="s">
        <v>45</v>
      </c>
      <c r="K107" t="s">
        <v>35</v>
      </c>
      <c r="L107" t="s">
        <v>175</v>
      </c>
      <c r="M107" t="s">
        <v>46</v>
      </c>
      <c r="N107">
        <v>0</v>
      </c>
      <c r="O107">
        <v>0</v>
      </c>
      <c r="P107" s="8">
        <v>2000</v>
      </c>
      <c r="Q107" s="8">
        <v>10606</v>
      </c>
      <c r="R107" s="4">
        <v>407991.96</v>
      </c>
      <c r="S107" t="str">
        <f t="shared" si="5"/>
        <v>PZ: Alta Crit.</v>
      </c>
      <c r="T107">
        <f t="shared" si="6"/>
        <v>0</v>
      </c>
      <c r="U107">
        <f t="shared" si="7"/>
        <v>0</v>
      </c>
      <c r="V107">
        <f t="shared" si="8"/>
        <v>0</v>
      </c>
      <c r="W107">
        <f t="shared" si="9"/>
        <v>1</v>
      </c>
      <c r="X107">
        <v>1</v>
      </c>
      <c r="Y107" s="2">
        <v>45768</v>
      </c>
      <c r="Z107" s="3" t="s">
        <v>47</v>
      </c>
      <c r="AA107" t="s">
        <v>39</v>
      </c>
      <c r="AB107" t="s">
        <v>49</v>
      </c>
      <c r="AC107" s="5" t="s">
        <v>50</v>
      </c>
      <c r="AD107" t="s">
        <v>176</v>
      </c>
    </row>
    <row r="108" spans="2:30">
      <c r="B108">
        <v>12</v>
      </c>
      <c r="C108">
        <v>1020</v>
      </c>
      <c r="D108" t="s">
        <v>172</v>
      </c>
      <c r="E108">
        <v>10048800</v>
      </c>
      <c r="F108" t="s">
        <v>180</v>
      </c>
      <c r="G108" t="s">
        <v>31</v>
      </c>
      <c r="H108" t="s">
        <v>32</v>
      </c>
      <c r="I108" t="s">
        <v>174</v>
      </c>
      <c r="J108" t="s">
        <v>45</v>
      </c>
      <c r="K108" t="s">
        <v>35</v>
      </c>
      <c r="L108" t="s">
        <v>175</v>
      </c>
      <c r="M108" t="s">
        <v>46</v>
      </c>
      <c r="N108">
        <v>0</v>
      </c>
      <c r="O108">
        <v>0</v>
      </c>
      <c r="P108">
        <v>0</v>
      </c>
      <c r="Q108" s="8">
        <v>7025</v>
      </c>
      <c r="R108" s="4">
        <v>59134.9</v>
      </c>
      <c r="S108" t="str">
        <f t="shared" si="5"/>
        <v>PX: Baja Crit.</v>
      </c>
      <c r="T108">
        <f t="shared" si="6"/>
        <v>0</v>
      </c>
      <c r="U108">
        <f t="shared" si="7"/>
        <v>0</v>
      </c>
      <c r="V108">
        <f t="shared" si="8"/>
        <v>0</v>
      </c>
      <c r="W108">
        <f t="shared" si="9"/>
        <v>1</v>
      </c>
      <c r="X108">
        <v>1</v>
      </c>
      <c r="Y108" s="2">
        <v>45768</v>
      </c>
      <c r="Z108" s="3" t="s">
        <v>47</v>
      </c>
      <c r="AA108" t="s">
        <v>39</v>
      </c>
      <c r="AB108" t="s">
        <v>40</v>
      </c>
      <c r="AC108" t="s">
        <v>40</v>
      </c>
      <c r="AD108" t="s">
        <v>176</v>
      </c>
    </row>
    <row r="109" spans="2:30">
      <c r="B109">
        <v>12</v>
      </c>
      <c r="C109">
        <v>1020</v>
      </c>
      <c r="D109" t="s">
        <v>181</v>
      </c>
      <c r="E109">
        <v>10716395</v>
      </c>
      <c r="F109" t="s">
        <v>182</v>
      </c>
      <c r="G109" t="s">
        <v>31</v>
      </c>
      <c r="H109" t="s">
        <v>32</v>
      </c>
      <c r="I109" t="s">
        <v>183</v>
      </c>
      <c r="J109" t="s">
        <v>45</v>
      </c>
      <c r="K109" t="s">
        <v>35</v>
      </c>
      <c r="L109" t="s">
        <v>36</v>
      </c>
      <c r="M109" t="s">
        <v>55</v>
      </c>
      <c r="N109">
        <v>10</v>
      </c>
      <c r="O109">
        <v>5</v>
      </c>
      <c r="P109">
        <v>0</v>
      </c>
      <c r="Q109">
        <v>60</v>
      </c>
      <c r="R109">
        <v>412.8</v>
      </c>
      <c r="S109" t="str">
        <f t="shared" si="5"/>
        <v>PX: Baja Crit.</v>
      </c>
      <c r="T109">
        <f t="shared" si="6"/>
        <v>0</v>
      </c>
      <c r="U109">
        <f t="shared" si="7"/>
        <v>0</v>
      </c>
      <c r="V109">
        <f t="shared" si="8"/>
        <v>0</v>
      </c>
      <c r="W109">
        <f t="shared" si="9"/>
        <v>1</v>
      </c>
      <c r="X109">
        <v>1</v>
      </c>
      <c r="Y109" s="2">
        <v>45768</v>
      </c>
      <c r="Z109" s="3" t="s">
        <v>56</v>
      </c>
      <c r="AA109" t="s">
        <v>39</v>
      </c>
      <c r="AB109" t="s">
        <v>40</v>
      </c>
      <c r="AC109" t="s">
        <v>40</v>
      </c>
      <c r="AD109" t="s">
        <v>184</v>
      </c>
    </row>
    <row r="110" spans="2:30">
      <c r="B110">
        <v>12</v>
      </c>
      <c r="C110">
        <v>1020</v>
      </c>
      <c r="D110" t="s">
        <v>181</v>
      </c>
      <c r="E110">
        <v>10716401</v>
      </c>
      <c r="F110" t="s">
        <v>185</v>
      </c>
      <c r="G110" t="s">
        <v>31</v>
      </c>
      <c r="H110" t="s">
        <v>32</v>
      </c>
      <c r="I110" t="s">
        <v>183</v>
      </c>
      <c r="J110" t="s">
        <v>45</v>
      </c>
      <c r="K110" t="s">
        <v>35</v>
      </c>
      <c r="L110" t="s">
        <v>36</v>
      </c>
      <c r="M110" t="s">
        <v>55</v>
      </c>
      <c r="N110">
        <v>10</v>
      </c>
      <c r="O110">
        <v>5</v>
      </c>
      <c r="P110">
        <v>0</v>
      </c>
      <c r="Q110">
        <v>25</v>
      </c>
      <c r="R110">
        <v>117</v>
      </c>
      <c r="S110" t="str">
        <f t="shared" si="5"/>
        <v>PX: Baja Crit.</v>
      </c>
      <c r="T110">
        <f t="shared" si="6"/>
        <v>0</v>
      </c>
      <c r="U110">
        <f t="shared" si="7"/>
        <v>0</v>
      </c>
      <c r="V110">
        <f t="shared" si="8"/>
        <v>0</v>
      </c>
      <c r="W110">
        <f t="shared" si="9"/>
        <v>1</v>
      </c>
      <c r="X110">
        <v>1</v>
      </c>
      <c r="Y110" s="2">
        <v>45768</v>
      </c>
      <c r="Z110" s="3" t="s">
        <v>56</v>
      </c>
      <c r="AA110" t="s">
        <v>39</v>
      </c>
      <c r="AB110" t="s">
        <v>40</v>
      </c>
      <c r="AC110" t="s">
        <v>40</v>
      </c>
      <c r="AD110" t="s">
        <v>184</v>
      </c>
    </row>
    <row r="111" spans="2:30">
      <c r="B111">
        <v>11</v>
      </c>
      <c r="C111">
        <v>1020</v>
      </c>
      <c r="D111" t="s">
        <v>29</v>
      </c>
      <c r="E111">
        <v>10045231</v>
      </c>
      <c r="F111" t="s">
        <v>186</v>
      </c>
      <c r="G111" t="s">
        <v>31</v>
      </c>
      <c r="H111" t="s">
        <v>32</v>
      </c>
      <c r="I111" t="s">
        <v>33</v>
      </c>
      <c r="J111" t="s">
        <v>34</v>
      </c>
      <c r="K111" t="s">
        <v>35</v>
      </c>
      <c r="L111" t="s">
        <v>36</v>
      </c>
      <c r="M111" t="s">
        <v>88</v>
      </c>
      <c r="N111">
        <v>70</v>
      </c>
      <c r="O111">
        <v>41</v>
      </c>
      <c r="P111">
        <v>17</v>
      </c>
      <c r="Q111">
        <v>84</v>
      </c>
      <c r="R111">
        <v>159</v>
      </c>
      <c r="S111" t="str">
        <f t="shared" si="5"/>
        <v>PX: Baja Crit.</v>
      </c>
      <c r="T111">
        <f t="shared" si="6"/>
        <v>0</v>
      </c>
      <c r="U111">
        <f t="shared" si="7"/>
        <v>0</v>
      </c>
      <c r="V111">
        <f t="shared" si="8"/>
        <v>0</v>
      </c>
      <c r="W111">
        <f t="shared" si="9"/>
        <v>1</v>
      </c>
      <c r="X111">
        <v>1</v>
      </c>
      <c r="Y111" s="2">
        <v>45768</v>
      </c>
      <c r="Z111" s="3" t="s">
        <v>89</v>
      </c>
      <c r="AA111" t="s">
        <v>39</v>
      </c>
      <c r="AB111" t="s">
        <v>40</v>
      </c>
      <c r="AC111" t="s">
        <v>40</v>
      </c>
      <c r="AD111" t="s">
        <v>41</v>
      </c>
    </row>
    <row r="112" spans="2:30">
      <c r="B112">
        <v>11</v>
      </c>
      <c r="C112">
        <v>1020</v>
      </c>
      <c r="D112" t="s">
        <v>29</v>
      </c>
      <c r="E112">
        <v>10051772</v>
      </c>
      <c r="F112" t="s">
        <v>187</v>
      </c>
      <c r="G112" t="s">
        <v>31</v>
      </c>
      <c r="H112" t="s">
        <v>32</v>
      </c>
      <c r="I112" t="s">
        <v>33</v>
      </c>
      <c r="J112" t="s">
        <v>34</v>
      </c>
      <c r="K112" t="s">
        <v>35</v>
      </c>
      <c r="L112" t="s">
        <v>36</v>
      </c>
      <c r="M112" t="s">
        <v>37</v>
      </c>
      <c r="N112">
        <v>40</v>
      </c>
      <c r="O112">
        <v>21</v>
      </c>
      <c r="P112">
        <v>9</v>
      </c>
      <c r="Q112">
        <v>35</v>
      </c>
      <c r="R112">
        <v>367.49</v>
      </c>
      <c r="S112" t="str">
        <f t="shared" si="5"/>
        <v>PX: Baja Crit.</v>
      </c>
      <c r="T112">
        <f t="shared" si="6"/>
        <v>0</v>
      </c>
      <c r="U112">
        <f t="shared" si="7"/>
        <v>0</v>
      </c>
      <c r="V112">
        <f t="shared" si="8"/>
        <v>1</v>
      </c>
      <c r="W112">
        <f t="shared" si="9"/>
        <v>0</v>
      </c>
      <c r="X112">
        <v>1</v>
      </c>
      <c r="Y112" s="2">
        <v>45768</v>
      </c>
      <c r="Z112" s="3" t="s">
        <v>38</v>
      </c>
      <c r="AA112" t="s">
        <v>39</v>
      </c>
      <c r="AB112" t="s">
        <v>40</v>
      </c>
      <c r="AC112" t="s">
        <v>40</v>
      </c>
      <c r="AD112" t="s">
        <v>41</v>
      </c>
    </row>
    <row r="113" spans="2:30">
      <c r="B113">
        <v>11</v>
      </c>
      <c r="C113">
        <v>1020</v>
      </c>
      <c r="D113" t="s">
        <v>29</v>
      </c>
      <c r="E113">
        <v>10284530</v>
      </c>
      <c r="F113" t="s">
        <v>188</v>
      </c>
      <c r="G113" t="s">
        <v>43</v>
      </c>
      <c r="H113" t="s">
        <v>44</v>
      </c>
      <c r="I113" t="s">
        <v>33</v>
      </c>
      <c r="J113" t="s">
        <v>34</v>
      </c>
      <c r="K113" t="s">
        <v>35</v>
      </c>
      <c r="L113" t="s">
        <v>36</v>
      </c>
      <c r="M113" t="s">
        <v>117</v>
      </c>
      <c r="N113">
        <v>12</v>
      </c>
      <c r="O113">
        <v>8</v>
      </c>
      <c r="P113">
        <v>4</v>
      </c>
      <c r="Q113">
        <v>12</v>
      </c>
      <c r="R113" s="4">
        <v>12247.05</v>
      </c>
      <c r="S113" t="str">
        <f t="shared" si="5"/>
        <v>PY: Media Crit.</v>
      </c>
      <c r="T113">
        <f t="shared" si="6"/>
        <v>0</v>
      </c>
      <c r="U113">
        <f t="shared" si="7"/>
        <v>0</v>
      </c>
      <c r="V113">
        <f t="shared" si="8"/>
        <v>1</v>
      </c>
      <c r="W113">
        <f t="shared" si="9"/>
        <v>0</v>
      </c>
      <c r="X113">
        <v>1</v>
      </c>
      <c r="Y113" s="2">
        <v>45768</v>
      </c>
      <c r="Z113" s="3" t="s">
        <v>118</v>
      </c>
      <c r="AA113" t="s">
        <v>39</v>
      </c>
      <c r="AB113" t="s">
        <v>40</v>
      </c>
      <c r="AC113" t="s">
        <v>40</v>
      </c>
      <c r="AD113" t="s">
        <v>41</v>
      </c>
    </row>
    <row r="114" spans="2:30">
      <c r="B114">
        <v>11</v>
      </c>
      <c r="C114">
        <v>1020</v>
      </c>
      <c r="D114" t="s">
        <v>29</v>
      </c>
      <c r="E114">
        <v>10307382</v>
      </c>
      <c r="F114" t="s">
        <v>189</v>
      </c>
      <c r="G114" t="s">
        <v>31</v>
      </c>
      <c r="H114" t="s">
        <v>44</v>
      </c>
      <c r="I114" t="s">
        <v>33</v>
      </c>
      <c r="J114" t="s">
        <v>34</v>
      </c>
      <c r="K114" t="s">
        <v>35</v>
      </c>
      <c r="L114" t="s">
        <v>36</v>
      </c>
      <c r="M114" t="s">
        <v>46</v>
      </c>
      <c r="N114">
        <v>21</v>
      </c>
      <c r="O114">
        <v>11</v>
      </c>
      <c r="P114">
        <v>8</v>
      </c>
      <c r="Q114">
        <v>83</v>
      </c>
      <c r="R114" s="4">
        <v>9149.64</v>
      </c>
      <c r="S114" t="str">
        <f t="shared" si="5"/>
        <v>PX: Baja Crit.</v>
      </c>
      <c r="T114">
        <f t="shared" si="6"/>
        <v>0</v>
      </c>
      <c r="U114">
        <f t="shared" si="7"/>
        <v>0</v>
      </c>
      <c r="V114">
        <f t="shared" si="8"/>
        <v>0</v>
      </c>
      <c r="W114">
        <f t="shared" si="9"/>
        <v>1</v>
      </c>
      <c r="X114">
        <v>1</v>
      </c>
      <c r="Y114" s="2">
        <v>45768</v>
      </c>
      <c r="Z114" s="3" t="s">
        <v>47</v>
      </c>
      <c r="AA114" t="s">
        <v>39</v>
      </c>
      <c r="AB114" t="s">
        <v>49</v>
      </c>
      <c r="AC114" s="5" t="s">
        <v>50</v>
      </c>
      <c r="AD114" t="s">
        <v>41</v>
      </c>
    </row>
    <row r="115" spans="2:30">
      <c r="B115">
        <v>11</v>
      </c>
      <c r="C115">
        <v>1020</v>
      </c>
      <c r="D115" t="s">
        <v>29</v>
      </c>
      <c r="E115">
        <v>14192315</v>
      </c>
      <c r="F115" t="s">
        <v>190</v>
      </c>
      <c r="G115" t="s">
        <v>43</v>
      </c>
      <c r="H115" t="s">
        <v>44</v>
      </c>
      <c r="I115" t="s">
        <v>33</v>
      </c>
      <c r="J115" t="s">
        <v>45</v>
      </c>
      <c r="K115" t="s">
        <v>35</v>
      </c>
      <c r="L115" t="s">
        <v>36</v>
      </c>
      <c r="M115" t="s">
        <v>46</v>
      </c>
      <c r="N115">
        <v>25</v>
      </c>
      <c r="O115">
        <v>13</v>
      </c>
      <c r="P115">
        <v>0</v>
      </c>
      <c r="Q115">
        <v>380</v>
      </c>
      <c r="R115" s="4">
        <v>20845.599999999999</v>
      </c>
      <c r="S115" t="str">
        <f t="shared" si="5"/>
        <v>PY: Media Crit.</v>
      </c>
      <c r="T115">
        <f t="shared" si="6"/>
        <v>0</v>
      </c>
      <c r="U115">
        <f t="shared" si="7"/>
        <v>0</v>
      </c>
      <c r="V115">
        <f t="shared" si="8"/>
        <v>0</v>
      </c>
      <c r="W115">
        <f t="shared" si="9"/>
        <v>1</v>
      </c>
      <c r="X115">
        <v>1</v>
      </c>
      <c r="Y115" s="2">
        <v>45768</v>
      </c>
      <c r="Z115" s="3" t="s">
        <v>47</v>
      </c>
      <c r="AA115" t="s">
        <v>39</v>
      </c>
      <c r="AB115" t="s">
        <v>40</v>
      </c>
      <c r="AC115" t="s">
        <v>40</v>
      </c>
      <c r="AD115" t="s">
        <v>41</v>
      </c>
    </row>
    <row r="116" spans="2:30">
      <c r="B116">
        <v>11</v>
      </c>
      <c r="C116">
        <v>1020</v>
      </c>
      <c r="D116" t="s">
        <v>29</v>
      </c>
      <c r="E116">
        <v>10041351</v>
      </c>
      <c r="F116" t="s">
        <v>191</v>
      </c>
      <c r="G116" t="s">
        <v>43</v>
      </c>
      <c r="H116" t="s">
        <v>32</v>
      </c>
      <c r="I116" t="s">
        <v>33</v>
      </c>
      <c r="J116" t="s">
        <v>45</v>
      </c>
      <c r="K116" t="s">
        <v>35</v>
      </c>
      <c r="L116" t="s">
        <v>36</v>
      </c>
      <c r="M116" t="s">
        <v>46</v>
      </c>
      <c r="N116">
        <v>10</v>
      </c>
      <c r="O116">
        <v>6</v>
      </c>
      <c r="P116">
        <v>0</v>
      </c>
      <c r="Q116">
        <v>51</v>
      </c>
      <c r="R116" s="4">
        <v>2061.33</v>
      </c>
      <c r="S116" t="str">
        <f t="shared" si="5"/>
        <v>PY: Media Crit.</v>
      </c>
      <c r="T116">
        <f t="shared" si="6"/>
        <v>0</v>
      </c>
      <c r="U116">
        <f t="shared" si="7"/>
        <v>0</v>
      </c>
      <c r="V116">
        <f t="shared" si="8"/>
        <v>0</v>
      </c>
      <c r="W116">
        <f t="shared" si="9"/>
        <v>1</v>
      </c>
      <c r="X116">
        <v>1</v>
      </c>
      <c r="Y116" s="2">
        <v>45768</v>
      </c>
      <c r="Z116" s="3" t="s">
        <v>47</v>
      </c>
      <c r="AA116" t="s">
        <v>39</v>
      </c>
      <c r="AB116" t="s">
        <v>40</v>
      </c>
      <c r="AC116" t="s">
        <v>40</v>
      </c>
      <c r="AD116" t="s">
        <v>41</v>
      </c>
    </row>
    <row r="117" spans="2:30">
      <c r="B117">
        <v>11</v>
      </c>
      <c r="C117">
        <v>1020</v>
      </c>
      <c r="D117" t="s">
        <v>29</v>
      </c>
      <c r="E117">
        <v>10045494</v>
      </c>
      <c r="F117" t="s">
        <v>192</v>
      </c>
      <c r="G117" t="s">
        <v>43</v>
      </c>
      <c r="H117" t="s">
        <v>32</v>
      </c>
      <c r="I117" t="s">
        <v>33</v>
      </c>
      <c r="J117" t="s">
        <v>34</v>
      </c>
      <c r="K117" t="s">
        <v>35</v>
      </c>
      <c r="L117" t="s">
        <v>36</v>
      </c>
      <c r="M117" t="s">
        <v>55</v>
      </c>
      <c r="N117">
        <v>110</v>
      </c>
      <c r="O117">
        <v>61</v>
      </c>
      <c r="P117">
        <v>10</v>
      </c>
      <c r="Q117">
        <v>100</v>
      </c>
      <c r="R117">
        <v>218.74</v>
      </c>
      <c r="S117" t="str">
        <f t="shared" si="5"/>
        <v>PY: Media Crit.</v>
      </c>
      <c r="T117">
        <f t="shared" si="6"/>
        <v>0</v>
      </c>
      <c r="U117">
        <f t="shared" si="7"/>
        <v>0</v>
      </c>
      <c r="V117">
        <f t="shared" si="8"/>
        <v>1</v>
      </c>
      <c r="W117">
        <f t="shared" si="9"/>
        <v>0</v>
      </c>
      <c r="X117">
        <v>1</v>
      </c>
      <c r="Y117" s="2">
        <v>45768</v>
      </c>
      <c r="Z117" s="3" t="s">
        <v>56</v>
      </c>
      <c r="AA117" t="s">
        <v>39</v>
      </c>
      <c r="AB117" t="s">
        <v>40</v>
      </c>
      <c r="AC117" t="s">
        <v>40</v>
      </c>
      <c r="AD117" t="s">
        <v>41</v>
      </c>
    </row>
    <row r="118" spans="2:30">
      <c r="B118">
        <v>11</v>
      </c>
      <c r="C118">
        <v>1020</v>
      </c>
      <c r="D118" t="s">
        <v>29</v>
      </c>
      <c r="E118">
        <v>10048378</v>
      </c>
      <c r="F118" t="s">
        <v>193</v>
      </c>
      <c r="G118" t="s">
        <v>43</v>
      </c>
      <c r="H118" t="s">
        <v>32</v>
      </c>
      <c r="I118" t="s">
        <v>33</v>
      </c>
      <c r="J118" t="s">
        <v>34</v>
      </c>
      <c r="K118" t="s">
        <v>35</v>
      </c>
      <c r="L118" t="s">
        <v>36</v>
      </c>
      <c r="M118" t="s">
        <v>46</v>
      </c>
      <c r="N118">
        <v>200</v>
      </c>
      <c r="O118">
        <v>91</v>
      </c>
      <c r="P118">
        <v>10</v>
      </c>
      <c r="Q118">
        <v>77</v>
      </c>
      <c r="R118" s="4">
        <v>2844.6</v>
      </c>
      <c r="S118" t="str">
        <f t="shared" si="5"/>
        <v>PY: Media Crit.</v>
      </c>
      <c r="T118">
        <f t="shared" si="6"/>
        <v>0</v>
      </c>
      <c r="U118">
        <f t="shared" si="7"/>
        <v>0</v>
      </c>
      <c r="V118">
        <f t="shared" si="8"/>
        <v>1</v>
      </c>
      <c r="W118">
        <f t="shared" si="9"/>
        <v>0</v>
      </c>
      <c r="X118">
        <v>1</v>
      </c>
      <c r="Y118" s="2">
        <v>45768</v>
      </c>
      <c r="Z118" s="3" t="s">
        <v>47</v>
      </c>
      <c r="AA118" t="s">
        <v>39</v>
      </c>
      <c r="AB118" t="s">
        <v>49</v>
      </c>
      <c r="AC118" s="5" t="s">
        <v>50</v>
      </c>
      <c r="AD118" t="s">
        <v>41</v>
      </c>
    </row>
    <row r="119" spans="2:30">
      <c r="B119">
        <v>11</v>
      </c>
      <c r="C119">
        <v>1020</v>
      </c>
      <c r="D119" t="s">
        <v>29</v>
      </c>
      <c r="E119">
        <v>14192314</v>
      </c>
      <c r="F119" t="s">
        <v>194</v>
      </c>
      <c r="G119" t="s">
        <v>31</v>
      </c>
      <c r="H119" t="s">
        <v>60</v>
      </c>
      <c r="I119" t="s">
        <v>33</v>
      </c>
      <c r="J119" t="s">
        <v>45</v>
      </c>
      <c r="K119" t="s">
        <v>35</v>
      </c>
      <c r="L119" t="s">
        <v>36</v>
      </c>
      <c r="M119" t="s">
        <v>46</v>
      </c>
      <c r="N119">
        <v>15</v>
      </c>
      <c r="O119">
        <v>9</v>
      </c>
      <c r="P119">
        <v>0</v>
      </c>
      <c r="Q119">
        <v>76</v>
      </c>
      <c r="R119" s="4">
        <v>4214.01</v>
      </c>
      <c r="S119" t="str">
        <f t="shared" si="5"/>
        <v>PX: Baja Crit.</v>
      </c>
      <c r="T119">
        <f t="shared" si="6"/>
        <v>0</v>
      </c>
      <c r="U119">
        <f t="shared" si="7"/>
        <v>0</v>
      </c>
      <c r="V119">
        <f t="shared" si="8"/>
        <v>0</v>
      </c>
      <c r="W119">
        <f t="shared" si="9"/>
        <v>1</v>
      </c>
      <c r="X119">
        <v>1</v>
      </c>
      <c r="Y119" s="2">
        <v>45768</v>
      </c>
      <c r="Z119" s="3" t="s">
        <v>47</v>
      </c>
      <c r="AA119" t="s">
        <v>39</v>
      </c>
      <c r="AB119" t="s">
        <v>49</v>
      </c>
      <c r="AC119" s="5" t="s">
        <v>50</v>
      </c>
      <c r="AD119" t="s">
        <v>41</v>
      </c>
    </row>
    <row r="120" spans="2:30">
      <c r="B120">
        <v>11</v>
      </c>
      <c r="C120">
        <v>1020</v>
      </c>
      <c r="D120" t="s">
        <v>29</v>
      </c>
      <c r="E120">
        <v>10056969</v>
      </c>
      <c r="F120" t="s">
        <v>195</v>
      </c>
      <c r="G120" t="s">
        <v>43</v>
      </c>
      <c r="H120" t="s">
        <v>32</v>
      </c>
      <c r="I120" t="s">
        <v>33</v>
      </c>
      <c r="J120" t="s">
        <v>34</v>
      </c>
      <c r="K120" t="s">
        <v>35</v>
      </c>
      <c r="L120" t="s">
        <v>36</v>
      </c>
      <c r="M120" t="s">
        <v>88</v>
      </c>
      <c r="N120">
        <v>30</v>
      </c>
      <c r="O120">
        <v>18</v>
      </c>
      <c r="P120">
        <v>12</v>
      </c>
      <c r="Q120">
        <v>29</v>
      </c>
      <c r="R120">
        <v>498.41</v>
      </c>
      <c r="S120" t="str">
        <f t="shared" si="5"/>
        <v>PY: Media Crit.</v>
      </c>
      <c r="T120">
        <f t="shared" si="6"/>
        <v>0</v>
      </c>
      <c r="U120">
        <f t="shared" si="7"/>
        <v>0</v>
      </c>
      <c r="V120">
        <f t="shared" si="8"/>
        <v>1</v>
      </c>
      <c r="W120">
        <f t="shared" si="9"/>
        <v>0</v>
      </c>
      <c r="X120">
        <v>1</v>
      </c>
      <c r="Y120" s="2">
        <v>45768</v>
      </c>
      <c r="Z120" s="3" t="s">
        <v>89</v>
      </c>
      <c r="AA120" t="s">
        <v>39</v>
      </c>
      <c r="AB120" t="s">
        <v>40</v>
      </c>
      <c r="AC120" t="s">
        <v>40</v>
      </c>
      <c r="AD120" t="s">
        <v>41</v>
      </c>
    </row>
    <row r="121" spans="2:30">
      <c r="B121">
        <v>11</v>
      </c>
      <c r="C121">
        <v>1020</v>
      </c>
      <c r="D121" t="s">
        <v>29</v>
      </c>
      <c r="E121">
        <v>10033093</v>
      </c>
      <c r="F121" t="s">
        <v>196</v>
      </c>
      <c r="G121" t="s">
        <v>52</v>
      </c>
      <c r="H121" t="s">
        <v>60</v>
      </c>
      <c r="I121" t="s">
        <v>33</v>
      </c>
      <c r="J121" t="s">
        <v>45</v>
      </c>
      <c r="K121" t="s">
        <v>35</v>
      </c>
      <c r="L121" t="s">
        <v>36</v>
      </c>
      <c r="M121" t="s">
        <v>46</v>
      </c>
      <c r="N121">
        <v>10</v>
      </c>
      <c r="O121">
        <v>8</v>
      </c>
      <c r="P121">
        <v>4</v>
      </c>
      <c r="Q121">
        <v>2</v>
      </c>
      <c r="R121" s="4">
        <v>1929.08</v>
      </c>
      <c r="S121" t="str">
        <f t="shared" si="5"/>
        <v>PZ: Alta Crit.</v>
      </c>
      <c r="T121">
        <f t="shared" si="6"/>
        <v>0</v>
      </c>
      <c r="U121">
        <f t="shared" si="7"/>
        <v>1</v>
      </c>
      <c r="V121">
        <f t="shared" si="8"/>
        <v>0</v>
      </c>
      <c r="W121">
        <f t="shared" si="9"/>
        <v>0</v>
      </c>
      <c r="X121">
        <v>1</v>
      </c>
      <c r="Y121" s="2">
        <v>45768</v>
      </c>
      <c r="Z121" s="3" t="s">
        <v>47</v>
      </c>
      <c r="AA121" t="s">
        <v>39</v>
      </c>
      <c r="AB121" t="s">
        <v>49</v>
      </c>
      <c r="AC121" s="5" t="s">
        <v>50</v>
      </c>
      <c r="AD121" t="s">
        <v>41</v>
      </c>
    </row>
    <row r="122" spans="2:30">
      <c r="B122">
        <v>11</v>
      </c>
      <c r="C122">
        <v>1020</v>
      </c>
      <c r="D122" t="s">
        <v>29</v>
      </c>
      <c r="E122">
        <v>10050035</v>
      </c>
      <c r="F122" t="s">
        <v>197</v>
      </c>
      <c r="G122" t="s">
        <v>31</v>
      </c>
      <c r="H122" t="s">
        <v>32</v>
      </c>
      <c r="I122" t="s">
        <v>33</v>
      </c>
      <c r="J122" t="s">
        <v>34</v>
      </c>
      <c r="K122" t="s">
        <v>35</v>
      </c>
      <c r="L122" t="s">
        <v>36</v>
      </c>
      <c r="M122" t="s">
        <v>37</v>
      </c>
      <c r="N122">
        <v>20</v>
      </c>
      <c r="O122">
        <v>11</v>
      </c>
      <c r="P122">
        <v>4</v>
      </c>
      <c r="Q122">
        <v>16</v>
      </c>
      <c r="R122">
        <v>624</v>
      </c>
      <c r="S122" t="str">
        <f t="shared" si="5"/>
        <v>PX: Baja Crit.</v>
      </c>
      <c r="T122">
        <f t="shared" si="6"/>
        <v>0</v>
      </c>
      <c r="U122">
        <f t="shared" si="7"/>
        <v>0</v>
      </c>
      <c r="V122">
        <f t="shared" si="8"/>
        <v>1</v>
      </c>
      <c r="W122">
        <f t="shared" si="9"/>
        <v>0</v>
      </c>
      <c r="X122">
        <v>1</v>
      </c>
      <c r="Y122" s="2">
        <v>45768</v>
      </c>
      <c r="Z122" s="3" t="s">
        <v>38</v>
      </c>
      <c r="AA122" t="s">
        <v>39</v>
      </c>
      <c r="AB122" t="s">
        <v>40</v>
      </c>
      <c r="AC122" t="s">
        <v>40</v>
      </c>
      <c r="AD122" t="s">
        <v>41</v>
      </c>
    </row>
    <row r="123" spans="2:30">
      <c r="B123">
        <v>11</v>
      </c>
      <c r="C123">
        <v>1020</v>
      </c>
      <c r="D123" t="s">
        <v>29</v>
      </c>
      <c r="E123">
        <v>10040795</v>
      </c>
      <c r="F123" t="s">
        <v>198</v>
      </c>
      <c r="G123" t="s">
        <v>43</v>
      </c>
      <c r="H123" t="s">
        <v>32</v>
      </c>
      <c r="I123" t="s">
        <v>33</v>
      </c>
      <c r="J123" t="s">
        <v>45</v>
      </c>
      <c r="K123" t="s">
        <v>35</v>
      </c>
      <c r="L123" t="s">
        <v>36</v>
      </c>
      <c r="M123" t="s">
        <v>37</v>
      </c>
      <c r="N123">
        <v>50</v>
      </c>
      <c r="O123">
        <v>26</v>
      </c>
      <c r="P123">
        <v>17</v>
      </c>
      <c r="Q123">
        <v>50</v>
      </c>
      <c r="R123" s="4">
        <v>2267.5</v>
      </c>
      <c r="S123" t="str">
        <f t="shared" si="5"/>
        <v>PY: Media Crit.</v>
      </c>
      <c r="T123">
        <f t="shared" si="6"/>
        <v>0</v>
      </c>
      <c r="U123">
        <f t="shared" si="7"/>
        <v>0</v>
      </c>
      <c r="V123">
        <f t="shared" si="8"/>
        <v>1</v>
      </c>
      <c r="W123">
        <f t="shared" si="9"/>
        <v>0</v>
      </c>
      <c r="X123">
        <v>1</v>
      </c>
      <c r="Y123" s="2">
        <v>45768</v>
      </c>
      <c r="Z123" s="3" t="s">
        <v>38</v>
      </c>
      <c r="AA123" t="s">
        <v>39</v>
      </c>
      <c r="AB123" t="s">
        <v>40</v>
      </c>
      <c r="AC123" t="s">
        <v>40</v>
      </c>
      <c r="AD123" t="s">
        <v>41</v>
      </c>
    </row>
    <row r="124" spans="2:30">
      <c r="B124">
        <v>11</v>
      </c>
      <c r="C124">
        <v>1020</v>
      </c>
      <c r="D124" t="s">
        <v>29</v>
      </c>
      <c r="E124">
        <v>10010251</v>
      </c>
      <c r="F124" t="s">
        <v>199</v>
      </c>
      <c r="G124" t="s">
        <v>43</v>
      </c>
      <c r="H124" t="s">
        <v>32</v>
      </c>
      <c r="I124" t="s">
        <v>33</v>
      </c>
      <c r="J124" t="s">
        <v>45</v>
      </c>
      <c r="K124" t="s">
        <v>35</v>
      </c>
      <c r="L124" t="s">
        <v>36</v>
      </c>
      <c r="M124" t="s">
        <v>46</v>
      </c>
      <c r="N124">
        <v>50</v>
      </c>
      <c r="O124">
        <v>31</v>
      </c>
      <c r="P124">
        <v>4</v>
      </c>
      <c r="Q124">
        <v>0</v>
      </c>
      <c r="R124">
        <v>0</v>
      </c>
      <c r="S124" t="str">
        <f t="shared" si="5"/>
        <v>PY: Media Crit.</v>
      </c>
      <c r="T124">
        <f t="shared" si="6"/>
        <v>1</v>
      </c>
      <c r="U124">
        <f t="shared" si="7"/>
        <v>0</v>
      </c>
      <c r="V124">
        <f t="shared" si="8"/>
        <v>0</v>
      </c>
      <c r="W124">
        <f t="shared" si="9"/>
        <v>0</v>
      </c>
      <c r="X124">
        <v>1</v>
      </c>
      <c r="Y124" s="2">
        <v>45768</v>
      </c>
      <c r="Z124" s="3" t="s">
        <v>47</v>
      </c>
      <c r="AA124" t="s">
        <v>39</v>
      </c>
      <c r="AB124" t="s">
        <v>49</v>
      </c>
      <c r="AC124" s="5" t="s">
        <v>50</v>
      </c>
      <c r="AD124" t="s">
        <v>41</v>
      </c>
    </row>
    <row r="125" spans="2:30">
      <c r="B125">
        <v>11</v>
      </c>
      <c r="C125">
        <v>1020</v>
      </c>
      <c r="D125" t="s">
        <v>29</v>
      </c>
      <c r="E125">
        <v>10045475</v>
      </c>
      <c r="F125" t="s">
        <v>200</v>
      </c>
      <c r="G125" t="s">
        <v>31</v>
      </c>
      <c r="H125" t="s">
        <v>32</v>
      </c>
      <c r="I125" t="s">
        <v>33</v>
      </c>
      <c r="J125" t="s">
        <v>34</v>
      </c>
      <c r="K125" t="s">
        <v>35</v>
      </c>
      <c r="L125" t="s">
        <v>36</v>
      </c>
      <c r="M125" t="s">
        <v>55</v>
      </c>
      <c r="N125">
        <v>420</v>
      </c>
      <c r="O125">
        <v>201</v>
      </c>
      <c r="P125">
        <v>100</v>
      </c>
      <c r="Q125">
        <v>361</v>
      </c>
      <c r="R125">
        <v>208.19</v>
      </c>
      <c r="S125" t="str">
        <f t="shared" si="5"/>
        <v>PX: Baja Crit.</v>
      </c>
      <c r="T125">
        <f t="shared" si="6"/>
        <v>0</v>
      </c>
      <c r="U125">
        <f t="shared" si="7"/>
        <v>0</v>
      </c>
      <c r="V125">
        <f t="shared" si="8"/>
        <v>1</v>
      </c>
      <c r="W125">
        <f t="shared" si="9"/>
        <v>0</v>
      </c>
      <c r="X125">
        <v>1</v>
      </c>
      <c r="Y125" s="2">
        <v>45768</v>
      </c>
      <c r="Z125" s="3" t="s">
        <v>56</v>
      </c>
      <c r="AA125" t="s">
        <v>39</v>
      </c>
      <c r="AB125" t="s">
        <v>40</v>
      </c>
      <c r="AC125" t="s">
        <v>40</v>
      </c>
      <c r="AD125" t="s">
        <v>41</v>
      </c>
    </row>
    <row r="126" spans="2:30">
      <c r="B126">
        <v>11</v>
      </c>
      <c r="C126">
        <v>1020</v>
      </c>
      <c r="D126" t="s">
        <v>29</v>
      </c>
      <c r="E126">
        <v>10043958</v>
      </c>
      <c r="F126" t="s">
        <v>201</v>
      </c>
      <c r="G126" t="s">
        <v>31</v>
      </c>
      <c r="H126" t="s">
        <v>32</v>
      </c>
      <c r="I126" t="s">
        <v>33</v>
      </c>
      <c r="J126" t="s">
        <v>34</v>
      </c>
      <c r="K126" t="s">
        <v>35</v>
      </c>
      <c r="L126" t="s">
        <v>36</v>
      </c>
      <c r="M126" t="s">
        <v>46</v>
      </c>
      <c r="N126">
        <v>150</v>
      </c>
      <c r="O126">
        <v>101</v>
      </c>
      <c r="P126">
        <v>10</v>
      </c>
      <c r="Q126">
        <v>200</v>
      </c>
      <c r="R126" s="4">
        <v>2448.81</v>
      </c>
      <c r="S126" t="str">
        <f t="shared" si="5"/>
        <v>PX: Baja Crit.</v>
      </c>
      <c r="T126">
        <f t="shared" si="6"/>
        <v>0</v>
      </c>
      <c r="U126">
        <f t="shared" si="7"/>
        <v>0</v>
      </c>
      <c r="V126">
        <f t="shared" si="8"/>
        <v>0</v>
      </c>
      <c r="W126">
        <f t="shared" si="9"/>
        <v>1</v>
      </c>
      <c r="X126">
        <v>1</v>
      </c>
      <c r="Y126" s="2">
        <v>45768</v>
      </c>
      <c r="Z126" s="3" t="s">
        <v>47</v>
      </c>
      <c r="AA126" t="s">
        <v>39</v>
      </c>
      <c r="AB126" t="s">
        <v>40</v>
      </c>
      <c r="AC126" t="s">
        <v>40</v>
      </c>
      <c r="AD126" t="s">
        <v>41</v>
      </c>
    </row>
    <row r="127" spans="2:30">
      <c r="B127">
        <v>11</v>
      </c>
      <c r="C127">
        <v>1020</v>
      </c>
      <c r="D127" t="s">
        <v>29</v>
      </c>
      <c r="E127">
        <v>10040868</v>
      </c>
      <c r="F127" t="s">
        <v>202</v>
      </c>
      <c r="G127" t="s">
        <v>31</v>
      </c>
      <c r="H127" t="s">
        <v>32</v>
      </c>
      <c r="I127" t="s">
        <v>33</v>
      </c>
      <c r="J127" t="s">
        <v>34</v>
      </c>
      <c r="K127" t="s">
        <v>35</v>
      </c>
      <c r="L127" t="s">
        <v>36</v>
      </c>
      <c r="M127" t="s">
        <v>55</v>
      </c>
      <c r="N127">
        <v>750</v>
      </c>
      <c r="O127">
        <v>401</v>
      </c>
      <c r="P127">
        <v>242</v>
      </c>
      <c r="Q127">
        <v>700</v>
      </c>
      <c r="R127">
        <v>408.65</v>
      </c>
      <c r="S127" t="str">
        <f t="shared" si="5"/>
        <v>PX: Baja Crit.</v>
      </c>
      <c r="T127">
        <f t="shared" si="6"/>
        <v>0</v>
      </c>
      <c r="U127">
        <f t="shared" si="7"/>
        <v>0</v>
      </c>
      <c r="V127">
        <f t="shared" si="8"/>
        <v>1</v>
      </c>
      <c r="W127">
        <f t="shared" si="9"/>
        <v>0</v>
      </c>
      <c r="X127">
        <v>1</v>
      </c>
      <c r="Y127" s="2">
        <v>45768</v>
      </c>
      <c r="Z127" s="3" t="s">
        <v>56</v>
      </c>
      <c r="AA127" t="s">
        <v>39</v>
      </c>
      <c r="AB127" t="s">
        <v>40</v>
      </c>
      <c r="AC127" t="s">
        <v>40</v>
      </c>
      <c r="AD127" t="s">
        <v>41</v>
      </c>
    </row>
    <row r="128" spans="2:30">
      <c r="B128">
        <v>11</v>
      </c>
      <c r="C128">
        <v>1020</v>
      </c>
      <c r="D128" t="s">
        <v>29</v>
      </c>
      <c r="E128">
        <v>10040494</v>
      </c>
      <c r="F128" t="s">
        <v>203</v>
      </c>
      <c r="G128" t="s">
        <v>31</v>
      </c>
      <c r="H128" t="s">
        <v>32</v>
      </c>
      <c r="I128" t="s">
        <v>33</v>
      </c>
      <c r="J128" t="s">
        <v>34</v>
      </c>
      <c r="K128" t="s">
        <v>35</v>
      </c>
      <c r="L128" t="s">
        <v>36</v>
      </c>
      <c r="M128" t="s">
        <v>88</v>
      </c>
      <c r="N128" s="8">
        <v>1800</v>
      </c>
      <c r="O128">
        <v>501</v>
      </c>
      <c r="P128">
        <v>200</v>
      </c>
      <c r="Q128" s="8">
        <v>1600</v>
      </c>
      <c r="R128">
        <v>320</v>
      </c>
      <c r="S128" t="str">
        <f t="shared" si="5"/>
        <v>PX: Baja Crit.</v>
      </c>
      <c r="T128">
        <f t="shared" si="6"/>
        <v>0</v>
      </c>
      <c r="U128">
        <f t="shared" si="7"/>
        <v>0</v>
      </c>
      <c r="V128">
        <f t="shared" si="8"/>
        <v>1</v>
      </c>
      <c r="W128">
        <f t="shared" si="9"/>
        <v>0</v>
      </c>
      <c r="X128">
        <v>1</v>
      </c>
      <c r="Y128" s="2">
        <v>45768</v>
      </c>
      <c r="Z128" s="3" t="s">
        <v>89</v>
      </c>
      <c r="AA128" t="s">
        <v>39</v>
      </c>
      <c r="AB128" t="s">
        <v>40</v>
      </c>
      <c r="AC128" t="s">
        <v>40</v>
      </c>
      <c r="AD128" t="s">
        <v>41</v>
      </c>
    </row>
    <row r="129" spans="2:30">
      <c r="B129">
        <v>11</v>
      </c>
      <c r="C129">
        <v>1020</v>
      </c>
      <c r="D129" t="s">
        <v>29</v>
      </c>
      <c r="E129">
        <v>10048551</v>
      </c>
      <c r="F129" t="s">
        <v>204</v>
      </c>
      <c r="G129" t="s">
        <v>52</v>
      </c>
      <c r="H129" t="s">
        <v>44</v>
      </c>
      <c r="I129" t="s">
        <v>33</v>
      </c>
      <c r="J129" t="s">
        <v>45</v>
      </c>
      <c r="K129" t="s">
        <v>35</v>
      </c>
      <c r="L129" t="s">
        <v>36</v>
      </c>
      <c r="M129" t="s">
        <v>37</v>
      </c>
      <c r="N129">
        <v>80</v>
      </c>
      <c r="O129">
        <v>51</v>
      </c>
      <c r="P129">
        <v>9</v>
      </c>
      <c r="Q129">
        <v>14</v>
      </c>
      <c r="R129" s="4">
        <v>8783.66</v>
      </c>
      <c r="S129" t="str">
        <f t="shared" si="5"/>
        <v>PZ: Alta Crit.</v>
      </c>
      <c r="T129">
        <f t="shared" si="6"/>
        <v>0</v>
      </c>
      <c r="U129">
        <f t="shared" si="7"/>
        <v>0</v>
      </c>
      <c r="V129">
        <f t="shared" si="8"/>
        <v>1</v>
      </c>
      <c r="W129">
        <f t="shared" si="9"/>
        <v>0</v>
      </c>
      <c r="X129">
        <v>1</v>
      </c>
      <c r="Y129" s="2">
        <v>45768</v>
      </c>
      <c r="Z129" s="3" t="s">
        <v>38</v>
      </c>
      <c r="AA129" t="s">
        <v>39</v>
      </c>
      <c r="AB129" t="s">
        <v>76</v>
      </c>
      <c r="AC129" s="5" t="s">
        <v>77</v>
      </c>
      <c r="AD129" t="s">
        <v>41</v>
      </c>
    </row>
    <row r="130" spans="2:30">
      <c r="B130">
        <v>11</v>
      </c>
      <c r="C130">
        <v>1020</v>
      </c>
      <c r="D130" t="s">
        <v>29</v>
      </c>
      <c r="E130">
        <v>10293301</v>
      </c>
      <c r="F130" t="s">
        <v>205</v>
      </c>
      <c r="G130" t="s">
        <v>43</v>
      </c>
      <c r="H130" t="s">
        <v>60</v>
      </c>
      <c r="I130" t="s">
        <v>33</v>
      </c>
      <c r="J130" t="s">
        <v>34</v>
      </c>
      <c r="K130" t="s">
        <v>35</v>
      </c>
      <c r="L130" t="s">
        <v>36</v>
      </c>
      <c r="M130" t="s">
        <v>46</v>
      </c>
      <c r="N130">
        <v>120</v>
      </c>
      <c r="O130">
        <v>61</v>
      </c>
      <c r="P130">
        <v>20</v>
      </c>
      <c r="Q130">
        <v>62</v>
      </c>
      <c r="R130" s="4">
        <v>1506.86</v>
      </c>
      <c r="S130" t="str">
        <f t="shared" ref="S130:S193" si="10">+IF(G130="PZ", "PZ: Alta Crit.",IF(G130="PY","PY: Media Crit.", "PX: Baja Crit."))</f>
        <v>PY: Media Crit.</v>
      </c>
      <c r="T130">
        <f t="shared" ref="T130:T193" si="11">+IF(Q130=0,1,0)</f>
        <v>0</v>
      </c>
      <c r="U130">
        <f t="shared" ref="U130:U193" si="12">+IF(AND(Q130&lt;=P130,Q130&gt;0),1,0)</f>
        <v>0</v>
      </c>
      <c r="V130">
        <f t="shared" ref="V130:V193" si="13">+IF(AND(Q130&gt;P130,Q130&lt;=N130),1,0)</f>
        <v>1</v>
      </c>
      <c r="W130">
        <f t="shared" ref="W130:W193" si="14">+IF(Q130&gt;N130,1,0)</f>
        <v>0</v>
      </c>
      <c r="X130">
        <v>1</v>
      </c>
      <c r="Y130" s="2">
        <v>45768</v>
      </c>
      <c r="Z130" s="3" t="s">
        <v>47</v>
      </c>
      <c r="AA130" t="s">
        <v>39</v>
      </c>
      <c r="AB130" t="s">
        <v>49</v>
      </c>
      <c r="AC130" s="5" t="s">
        <v>50</v>
      </c>
      <c r="AD130" t="s">
        <v>41</v>
      </c>
    </row>
    <row r="131" spans="2:30">
      <c r="B131">
        <v>11</v>
      </c>
      <c r="C131">
        <v>1020</v>
      </c>
      <c r="D131" t="s">
        <v>29</v>
      </c>
      <c r="E131">
        <v>10192127</v>
      </c>
      <c r="F131" t="s">
        <v>206</v>
      </c>
      <c r="G131" t="s">
        <v>31</v>
      </c>
      <c r="H131" t="s">
        <v>32</v>
      </c>
      <c r="I131" t="s">
        <v>33</v>
      </c>
      <c r="J131" t="s">
        <v>34</v>
      </c>
      <c r="K131" t="s">
        <v>35</v>
      </c>
      <c r="L131" t="s">
        <v>36</v>
      </c>
      <c r="M131" t="s">
        <v>37</v>
      </c>
      <c r="N131">
        <v>30</v>
      </c>
      <c r="O131">
        <v>11</v>
      </c>
      <c r="P131">
        <v>4</v>
      </c>
      <c r="Q131">
        <v>19</v>
      </c>
      <c r="R131">
        <v>366.7</v>
      </c>
      <c r="S131" t="str">
        <f t="shared" si="10"/>
        <v>PX: Baja Crit.</v>
      </c>
      <c r="T131">
        <f t="shared" si="11"/>
        <v>0</v>
      </c>
      <c r="U131">
        <f t="shared" si="12"/>
        <v>0</v>
      </c>
      <c r="V131">
        <f t="shared" si="13"/>
        <v>1</v>
      </c>
      <c r="W131">
        <f t="shared" si="14"/>
        <v>0</v>
      </c>
      <c r="X131">
        <v>1</v>
      </c>
      <c r="Y131" s="2">
        <v>45768</v>
      </c>
      <c r="Z131" s="3" t="s">
        <v>38</v>
      </c>
      <c r="AA131" t="s">
        <v>39</v>
      </c>
      <c r="AB131" t="s">
        <v>40</v>
      </c>
      <c r="AC131" t="s">
        <v>40</v>
      </c>
      <c r="AD131" t="s">
        <v>41</v>
      </c>
    </row>
    <row r="132" spans="2:30">
      <c r="B132">
        <v>11</v>
      </c>
      <c r="C132">
        <v>1020</v>
      </c>
      <c r="D132" t="s">
        <v>29</v>
      </c>
      <c r="E132">
        <v>10040489</v>
      </c>
      <c r="F132" t="s">
        <v>207</v>
      </c>
      <c r="G132" t="s">
        <v>31</v>
      </c>
      <c r="H132" t="s">
        <v>32</v>
      </c>
      <c r="I132" t="s">
        <v>33</v>
      </c>
      <c r="J132" t="s">
        <v>34</v>
      </c>
      <c r="K132" t="s">
        <v>35</v>
      </c>
      <c r="L132" t="s">
        <v>36</v>
      </c>
      <c r="M132" t="s">
        <v>88</v>
      </c>
      <c r="N132" s="8">
        <v>1200</v>
      </c>
      <c r="O132">
        <v>701</v>
      </c>
      <c r="P132">
        <v>120</v>
      </c>
      <c r="Q132">
        <v>800</v>
      </c>
      <c r="R132">
        <v>32.01</v>
      </c>
      <c r="S132" t="str">
        <f t="shared" si="10"/>
        <v>PX: Baja Crit.</v>
      </c>
      <c r="T132">
        <f t="shared" si="11"/>
        <v>0</v>
      </c>
      <c r="U132">
        <f t="shared" si="12"/>
        <v>0</v>
      </c>
      <c r="V132">
        <f t="shared" si="13"/>
        <v>1</v>
      </c>
      <c r="W132">
        <f t="shared" si="14"/>
        <v>0</v>
      </c>
      <c r="X132">
        <v>1</v>
      </c>
      <c r="Y132" s="2">
        <v>45768</v>
      </c>
      <c r="Z132" s="3" t="s">
        <v>89</v>
      </c>
      <c r="AA132" t="s">
        <v>39</v>
      </c>
      <c r="AB132" t="s">
        <v>40</v>
      </c>
      <c r="AC132" t="s">
        <v>40</v>
      </c>
      <c r="AD132" t="s">
        <v>41</v>
      </c>
    </row>
    <row r="133" spans="2:30">
      <c r="B133">
        <v>11</v>
      </c>
      <c r="C133">
        <v>1020</v>
      </c>
      <c r="D133" t="s">
        <v>29</v>
      </c>
      <c r="E133">
        <v>10001226</v>
      </c>
      <c r="F133" t="s">
        <v>208</v>
      </c>
      <c r="G133" t="s">
        <v>31</v>
      </c>
      <c r="H133" t="s">
        <v>32</v>
      </c>
      <c r="I133" t="s">
        <v>33</v>
      </c>
      <c r="J133" t="s">
        <v>34</v>
      </c>
      <c r="K133" t="s">
        <v>35</v>
      </c>
      <c r="L133" t="s">
        <v>36</v>
      </c>
      <c r="M133" t="s">
        <v>88</v>
      </c>
      <c r="N133">
        <v>50</v>
      </c>
      <c r="O133">
        <v>21</v>
      </c>
      <c r="P133">
        <v>10</v>
      </c>
      <c r="Q133">
        <v>90</v>
      </c>
      <c r="R133">
        <v>315.76</v>
      </c>
      <c r="S133" t="str">
        <f t="shared" si="10"/>
        <v>PX: Baja Crit.</v>
      </c>
      <c r="T133">
        <f t="shared" si="11"/>
        <v>0</v>
      </c>
      <c r="U133">
        <f t="shared" si="12"/>
        <v>0</v>
      </c>
      <c r="V133">
        <f t="shared" si="13"/>
        <v>0</v>
      </c>
      <c r="W133">
        <f t="shared" si="14"/>
        <v>1</v>
      </c>
      <c r="X133">
        <v>1</v>
      </c>
      <c r="Y133" s="2">
        <v>45768</v>
      </c>
      <c r="Z133" s="3" t="s">
        <v>89</v>
      </c>
      <c r="AA133" t="s">
        <v>39</v>
      </c>
      <c r="AB133" t="s">
        <v>40</v>
      </c>
      <c r="AC133" t="s">
        <v>40</v>
      </c>
      <c r="AD133" t="s">
        <v>41</v>
      </c>
    </row>
    <row r="134" spans="2:30">
      <c r="B134">
        <v>11</v>
      </c>
      <c r="C134">
        <v>1020</v>
      </c>
      <c r="D134" t="s">
        <v>29</v>
      </c>
      <c r="E134">
        <v>10044797</v>
      </c>
      <c r="F134" t="s">
        <v>209</v>
      </c>
      <c r="G134" t="s">
        <v>52</v>
      </c>
      <c r="H134" t="s">
        <v>44</v>
      </c>
      <c r="I134" t="s">
        <v>33</v>
      </c>
      <c r="J134" t="s">
        <v>34</v>
      </c>
      <c r="K134" t="s">
        <v>35</v>
      </c>
      <c r="L134" t="s">
        <v>36</v>
      </c>
      <c r="M134" t="s">
        <v>117</v>
      </c>
      <c r="N134">
        <v>50</v>
      </c>
      <c r="O134">
        <v>32</v>
      </c>
      <c r="P134">
        <v>18</v>
      </c>
      <c r="Q134">
        <v>22</v>
      </c>
      <c r="R134" s="4">
        <v>1435.35</v>
      </c>
      <c r="S134" t="str">
        <f t="shared" si="10"/>
        <v>PZ: Alta Crit.</v>
      </c>
      <c r="T134">
        <f t="shared" si="11"/>
        <v>0</v>
      </c>
      <c r="U134">
        <f t="shared" si="12"/>
        <v>0</v>
      </c>
      <c r="V134">
        <f t="shared" si="13"/>
        <v>1</v>
      </c>
      <c r="W134">
        <f t="shared" si="14"/>
        <v>0</v>
      </c>
      <c r="X134">
        <v>1</v>
      </c>
      <c r="Y134" s="2">
        <v>45768</v>
      </c>
      <c r="Z134" s="3" t="s">
        <v>118</v>
      </c>
      <c r="AA134" t="s">
        <v>39</v>
      </c>
      <c r="AB134" t="s">
        <v>40</v>
      </c>
      <c r="AC134" t="s">
        <v>40</v>
      </c>
      <c r="AD134" t="s">
        <v>41</v>
      </c>
    </row>
    <row r="135" spans="2:30">
      <c r="B135">
        <v>11</v>
      </c>
      <c r="C135">
        <v>1020</v>
      </c>
      <c r="D135" t="s">
        <v>29</v>
      </c>
      <c r="E135">
        <v>10049132</v>
      </c>
      <c r="F135" t="s">
        <v>210</v>
      </c>
      <c r="G135" t="s">
        <v>31</v>
      </c>
      <c r="H135" t="s">
        <v>32</v>
      </c>
      <c r="I135" t="s">
        <v>33</v>
      </c>
      <c r="J135" t="s">
        <v>34</v>
      </c>
      <c r="K135" t="s">
        <v>35</v>
      </c>
      <c r="L135" t="s">
        <v>36</v>
      </c>
      <c r="M135" t="s">
        <v>37</v>
      </c>
      <c r="N135">
        <v>8</v>
      </c>
      <c r="O135">
        <v>5</v>
      </c>
      <c r="P135">
        <v>1</v>
      </c>
      <c r="Q135">
        <v>2</v>
      </c>
      <c r="R135">
        <v>50</v>
      </c>
      <c r="S135" t="str">
        <f t="shared" si="10"/>
        <v>PX: Baja Crit.</v>
      </c>
      <c r="T135">
        <f t="shared" si="11"/>
        <v>0</v>
      </c>
      <c r="U135">
        <f t="shared" si="12"/>
        <v>0</v>
      </c>
      <c r="V135">
        <f t="shared" si="13"/>
        <v>1</v>
      </c>
      <c r="W135">
        <f t="shared" si="14"/>
        <v>0</v>
      </c>
      <c r="X135">
        <v>1</v>
      </c>
      <c r="Y135" s="2">
        <v>45768</v>
      </c>
      <c r="Z135" s="3" t="s">
        <v>38</v>
      </c>
      <c r="AA135" t="s">
        <v>39</v>
      </c>
      <c r="AB135" t="s">
        <v>76</v>
      </c>
      <c r="AC135" s="5" t="s">
        <v>77</v>
      </c>
      <c r="AD135" t="s">
        <v>41</v>
      </c>
    </row>
    <row r="136" spans="2:30">
      <c r="B136">
        <v>11</v>
      </c>
      <c r="C136">
        <v>1020</v>
      </c>
      <c r="D136" t="s">
        <v>29</v>
      </c>
      <c r="E136">
        <v>10048483</v>
      </c>
      <c r="F136" t="s">
        <v>211</v>
      </c>
      <c r="G136" t="s">
        <v>52</v>
      </c>
      <c r="H136" t="s">
        <v>44</v>
      </c>
      <c r="I136" t="s">
        <v>33</v>
      </c>
      <c r="J136" t="s">
        <v>45</v>
      </c>
      <c r="K136" t="s">
        <v>62</v>
      </c>
      <c r="L136" t="s">
        <v>36</v>
      </c>
      <c r="M136" t="s">
        <v>46</v>
      </c>
      <c r="N136">
        <v>10</v>
      </c>
      <c r="O136">
        <v>6</v>
      </c>
      <c r="P136">
        <v>5</v>
      </c>
      <c r="Q136">
        <v>105</v>
      </c>
      <c r="R136" s="4">
        <v>10108.31</v>
      </c>
      <c r="S136" t="str">
        <f t="shared" si="10"/>
        <v>PZ: Alta Crit.</v>
      </c>
      <c r="T136">
        <f t="shared" si="11"/>
        <v>0</v>
      </c>
      <c r="U136">
        <f t="shared" si="12"/>
        <v>0</v>
      </c>
      <c r="V136">
        <f t="shared" si="13"/>
        <v>0</v>
      </c>
      <c r="W136">
        <f t="shared" si="14"/>
        <v>1</v>
      </c>
      <c r="X136">
        <v>1</v>
      </c>
      <c r="Y136" s="2">
        <v>45768</v>
      </c>
      <c r="Z136" s="3" t="s">
        <v>47</v>
      </c>
      <c r="AA136" t="s">
        <v>39</v>
      </c>
      <c r="AB136" t="s">
        <v>40</v>
      </c>
      <c r="AC136" t="s">
        <v>40</v>
      </c>
      <c r="AD136" t="s">
        <v>41</v>
      </c>
    </row>
    <row r="137" spans="2:30">
      <c r="B137">
        <v>11</v>
      </c>
      <c r="C137">
        <v>1020</v>
      </c>
      <c r="D137" t="s">
        <v>29</v>
      </c>
      <c r="E137">
        <v>10055762</v>
      </c>
      <c r="F137" t="s">
        <v>212</v>
      </c>
      <c r="G137" t="s">
        <v>31</v>
      </c>
      <c r="H137" t="s">
        <v>32</v>
      </c>
      <c r="I137" t="s">
        <v>33</v>
      </c>
      <c r="J137" t="s">
        <v>34</v>
      </c>
      <c r="K137" t="s">
        <v>35</v>
      </c>
      <c r="L137" t="s">
        <v>36</v>
      </c>
      <c r="M137" t="s">
        <v>37</v>
      </c>
      <c r="N137">
        <v>20</v>
      </c>
      <c r="O137">
        <v>11</v>
      </c>
      <c r="P137">
        <v>4</v>
      </c>
      <c r="Q137">
        <v>20</v>
      </c>
      <c r="R137">
        <v>290</v>
      </c>
      <c r="S137" t="str">
        <f t="shared" si="10"/>
        <v>PX: Baja Crit.</v>
      </c>
      <c r="T137">
        <f t="shared" si="11"/>
        <v>0</v>
      </c>
      <c r="U137">
        <f t="shared" si="12"/>
        <v>0</v>
      </c>
      <c r="V137">
        <f t="shared" si="13"/>
        <v>1</v>
      </c>
      <c r="W137">
        <f t="shared" si="14"/>
        <v>0</v>
      </c>
      <c r="X137">
        <v>1</v>
      </c>
      <c r="Y137" s="2">
        <v>45768</v>
      </c>
      <c r="Z137" s="3" t="s">
        <v>38</v>
      </c>
      <c r="AA137" t="s">
        <v>39</v>
      </c>
      <c r="AB137" t="s">
        <v>40</v>
      </c>
      <c r="AC137" t="s">
        <v>40</v>
      </c>
      <c r="AD137" t="s">
        <v>41</v>
      </c>
    </row>
    <row r="138" spans="2:30">
      <c r="B138">
        <v>11</v>
      </c>
      <c r="C138">
        <v>1020</v>
      </c>
      <c r="D138" t="s">
        <v>29</v>
      </c>
      <c r="E138">
        <v>10057250</v>
      </c>
      <c r="F138" t="s">
        <v>213</v>
      </c>
      <c r="G138" t="s">
        <v>31</v>
      </c>
      <c r="H138" t="s">
        <v>32</v>
      </c>
      <c r="I138" t="s">
        <v>33</v>
      </c>
      <c r="J138" t="s">
        <v>34</v>
      </c>
      <c r="K138" t="s">
        <v>35</v>
      </c>
      <c r="L138" t="s">
        <v>36</v>
      </c>
      <c r="M138" t="s">
        <v>88</v>
      </c>
      <c r="N138">
        <v>70</v>
      </c>
      <c r="O138">
        <v>41</v>
      </c>
      <c r="P138">
        <v>10</v>
      </c>
      <c r="Q138">
        <v>52</v>
      </c>
      <c r="R138" s="4">
        <v>1492.4</v>
      </c>
      <c r="S138" t="str">
        <f t="shared" si="10"/>
        <v>PX: Baja Crit.</v>
      </c>
      <c r="T138">
        <f t="shared" si="11"/>
        <v>0</v>
      </c>
      <c r="U138">
        <f t="shared" si="12"/>
        <v>0</v>
      </c>
      <c r="V138">
        <f t="shared" si="13"/>
        <v>1</v>
      </c>
      <c r="W138">
        <f t="shared" si="14"/>
        <v>0</v>
      </c>
      <c r="X138">
        <v>1</v>
      </c>
      <c r="Y138" s="2">
        <v>45768</v>
      </c>
      <c r="Z138" s="3" t="s">
        <v>89</v>
      </c>
      <c r="AA138" t="s">
        <v>39</v>
      </c>
      <c r="AB138" t="s">
        <v>40</v>
      </c>
      <c r="AC138" t="s">
        <v>40</v>
      </c>
      <c r="AD138" t="s">
        <v>41</v>
      </c>
    </row>
    <row r="139" spans="2:30">
      <c r="B139">
        <v>11</v>
      </c>
      <c r="C139">
        <v>1020</v>
      </c>
      <c r="D139" t="s">
        <v>29</v>
      </c>
      <c r="E139">
        <v>10040852</v>
      </c>
      <c r="F139" t="s">
        <v>214</v>
      </c>
      <c r="G139" t="s">
        <v>31</v>
      </c>
      <c r="H139" t="s">
        <v>32</v>
      </c>
      <c r="I139" t="s">
        <v>33</v>
      </c>
      <c r="J139" t="s">
        <v>34</v>
      </c>
      <c r="K139" t="s">
        <v>35</v>
      </c>
      <c r="L139" t="s">
        <v>36</v>
      </c>
      <c r="M139" t="s">
        <v>55</v>
      </c>
      <c r="N139">
        <v>200</v>
      </c>
      <c r="O139">
        <v>101</v>
      </c>
      <c r="P139">
        <v>10</v>
      </c>
      <c r="Q139">
        <v>200</v>
      </c>
      <c r="R139">
        <v>29.78</v>
      </c>
      <c r="S139" t="str">
        <f t="shared" si="10"/>
        <v>PX: Baja Crit.</v>
      </c>
      <c r="T139">
        <f t="shared" si="11"/>
        <v>0</v>
      </c>
      <c r="U139">
        <f t="shared" si="12"/>
        <v>0</v>
      </c>
      <c r="V139">
        <f t="shared" si="13"/>
        <v>1</v>
      </c>
      <c r="W139">
        <f t="shared" si="14"/>
        <v>0</v>
      </c>
      <c r="X139">
        <v>1</v>
      </c>
      <c r="Y139" s="2">
        <v>45768</v>
      </c>
      <c r="Z139" s="3" t="s">
        <v>56</v>
      </c>
      <c r="AA139" t="s">
        <v>39</v>
      </c>
      <c r="AB139" t="s">
        <v>40</v>
      </c>
      <c r="AC139" t="s">
        <v>40</v>
      </c>
      <c r="AD139" t="s">
        <v>41</v>
      </c>
    </row>
    <row r="140" spans="2:30">
      <c r="B140">
        <v>11</v>
      </c>
      <c r="C140">
        <v>1020</v>
      </c>
      <c r="D140" t="s">
        <v>29</v>
      </c>
      <c r="E140">
        <v>10049879</v>
      </c>
      <c r="F140" t="s">
        <v>215</v>
      </c>
      <c r="G140" t="s">
        <v>31</v>
      </c>
      <c r="H140" t="s">
        <v>60</v>
      </c>
      <c r="I140" t="s">
        <v>33</v>
      </c>
      <c r="J140" t="s">
        <v>45</v>
      </c>
      <c r="K140" t="s">
        <v>35</v>
      </c>
      <c r="L140" t="s">
        <v>36</v>
      </c>
      <c r="M140" t="s">
        <v>37</v>
      </c>
      <c r="N140">
        <v>8</v>
      </c>
      <c r="O140">
        <v>4</v>
      </c>
      <c r="P140">
        <v>0</v>
      </c>
      <c r="Q140">
        <v>8</v>
      </c>
      <c r="R140">
        <v>157.19</v>
      </c>
      <c r="S140" t="str">
        <f t="shared" si="10"/>
        <v>PX: Baja Crit.</v>
      </c>
      <c r="T140">
        <f t="shared" si="11"/>
        <v>0</v>
      </c>
      <c r="U140">
        <f t="shared" si="12"/>
        <v>0</v>
      </c>
      <c r="V140">
        <f t="shared" si="13"/>
        <v>1</v>
      </c>
      <c r="W140">
        <f t="shared" si="14"/>
        <v>0</v>
      </c>
      <c r="X140">
        <v>1</v>
      </c>
      <c r="Y140" s="2">
        <v>45768</v>
      </c>
      <c r="Z140" s="3" t="s">
        <v>38</v>
      </c>
      <c r="AA140" t="s">
        <v>39</v>
      </c>
      <c r="AB140" t="s">
        <v>76</v>
      </c>
      <c r="AC140" s="5" t="s">
        <v>77</v>
      </c>
      <c r="AD140" t="s">
        <v>41</v>
      </c>
    </row>
    <row r="141" spans="2:30">
      <c r="B141">
        <v>11</v>
      </c>
      <c r="C141">
        <v>1020</v>
      </c>
      <c r="D141" t="s">
        <v>29</v>
      </c>
      <c r="E141">
        <v>10048332</v>
      </c>
      <c r="F141" t="s">
        <v>216</v>
      </c>
      <c r="G141" t="s">
        <v>43</v>
      </c>
      <c r="H141" t="s">
        <v>32</v>
      </c>
      <c r="I141" t="s">
        <v>33</v>
      </c>
      <c r="J141" t="s">
        <v>34</v>
      </c>
      <c r="K141" t="s">
        <v>35</v>
      </c>
      <c r="L141" t="s">
        <v>36</v>
      </c>
      <c r="M141" t="s">
        <v>46</v>
      </c>
      <c r="N141">
        <v>200</v>
      </c>
      <c r="O141">
        <v>101</v>
      </c>
      <c r="P141">
        <v>36</v>
      </c>
      <c r="Q141">
        <v>0</v>
      </c>
      <c r="R141">
        <v>0</v>
      </c>
      <c r="S141" t="str">
        <f t="shared" si="10"/>
        <v>PY: Media Crit.</v>
      </c>
      <c r="T141">
        <f t="shared" si="11"/>
        <v>1</v>
      </c>
      <c r="U141">
        <f t="shared" si="12"/>
        <v>0</v>
      </c>
      <c r="V141">
        <f t="shared" si="13"/>
        <v>0</v>
      </c>
      <c r="W141">
        <f t="shared" si="14"/>
        <v>0</v>
      </c>
      <c r="X141">
        <v>1</v>
      </c>
      <c r="Y141" s="2">
        <v>45768</v>
      </c>
      <c r="Z141" s="3" t="s">
        <v>47</v>
      </c>
      <c r="AA141" t="s">
        <v>39</v>
      </c>
      <c r="AB141" t="s">
        <v>49</v>
      </c>
      <c r="AC141" s="5" t="s">
        <v>50</v>
      </c>
      <c r="AD141" t="s">
        <v>41</v>
      </c>
    </row>
    <row r="142" spans="2:30">
      <c r="B142">
        <v>11</v>
      </c>
      <c r="C142">
        <v>1020</v>
      </c>
      <c r="D142" t="s">
        <v>29</v>
      </c>
      <c r="E142">
        <v>10054235</v>
      </c>
      <c r="F142" t="s">
        <v>217</v>
      </c>
      <c r="G142" t="s">
        <v>31</v>
      </c>
      <c r="H142" t="s">
        <v>32</v>
      </c>
      <c r="I142" t="s">
        <v>33</v>
      </c>
      <c r="J142" t="s">
        <v>34</v>
      </c>
      <c r="K142" t="s">
        <v>35</v>
      </c>
      <c r="L142" t="s">
        <v>36</v>
      </c>
      <c r="M142" t="s">
        <v>69</v>
      </c>
      <c r="N142">
        <v>40</v>
      </c>
      <c r="O142">
        <v>21</v>
      </c>
      <c r="P142">
        <v>8</v>
      </c>
      <c r="Q142">
        <v>0</v>
      </c>
      <c r="R142">
        <v>0</v>
      </c>
      <c r="S142" t="str">
        <f t="shared" si="10"/>
        <v>PX: Baja Crit.</v>
      </c>
      <c r="T142">
        <f t="shared" si="11"/>
        <v>1</v>
      </c>
      <c r="U142">
        <f t="shared" si="12"/>
        <v>0</v>
      </c>
      <c r="V142">
        <f t="shared" si="13"/>
        <v>0</v>
      </c>
      <c r="W142">
        <f t="shared" si="14"/>
        <v>0</v>
      </c>
      <c r="X142">
        <v>1</v>
      </c>
      <c r="Y142" s="2">
        <v>45768</v>
      </c>
      <c r="Z142" s="3" t="s">
        <v>70</v>
      </c>
      <c r="AA142" t="s">
        <v>39</v>
      </c>
      <c r="AB142" t="s">
        <v>76</v>
      </c>
      <c r="AC142" s="5" t="s">
        <v>77</v>
      </c>
      <c r="AD142" t="s">
        <v>41</v>
      </c>
    </row>
    <row r="143" spans="2:30">
      <c r="B143">
        <v>11</v>
      </c>
      <c r="C143">
        <v>1020</v>
      </c>
      <c r="D143" t="s">
        <v>29</v>
      </c>
      <c r="E143">
        <v>10050798</v>
      </c>
      <c r="F143" t="s">
        <v>218</v>
      </c>
      <c r="G143" t="s">
        <v>31</v>
      </c>
      <c r="H143" t="s">
        <v>32</v>
      </c>
      <c r="I143" t="s">
        <v>33</v>
      </c>
      <c r="J143" t="s">
        <v>34</v>
      </c>
      <c r="K143" t="s">
        <v>35</v>
      </c>
      <c r="L143" t="s">
        <v>36</v>
      </c>
      <c r="M143" t="s">
        <v>37</v>
      </c>
      <c r="N143">
        <v>40</v>
      </c>
      <c r="O143">
        <v>21</v>
      </c>
      <c r="P143">
        <v>10</v>
      </c>
      <c r="Q143">
        <v>24</v>
      </c>
      <c r="R143">
        <v>141.6</v>
      </c>
      <c r="S143" t="str">
        <f t="shared" si="10"/>
        <v>PX: Baja Crit.</v>
      </c>
      <c r="T143">
        <f t="shared" si="11"/>
        <v>0</v>
      </c>
      <c r="U143">
        <f t="shared" si="12"/>
        <v>0</v>
      </c>
      <c r="V143">
        <f t="shared" si="13"/>
        <v>1</v>
      </c>
      <c r="W143">
        <f t="shared" si="14"/>
        <v>0</v>
      </c>
      <c r="X143">
        <v>1</v>
      </c>
      <c r="Y143" s="2">
        <v>45768</v>
      </c>
      <c r="Z143" s="3" t="s">
        <v>38</v>
      </c>
      <c r="AA143" t="s">
        <v>39</v>
      </c>
      <c r="AB143" t="s">
        <v>40</v>
      </c>
      <c r="AC143" t="s">
        <v>40</v>
      </c>
      <c r="AD143" t="s">
        <v>41</v>
      </c>
    </row>
    <row r="144" spans="2:30">
      <c r="B144">
        <v>11</v>
      </c>
      <c r="C144">
        <v>1020</v>
      </c>
      <c r="D144" t="s">
        <v>29</v>
      </c>
      <c r="E144">
        <v>10043955</v>
      </c>
      <c r="F144" t="s">
        <v>219</v>
      </c>
      <c r="G144" t="s">
        <v>31</v>
      </c>
      <c r="H144" t="s">
        <v>32</v>
      </c>
      <c r="I144" t="s">
        <v>33</v>
      </c>
      <c r="J144" t="s">
        <v>34</v>
      </c>
      <c r="K144" t="s">
        <v>35</v>
      </c>
      <c r="L144" t="s">
        <v>36</v>
      </c>
      <c r="M144" t="s">
        <v>46</v>
      </c>
      <c r="N144">
        <v>180</v>
      </c>
      <c r="O144">
        <v>101</v>
      </c>
      <c r="P144">
        <v>30</v>
      </c>
      <c r="Q144">
        <v>280</v>
      </c>
      <c r="R144">
        <v>735.97</v>
      </c>
      <c r="S144" t="str">
        <f t="shared" si="10"/>
        <v>PX: Baja Crit.</v>
      </c>
      <c r="T144">
        <f t="shared" si="11"/>
        <v>0</v>
      </c>
      <c r="U144">
        <f t="shared" si="12"/>
        <v>0</v>
      </c>
      <c r="V144">
        <f t="shared" si="13"/>
        <v>0</v>
      </c>
      <c r="W144">
        <f t="shared" si="14"/>
        <v>1</v>
      </c>
      <c r="X144">
        <v>1</v>
      </c>
      <c r="Y144" s="2">
        <v>45768</v>
      </c>
      <c r="Z144" s="3" t="s">
        <v>47</v>
      </c>
      <c r="AA144" t="s">
        <v>39</v>
      </c>
      <c r="AB144" t="s">
        <v>40</v>
      </c>
      <c r="AC144" t="s">
        <v>40</v>
      </c>
      <c r="AD144" t="s">
        <v>41</v>
      </c>
    </row>
    <row r="145" spans="2:30">
      <c r="B145">
        <v>11</v>
      </c>
      <c r="C145">
        <v>1020</v>
      </c>
      <c r="D145" t="s">
        <v>29</v>
      </c>
      <c r="E145">
        <v>10033113</v>
      </c>
      <c r="F145" t="s">
        <v>220</v>
      </c>
      <c r="G145" t="s">
        <v>43</v>
      </c>
      <c r="H145" t="s">
        <v>32</v>
      </c>
      <c r="I145" t="s">
        <v>33</v>
      </c>
      <c r="J145" t="s">
        <v>34</v>
      </c>
      <c r="K145" t="s">
        <v>35</v>
      </c>
      <c r="L145" t="s">
        <v>36</v>
      </c>
      <c r="M145" t="s">
        <v>37</v>
      </c>
      <c r="N145">
        <v>20</v>
      </c>
      <c r="O145">
        <v>11</v>
      </c>
      <c r="P145">
        <v>5</v>
      </c>
      <c r="Q145">
        <v>18</v>
      </c>
      <c r="R145">
        <v>933.36</v>
      </c>
      <c r="S145" t="str">
        <f t="shared" si="10"/>
        <v>PY: Media Crit.</v>
      </c>
      <c r="T145">
        <f t="shared" si="11"/>
        <v>0</v>
      </c>
      <c r="U145">
        <f t="shared" si="12"/>
        <v>0</v>
      </c>
      <c r="V145">
        <f t="shared" si="13"/>
        <v>1</v>
      </c>
      <c r="W145">
        <f t="shared" si="14"/>
        <v>0</v>
      </c>
      <c r="X145">
        <v>1</v>
      </c>
      <c r="Y145" s="2">
        <v>45768</v>
      </c>
      <c r="Z145" s="3" t="s">
        <v>38</v>
      </c>
      <c r="AA145" t="s">
        <v>39</v>
      </c>
      <c r="AB145" t="s">
        <v>40</v>
      </c>
      <c r="AC145" t="s">
        <v>40</v>
      </c>
      <c r="AD145" t="s">
        <v>41</v>
      </c>
    </row>
    <row r="146" spans="2:30">
      <c r="B146">
        <v>11</v>
      </c>
      <c r="C146">
        <v>1020</v>
      </c>
      <c r="D146" t="s">
        <v>29</v>
      </c>
      <c r="E146">
        <v>10615615</v>
      </c>
      <c r="F146" t="s">
        <v>221</v>
      </c>
      <c r="G146" t="s">
        <v>52</v>
      </c>
      <c r="H146" t="s">
        <v>60</v>
      </c>
      <c r="I146" t="s">
        <v>33</v>
      </c>
      <c r="J146" t="s">
        <v>45</v>
      </c>
      <c r="K146" t="s">
        <v>53</v>
      </c>
      <c r="L146" t="s">
        <v>36</v>
      </c>
      <c r="M146" t="s">
        <v>46</v>
      </c>
      <c r="N146">
        <v>37</v>
      </c>
      <c r="O146">
        <v>23</v>
      </c>
      <c r="P146">
        <v>6</v>
      </c>
      <c r="Q146">
        <v>21</v>
      </c>
      <c r="R146" s="4">
        <v>4529.29</v>
      </c>
      <c r="S146" t="str">
        <f t="shared" si="10"/>
        <v>PZ: Alta Crit.</v>
      </c>
      <c r="T146">
        <f t="shared" si="11"/>
        <v>0</v>
      </c>
      <c r="U146">
        <f t="shared" si="12"/>
        <v>0</v>
      </c>
      <c r="V146">
        <f t="shared" si="13"/>
        <v>1</v>
      </c>
      <c r="W146">
        <f t="shared" si="14"/>
        <v>0</v>
      </c>
      <c r="X146">
        <v>1</v>
      </c>
      <c r="Y146" s="2">
        <v>45768</v>
      </c>
      <c r="Z146" s="3" t="s">
        <v>47</v>
      </c>
      <c r="AA146" t="s">
        <v>39</v>
      </c>
      <c r="AB146" t="s">
        <v>49</v>
      </c>
      <c r="AC146" s="5" t="s">
        <v>50</v>
      </c>
      <c r="AD146" t="s">
        <v>41</v>
      </c>
    </row>
    <row r="147" spans="2:30">
      <c r="B147">
        <v>11</v>
      </c>
      <c r="C147">
        <v>1020</v>
      </c>
      <c r="D147" t="s">
        <v>29</v>
      </c>
      <c r="E147">
        <v>10040661</v>
      </c>
      <c r="F147" t="s">
        <v>222</v>
      </c>
      <c r="G147" t="s">
        <v>31</v>
      </c>
      <c r="H147" t="s">
        <v>32</v>
      </c>
      <c r="I147" t="s">
        <v>33</v>
      </c>
      <c r="J147" t="s">
        <v>34</v>
      </c>
      <c r="K147" t="s">
        <v>35</v>
      </c>
      <c r="L147" t="s">
        <v>36</v>
      </c>
      <c r="M147" t="s">
        <v>37</v>
      </c>
      <c r="N147">
        <v>30</v>
      </c>
      <c r="O147">
        <v>16</v>
      </c>
      <c r="P147">
        <v>8</v>
      </c>
      <c r="Q147">
        <v>16</v>
      </c>
      <c r="R147">
        <v>128</v>
      </c>
      <c r="S147" t="str">
        <f t="shared" si="10"/>
        <v>PX: Baja Crit.</v>
      </c>
      <c r="T147">
        <f t="shared" si="11"/>
        <v>0</v>
      </c>
      <c r="U147">
        <f t="shared" si="12"/>
        <v>0</v>
      </c>
      <c r="V147">
        <f t="shared" si="13"/>
        <v>1</v>
      </c>
      <c r="W147">
        <f t="shared" si="14"/>
        <v>0</v>
      </c>
      <c r="X147">
        <v>1</v>
      </c>
      <c r="Y147" s="2">
        <v>45768</v>
      </c>
      <c r="Z147" s="3" t="s">
        <v>38</v>
      </c>
      <c r="AA147" t="s">
        <v>39</v>
      </c>
      <c r="AB147" t="s">
        <v>76</v>
      </c>
      <c r="AC147" s="5" t="s">
        <v>77</v>
      </c>
      <c r="AD147" t="s">
        <v>41</v>
      </c>
    </row>
    <row r="148" spans="2:30">
      <c r="B148">
        <v>11</v>
      </c>
      <c r="C148">
        <v>1020</v>
      </c>
      <c r="D148" t="s">
        <v>29</v>
      </c>
      <c r="E148">
        <v>10050634</v>
      </c>
      <c r="F148" t="s">
        <v>223</v>
      </c>
      <c r="G148" t="s">
        <v>31</v>
      </c>
      <c r="H148" t="s">
        <v>32</v>
      </c>
      <c r="I148" t="s">
        <v>33</v>
      </c>
      <c r="J148" t="s">
        <v>34</v>
      </c>
      <c r="K148" t="s">
        <v>35</v>
      </c>
      <c r="L148" t="s">
        <v>36</v>
      </c>
      <c r="M148" t="s">
        <v>55</v>
      </c>
      <c r="N148">
        <v>200</v>
      </c>
      <c r="O148">
        <v>101</v>
      </c>
      <c r="P148">
        <v>40</v>
      </c>
      <c r="Q148">
        <v>220</v>
      </c>
      <c r="R148">
        <v>793.11</v>
      </c>
      <c r="S148" t="str">
        <f t="shared" si="10"/>
        <v>PX: Baja Crit.</v>
      </c>
      <c r="T148">
        <f t="shared" si="11"/>
        <v>0</v>
      </c>
      <c r="U148">
        <f t="shared" si="12"/>
        <v>0</v>
      </c>
      <c r="V148">
        <f t="shared" si="13"/>
        <v>0</v>
      </c>
      <c r="W148">
        <f t="shared" si="14"/>
        <v>1</v>
      </c>
      <c r="X148">
        <v>1</v>
      </c>
      <c r="Y148" s="2">
        <v>45768</v>
      </c>
      <c r="Z148" s="3" t="s">
        <v>56</v>
      </c>
      <c r="AA148" t="s">
        <v>39</v>
      </c>
      <c r="AB148" t="s">
        <v>40</v>
      </c>
      <c r="AC148" t="s">
        <v>40</v>
      </c>
      <c r="AD148" t="s">
        <v>41</v>
      </c>
    </row>
    <row r="149" spans="2:30">
      <c r="B149">
        <v>11</v>
      </c>
      <c r="C149">
        <v>1020</v>
      </c>
      <c r="D149" t="s">
        <v>29</v>
      </c>
      <c r="E149">
        <v>10044226</v>
      </c>
      <c r="F149" t="s">
        <v>224</v>
      </c>
      <c r="G149" t="s">
        <v>43</v>
      </c>
      <c r="H149" t="s">
        <v>32</v>
      </c>
      <c r="I149" t="s">
        <v>33</v>
      </c>
      <c r="J149" t="s">
        <v>34</v>
      </c>
      <c r="K149" t="s">
        <v>62</v>
      </c>
      <c r="L149" t="s">
        <v>36</v>
      </c>
      <c r="M149" t="s">
        <v>46</v>
      </c>
      <c r="N149">
        <v>80</v>
      </c>
      <c r="O149">
        <v>41</v>
      </c>
      <c r="P149">
        <v>20</v>
      </c>
      <c r="Q149">
        <v>78</v>
      </c>
      <c r="R149" s="4">
        <v>2016.62</v>
      </c>
      <c r="S149" t="str">
        <f t="shared" si="10"/>
        <v>PY: Media Crit.</v>
      </c>
      <c r="T149">
        <f t="shared" si="11"/>
        <v>0</v>
      </c>
      <c r="U149">
        <f t="shared" si="12"/>
        <v>0</v>
      </c>
      <c r="V149">
        <f t="shared" si="13"/>
        <v>1</v>
      </c>
      <c r="W149">
        <f t="shared" si="14"/>
        <v>0</v>
      </c>
      <c r="X149">
        <v>1</v>
      </c>
      <c r="Y149" s="2">
        <v>45768</v>
      </c>
      <c r="Z149" s="3" t="s">
        <v>47</v>
      </c>
      <c r="AA149" t="s">
        <v>39</v>
      </c>
      <c r="AB149" t="s">
        <v>40</v>
      </c>
      <c r="AC149" t="s">
        <v>40</v>
      </c>
      <c r="AD149" t="s">
        <v>41</v>
      </c>
    </row>
    <row r="150" spans="2:30">
      <c r="B150">
        <v>11</v>
      </c>
      <c r="C150">
        <v>1020</v>
      </c>
      <c r="D150" t="s">
        <v>29</v>
      </c>
      <c r="E150">
        <v>10720686</v>
      </c>
      <c r="F150" t="s">
        <v>225</v>
      </c>
      <c r="G150" t="s">
        <v>52</v>
      </c>
      <c r="H150" t="s">
        <v>60</v>
      </c>
      <c r="I150" t="s">
        <v>33</v>
      </c>
      <c r="J150" t="s">
        <v>34</v>
      </c>
      <c r="K150" t="s">
        <v>65</v>
      </c>
      <c r="L150" t="s">
        <v>36</v>
      </c>
      <c r="M150" t="s">
        <v>46</v>
      </c>
      <c r="N150">
        <v>18</v>
      </c>
      <c r="O150">
        <v>13</v>
      </c>
      <c r="P150">
        <v>6</v>
      </c>
      <c r="Q150">
        <v>0</v>
      </c>
      <c r="R150">
        <v>0</v>
      </c>
      <c r="S150" t="str">
        <f t="shared" si="10"/>
        <v>PZ: Alta Crit.</v>
      </c>
      <c r="T150">
        <f t="shared" si="11"/>
        <v>1</v>
      </c>
      <c r="U150">
        <f t="shared" si="12"/>
        <v>0</v>
      </c>
      <c r="V150">
        <f t="shared" si="13"/>
        <v>0</v>
      </c>
      <c r="W150">
        <f t="shared" si="14"/>
        <v>0</v>
      </c>
      <c r="X150">
        <v>1</v>
      </c>
      <c r="Y150" s="2">
        <v>45768</v>
      </c>
      <c r="Z150" s="3" t="s">
        <v>47</v>
      </c>
      <c r="AA150" t="s">
        <v>39</v>
      </c>
      <c r="AB150" t="s">
        <v>49</v>
      </c>
      <c r="AC150" s="5" t="s">
        <v>50</v>
      </c>
      <c r="AD150" t="s">
        <v>41</v>
      </c>
    </row>
    <row r="151" spans="2:30">
      <c r="B151">
        <v>11</v>
      </c>
      <c r="C151">
        <v>1020</v>
      </c>
      <c r="D151" t="s">
        <v>29</v>
      </c>
      <c r="E151">
        <v>10041901</v>
      </c>
      <c r="F151" t="s">
        <v>226</v>
      </c>
      <c r="G151" t="s">
        <v>31</v>
      </c>
      <c r="H151" t="s">
        <v>32</v>
      </c>
      <c r="I151" t="s">
        <v>33</v>
      </c>
      <c r="J151" t="s">
        <v>45</v>
      </c>
      <c r="K151" t="s">
        <v>80</v>
      </c>
      <c r="L151" t="s">
        <v>36</v>
      </c>
      <c r="M151" t="s">
        <v>46</v>
      </c>
      <c r="N151">
        <v>30</v>
      </c>
      <c r="O151">
        <v>15</v>
      </c>
      <c r="P151">
        <v>10</v>
      </c>
      <c r="Q151">
        <v>30</v>
      </c>
      <c r="R151" s="4">
        <v>1306.33</v>
      </c>
      <c r="S151" t="str">
        <f t="shared" si="10"/>
        <v>PX: Baja Crit.</v>
      </c>
      <c r="T151">
        <f t="shared" si="11"/>
        <v>0</v>
      </c>
      <c r="U151">
        <f t="shared" si="12"/>
        <v>0</v>
      </c>
      <c r="V151">
        <f t="shared" si="13"/>
        <v>1</v>
      </c>
      <c r="W151">
        <f t="shared" si="14"/>
        <v>0</v>
      </c>
      <c r="X151">
        <v>1</v>
      </c>
      <c r="Y151" s="2">
        <v>45768</v>
      </c>
      <c r="Z151" s="3" t="s">
        <v>47</v>
      </c>
      <c r="AA151" t="s">
        <v>39</v>
      </c>
      <c r="AB151" t="s">
        <v>40</v>
      </c>
      <c r="AC151" t="s">
        <v>40</v>
      </c>
      <c r="AD151" t="s">
        <v>41</v>
      </c>
    </row>
    <row r="152" spans="2:30">
      <c r="B152">
        <v>11</v>
      </c>
      <c r="C152">
        <v>1020</v>
      </c>
      <c r="D152" t="s">
        <v>29</v>
      </c>
      <c r="E152">
        <v>10049919</v>
      </c>
      <c r="F152" t="s">
        <v>227</v>
      </c>
      <c r="G152" t="s">
        <v>31</v>
      </c>
      <c r="H152" t="s">
        <v>32</v>
      </c>
      <c r="I152" t="s">
        <v>33</v>
      </c>
      <c r="J152" t="s">
        <v>34</v>
      </c>
      <c r="K152" t="s">
        <v>35</v>
      </c>
      <c r="L152" t="s">
        <v>36</v>
      </c>
      <c r="M152" t="s">
        <v>55</v>
      </c>
      <c r="N152">
        <v>300</v>
      </c>
      <c r="O152">
        <v>181</v>
      </c>
      <c r="P152">
        <v>50</v>
      </c>
      <c r="Q152">
        <v>170</v>
      </c>
      <c r="R152">
        <v>24.76</v>
      </c>
      <c r="S152" t="str">
        <f t="shared" si="10"/>
        <v>PX: Baja Crit.</v>
      </c>
      <c r="T152">
        <f t="shared" si="11"/>
        <v>0</v>
      </c>
      <c r="U152">
        <f t="shared" si="12"/>
        <v>0</v>
      </c>
      <c r="V152">
        <f t="shared" si="13"/>
        <v>1</v>
      </c>
      <c r="W152">
        <f t="shared" si="14"/>
        <v>0</v>
      </c>
      <c r="X152">
        <v>1</v>
      </c>
      <c r="Y152" s="2">
        <v>45768</v>
      </c>
      <c r="Z152" s="3" t="s">
        <v>56</v>
      </c>
      <c r="AA152" t="s">
        <v>39</v>
      </c>
      <c r="AB152" t="s">
        <v>49</v>
      </c>
      <c r="AC152" s="5" t="s">
        <v>50</v>
      </c>
      <c r="AD152" t="s">
        <v>41</v>
      </c>
    </row>
    <row r="153" spans="2:30">
      <c r="B153">
        <v>11</v>
      </c>
      <c r="C153">
        <v>1020</v>
      </c>
      <c r="D153" t="s">
        <v>29</v>
      </c>
      <c r="E153">
        <v>10048587</v>
      </c>
      <c r="F153" t="s">
        <v>228</v>
      </c>
      <c r="G153" t="s">
        <v>43</v>
      </c>
      <c r="H153" t="s">
        <v>60</v>
      </c>
      <c r="I153" t="s">
        <v>33</v>
      </c>
      <c r="J153" t="s">
        <v>34</v>
      </c>
      <c r="K153" t="s">
        <v>80</v>
      </c>
      <c r="L153" t="s">
        <v>36</v>
      </c>
      <c r="M153" t="s">
        <v>37</v>
      </c>
      <c r="N153">
        <v>40</v>
      </c>
      <c r="O153">
        <v>20</v>
      </c>
      <c r="P153">
        <v>10</v>
      </c>
      <c r="Q153">
        <v>15</v>
      </c>
      <c r="R153" s="4">
        <v>1251.49</v>
      </c>
      <c r="S153" t="str">
        <f t="shared" si="10"/>
        <v>PY: Media Crit.</v>
      </c>
      <c r="T153">
        <f t="shared" si="11"/>
        <v>0</v>
      </c>
      <c r="U153">
        <f t="shared" si="12"/>
        <v>0</v>
      </c>
      <c r="V153">
        <f t="shared" si="13"/>
        <v>1</v>
      </c>
      <c r="W153">
        <f t="shared" si="14"/>
        <v>0</v>
      </c>
      <c r="X153">
        <v>1</v>
      </c>
      <c r="Y153" s="2">
        <v>45768</v>
      </c>
      <c r="Z153" s="3" t="s">
        <v>38</v>
      </c>
      <c r="AA153" t="s">
        <v>39</v>
      </c>
      <c r="AB153" t="s">
        <v>76</v>
      </c>
      <c r="AC153" s="5" t="s">
        <v>77</v>
      </c>
      <c r="AD153" t="s">
        <v>41</v>
      </c>
    </row>
    <row r="154" spans="2:30">
      <c r="B154">
        <v>11</v>
      </c>
      <c r="C154">
        <v>1020</v>
      </c>
      <c r="D154" t="s">
        <v>29</v>
      </c>
      <c r="E154">
        <v>10050398</v>
      </c>
      <c r="F154" t="s">
        <v>229</v>
      </c>
      <c r="G154" t="s">
        <v>43</v>
      </c>
      <c r="H154" t="s">
        <v>32</v>
      </c>
      <c r="I154" t="s">
        <v>33</v>
      </c>
      <c r="J154" t="s">
        <v>34</v>
      </c>
      <c r="K154" t="s">
        <v>35</v>
      </c>
      <c r="L154" t="s">
        <v>36</v>
      </c>
      <c r="M154" t="s">
        <v>37</v>
      </c>
      <c r="N154">
        <v>100</v>
      </c>
      <c r="O154">
        <v>41</v>
      </c>
      <c r="P154">
        <v>10</v>
      </c>
      <c r="Q154">
        <v>55</v>
      </c>
      <c r="R154">
        <v>319</v>
      </c>
      <c r="S154" t="str">
        <f t="shared" si="10"/>
        <v>PY: Media Crit.</v>
      </c>
      <c r="T154">
        <f t="shared" si="11"/>
        <v>0</v>
      </c>
      <c r="U154">
        <f t="shared" si="12"/>
        <v>0</v>
      </c>
      <c r="V154">
        <f t="shared" si="13"/>
        <v>1</v>
      </c>
      <c r="W154">
        <f t="shared" si="14"/>
        <v>0</v>
      </c>
      <c r="X154">
        <v>1</v>
      </c>
      <c r="Y154" s="2">
        <v>45768</v>
      </c>
      <c r="Z154" s="3" t="s">
        <v>38</v>
      </c>
      <c r="AA154" t="s">
        <v>39</v>
      </c>
      <c r="AB154" t="s">
        <v>40</v>
      </c>
      <c r="AC154" t="s">
        <v>40</v>
      </c>
      <c r="AD154" t="s">
        <v>41</v>
      </c>
    </row>
    <row r="155" spans="2:30">
      <c r="B155">
        <v>11</v>
      </c>
      <c r="C155">
        <v>1020</v>
      </c>
      <c r="D155" t="s">
        <v>29</v>
      </c>
      <c r="E155">
        <v>10045784</v>
      </c>
      <c r="F155" t="s">
        <v>230</v>
      </c>
      <c r="G155" t="s">
        <v>43</v>
      </c>
      <c r="H155" t="s">
        <v>60</v>
      </c>
      <c r="I155" t="s">
        <v>33</v>
      </c>
      <c r="J155" t="s">
        <v>34</v>
      </c>
      <c r="K155" t="s">
        <v>35</v>
      </c>
      <c r="L155" t="s">
        <v>36</v>
      </c>
      <c r="M155" t="s">
        <v>37</v>
      </c>
      <c r="N155">
        <v>40</v>
      </c>
      <c r="O155">
        <v>21</v>
      </c>
      <c r="P155">
        <v>10</v>
      </c>
      <c r="Q155">
        <v>10</v>
      </c>
      <c r="R155">
        <v>809.51</v>
      </c>
      <c r="S155" t="str">
        <f t="shared" si="10"/>
        <v>PY: Media Crit.</v>
      </c>
      <c r="T155">
        <f t="shared" si="11"/>
        <v>0</v>
      </c>
      <c r="U155">
        <f t="shared" si="12"/>
        <v>1</v>
      </c>
      <c r="V155">
        <f t="shared" si="13"/>
        <v>0</v>
      </c>
      <c r="W155">
        <f t="shared" si="14"/>
        <v>0</v>
      </c>
      <c r="X155">
        <v>1</v>
      </c>
      <c r="Y155" s="2">
        <v>45768</v>
      </c>
      <c r="Z155" s="3" t="s">
        <v>38</v>
      </c>
      <c r="AA155" t="s">
        <v>39</v>
      </c>
      <c r="AB155" t="s">
        <v>49</v>
      </c>
      <c r="AC155" s="5" t="s">
        <v>50</v>
      </c>
      <c r="AD155" t="s">
        <v>41</v>
      </c>
    </row>
    <row r="156" spans="2:30">
      <c r="B156">
        <v>11</v>
      </c>
      <c r="C156">
        <v>1020</v>
      </c>
      <c r="D156" t="s">
        <v>29</v>
      </c>
      <c r="E156">
        <v>10056475</v>
      </c>
      <c r="F156" t="s">
        <v>231</v>
      </c>
      <c r="G156" t="s">
        <v>43</v>
      </c>
      <c r="H156" t="s">
        <v>44</v>
      </c>
      <c r="I156" t="s">
        <v>33</v>
      </c>
      <c r="J156" t="s">
        <v>34</v>
      </c>
      <c r="K156" t="s">
        <v>65</v>
      </c>
      <c r="L156" t="s">
        <v>36</v>
      </c>
      <c r="M156" t="s">
        <v>37</v>
      </c>
      <c r="N156">
        <v>100</v>
      </c>
      <c r="O156">
        <v>61</v>
      </c>
      <c r="P156">
        <v>20</v>
      </c>
      <c r="Q156">
        <v>110</v>
      </c>
      <c r="R156" s="4">
        <v>4254.97</v>
      </c>
      <c r="S156" t="str">
        <f t="shared" si="10"/>
        <v>PY: Media Crit.</v>
      </c>
      <c r="T156">
        <f t="shared" si="11"/>
        <v>0</v>
      </c>
      <c r="U156">
        <f t="shared" si="12"/>
        <v>0</v>
      </c>
      <c r="V156">
        <f t="shared" si="13"/>
        <v>0</v>
      </c>
      <c r="W156">
        <f t="shared" si="14"/>
        <v>1</v>
      </c>
      <c r="X156">
        <v>1</v>
      </c>
      <c r="Y156" s="2">
        <v>45768</v>
      </c>
      <c r="Z156" s="3" t="s">
        <v>38</v>
      </c>
      <c r="AA156" t="s">
        <v>39</v>
      </c>
      <c r="AB156" t="s">
        <v>76</v>
      </c>
      <c r="AC156" s="5" t="s">
        <v>77</v>
      </c>
      <c r="AD156" t="s">
        <v>41</v>
      </c>
    </row>
    <row r="157" spans="2:30">
      <c r="B157">
        <v>11</v>
      </c>
      <c r="C157">
        <v>1020</v>
      </c>
      <c r="D157" t="s">
        <v>29</v>
      </c>
      <c r="E157">
        <v>10040918</v>
      </c>
      <c r="F157" t="s">
        <v>232</v>
      </c>
      <c r="G157" t="s">
        <v>52</v>
      </c>
      <c r="H157" t="s">
        <v>44</v>
      </c>
      <c r="I157" t="s">
        <v>33</v>
      </c>
      <c r="J157" t="s">
        <v>45</v>
      </c>
      <c r="K157" t="s">
        <v>35</v>
      </c>
      <c r="L157" t="s">
        <v>36</v>
      </c>
      <c r="M157" t="s">
        <v>117</v>
      </c>
      <c r="N157">
        <v>180</v>
      </c>
      <c r="O157">
        <v>80</v>
      </c>
      <c r="P157">
        <v>50</v>
      </c>
      <c r="Q157">
        <v>170</v>
      </c>
      <c r="R157" s="4">
        <v>11383.45</v>
      </c>
      <c r="S157" t="str">
        <f t="shared" si="10"/>
        <v>PZ: Alta Crit.</v>
      </c>
      <c r="T157">
        <f t="shared" si="11"/>
        <v>0</v>
      </c>
      <c r="U157">
        <f t="shared" si="12"/>
        <v>0</v>
      </c>
      <c r="V157">
        <f t="shared" si="13"/>
        <v>1</v>
      </c>
      <c r="W157">
        <f t="shared" si="14"/>
        <v>0</v>
      </c>
      <c r="X157">
        <v>1</v>
      </c>
      <c r="Y157" s="2">
        <v>45768</v>
      </c>
      <c r="Z157" s="3" t="s">
        <v>118</v>
      </c>
      <c r="AA157" t="s">
        <v>39</v>
      </c>
      <c r="AB157" t="s">
        <v>49</v>
      </c>
      <c r="AC157" s="5" t="s">
        <v>50</v>
      </c>
      <c r="AD157" t="s">
        <v>41</v>
      </c>
    </row>
    <row r="158" spans="2:30">
      <c r="B158">
        <v>11</v>
      </c>
      <c r="C158">
        <v>1020</v>
      </c>
      <c r="D158" t="s">
        <v>29</v>
      </c>
      <c r="E158">
        <v>10047126</v>
      </c>
      <c r="F158" t="s">
        <v>233</v>
      </c>
      <c r="G158" t="s">
        <v>31</v>
      </c>
      <c r="H158" t="s">
        <v>32</v>
      </c>
      <c r="I158" t="s">
        <v>33</v>
      </c>
      <c r="J158" t="s">
        <v>34</v>
      </c>
      <c r="K158" t="s">
        <v>35</v>
      </c>
      <c r="L158" t="s">
        <v>36</v>
      </c>
      <c r="M158" t="s">
        <v>88</v>
      </c>
      <c r="N158">
        <v>100</v>
      </c>
      <c r="O158">
        <v>51</v>
      </c>
      <c r="P158">
        <v>20</v>
      </c>
      <c r="Q158">
        <v>80</v>
      </c>
      <c r="R158" s="4">
        <v>1147.55</v>
      </c>
      <c r="S158" t="str">
        <f t="shared" si="10"/>
        <v>PX: Baja Crit.</v>
      </c>
      <c r="T158">
        <f t="shared" si="11"/>
        <v>0</v>
      </c>
      <c r="U158">
        <f t="shared" si="12"/>
        <v>0</v>
      </c>
      <c r="V158">
        <f t="shared" si="13"/>
        <v>1</v>
      </c>
      <c r="W158">
        <f t="shared" si="14"/>
        <v>0</v>
      </c>
      <c r="X158">
        <v>1</v>
      </c>
      <c r="Y158" s="2">
        <v>45768</v>
      </c>
      <c r="Z158" s="3" t="s">
        <v>89</v>
      </c>
      <c r="AA158" t="s">
        <v>39</v>
      </c>
      <c r="AB158" t="s">
        <v>40</v>
      </c>
      <c r="AC158" t="s">
        <v>40</v>
      </c>
      <c r="AD158" t="s">
        <v>41</v>
      </c>
    </row>
    <row r="159" spans="2:30">
      <c r="B159">
        <v>11</v>
      </c>
      <c r="C159">
        <v>1020</v>
      </c>
      <c r="D159" t="s">
        <v>29</v>
      </c>
      <c r="E159">
        <v>10053479</v>
      </c>
      <c r="F159" t="s">
        <v>234</v>
      </c>
      <c r="G159" t="s">
        <v>52</v>
      </c>
      <c r="H159" t="s">
        <v>44</v>
      </c>
      <c r="I159" t="s">
        <v>33</v>
      </c>
      <c r="J159" t="s">
        <v>34</v>
      </c>
      <c r="K159" t="s">
        <v>35</v>
      </c>
      <c r="L159" t="s">
        <v>36</v>
      </c>
      <c r="M159" t="s">
        <v>117</v>
      </c>
      <c r="N159">
        <v>4</v>
      </c>
      <c r="O159">
        <v>3</v>
      </c>
      <c r="P159">
        <v>2</v>
      </c>
      <c r="Q159">
        <v>5</v>
      </c>
      <c r="R159" s="4">
        <v>51758.67</v>
      </c>
      <c r="S159" t="str">
        <f t="shared" si="10"/>
        <v>PZ: Alta Crit.</v>
      </c>
      <c r="T159">
        <f t="shared" si="11"/>
        <v>0</v>
      </c>
      <c r="U159">
        <f t="shared" si="12"/>
        <v>0</v>
      </c>
      <c r="V159">
        <f t="shared" si="13"/>
        <v>0</v>
      </c>
      <c r="W159">
        <f t="shared" si="14"/>
        <v>1</v>
      </c>
      <c r="X159">
        <v>1</v>
      </c>
      <c r="Y159" s="2">
        <v>45768</v>
      </c>
      <c r="Z159" s="3" t="s">
        <v>118</v>
      </c>
      <c r="AA159" t="s">
        <v>39</v>
      </c>
      <c r="AB159" t="s">
        <v>49</v>
      </c>
      <c r="AC159" s="5" t="s">
        <v>50</v>
      </c>
      <c r="AD159" t="s">
        <v>41</v>
      </c>
    </row>
    <row r="160" spans="2:30">
      <c r="B160">
        <v>11</v>
      </c>
      <c r="C160">
        <v>1020</v>
      </c>
      <c r="D160" t="s">
        <v>29</v>
      </c>
      <c r="E160">
        <v>14280965</v>
      </c>
      <c r="F160" t="s">
        <v>235</v>
      </c>
      <c r="G160" t="s">
        <v>52</v>
      </c>
      <c r="H160" t="s">
        <v>44</v>
      </c>
      <c r="I160" t="s">
        <v>33</v>
      </c>
      <c r="J160" t="s">
        <v>45</v>
      </c>
      <c r="K160" t="s">
        <v>65</v>
      </c>
      <c r="L160" t="s">
        <v>36</v>
      </c>
      <c r="M160" t="s">
        <v>127</v>
      </c>
      <c r="N160">
        <v>125</v>
      </c>
      <c r="O160">
        <v>100</v>
      </c>
      <c r="P160">
        <v>0</v>
      </c>
      <c r="Q160">
        <v>150</v>
      </c>
      <c r="R160" s="4">
        <v>6629.92</v>
      </c>
      <c r="S160" t="str">
        <f t="shared" si="10"/>
        <v>PZ: Alta Crit.</v>
      </c>
      <c r="T160">
        <f t="shared" si="11"/>
        <v>0</v>
      </c>
      <c r="U160">
        <f t="shared" si="12"/>
        <v>0</v>
      </c>
      <c r="V160">
        <f t="shared" si="13"/>
        <v>0</v>
      </c>
      <c r="W160">
        <f t="shared" si="14"/>
        <v>1</v>
      </c>
      <c r="X160">
        <v>1</v>
      </c>
      <c r="Y160" s="2">
        <v>45768</v>
      </c>
      <c r="Z160" s="3" t="s">
        <v>128</v>
      </c>
      <c r="AA160" t="s">
        <v>39</v>
      </c>
      <c r="AB160" t="s">
        <v>76</v>
      </c>
      <c r="AC160" s="5" t="s">
        <v>77</v>
      </c>
      <c r="AD160" t="s">
        <v>41</v>
      </c>
    </row>
    <row r="161" spans="2:30">
      <c r="B161">
        <v>11</v>
      </c>
      <c r="C161">
        <v>1020</v>
      </c>
      <c r="D161" t="s">
        <v>29</v>
      </c>
      <c r="E161">
        <v>10044220</v>
      </c>
      <c r="F161" t="s">
        <v>236</v>
      </c>
      <c r="G161" t="s">
        <v>52</v>
      </c>
      <c r="H161" t="s">
        <v>60</v>
      </c>
      <c r="I161" t="s">
        <v>33</v>
      </c>
      <c r="J161" t="s">
        <v>34</v>
      </c>
      <c r="K161" t="s">
        <v>62</v>
      </c>
      <c r="L161" t="s">
        <v>36</v>
      </c>
      <c r="M161" t="s">
        <v>46</v>
      </c>
      <c r="N161">
        <v>120</v>
      </c>
      <c r="O161">
        <v>80</v>
      </c>
      <c r="P161">
        <v>71</v>
      </c>
      <c r="Q161">
        <v>94</v>
      </c>
      <c r="R161" s="4">
        <v>11280</v>
      </c>
      <c r="S161" t="str">
        <f t="shared" si="10"/>
        <v>PZ: Alta Crit.</v>
      </c>
      <c r="T161">
        <f t="shared" si="11"/>
        <v>0</v>
      </c>
      <c r="U161">
        <f t="shared" si="12"/>
        <v>0</v>
      </c>
      <c r="V161">
        <f t="shared" si="13"/>
        <v>1</v>
      </c>
      <c r="W161">
        <f t="shared" si="14"/>
        <v>0</v>
      </c>
      <c r="X161">
        <v>1</v>
      </c>
      <c r="Y161" s="2">
        <v>45768</v>
      </c>
      <c r="Z161" s="3" t="s">
        <v>47</v>
      </c>
      <c r="AA161" t="s">
        <v>39</v>
      </c>
      <c r="AB161" t="s">
        <v>40</v>
      </c>
      <c r="AC161" t="s">
        <v>40</v>
      </c>
      <c r="AD161" t="s">
        <v>41</v>
      </c>
    </row>
    <row r="162" spans="2:30">
      <c r="B162">
        <v>11</v>
      </c>
      <c r="C162">
        <v>1020</v>
      </c>
      <c r="D162" t="s">
        <v>29</v>
      </c>
      <c r="E162">
        <v>10599242</v>
      </c>
      <c r="F162" t="s">
        <v>237</v>
      </c>
      <c r="G162" t="s">
        <v>43</v>
      </c>
      <c r="H162" t="s">
        <v>60</v>
      </c>
      <c r="I162" t="s">
        <v>33</v>
      </c>
      <c r="J162" t="s">
        <v>34</v>
      </c>
      <c r="K162" t="s">
        <v>35</v>
      </c>
      <c r="L162" t="s">
        <v>36</v>
      </c>
      <c r="M162" t="s">
        <v>46</v>
      </c>
      <c r="N162">
        <v>40</v>
      </c>
      <c r="O162">
        <v>21</v>
      </c>
      <c r="P162">
        <v>10</v>
      </c>
      <c r="Q162">
        <v>25</v>
      </c>
      <c r="R162" s="4">
        <v>3103.81</v>
      </c>
      <c r="S162" t="str">
        <f t="shared" si="10"/>
        <v>PY: Media Crit.</v>
      </c>
      <c r="T162">
        <f t="shared" si="11"/>
        <v>0</v>
      </c>
      <c r="U162">
        <f t="shared" si="12"/>
        <v>0</v>
      </c>
      <c r="V162">
        <f t="shared" si="13"/>
        <v>1</v>
      </c>
      <c r="W162">
        <f t="shared" si="14"/>
        <v>0</v>
      </c>
      <c r="X162">
        <v>1</v>
      </c>
      <c r="Y162" s="2">
        <v>45768</v>
      </c>
      <c r="Z162" s="3" t="s">
        <v>47</v>
      </c>
      <c r="AA162" t="s">
        <v>39</v>
      </c>
      <c r="AB162" t="s">
        <v>40</v>
      </c>
      <c r="AC162" t="s">
        <v>40</v>
      </c>
      <c r="AD162" t="s">
        <v>41</v>
      </c>
    </row>
    <row r="163" spans="2:30">
      <c r="B163">
        <v>11</v>
      </c>
      <c r="C163">
        <v>1020</v>
      </c>
      <c r="D163" t="s">
        <v>29</v>
      </c>
      <c r="E163">
        <v>10055773</v>
      </c>
      <c r="F163" s="6" t="s">
        <v>238</v>
      </c>
      <c r="G163" t="s">
        <v>52</v>
      </c>
      <c r="H163" t="s">
        <v>44</v>
      </c>
      <c r="I163" t="s">
        <v>33</v>
      </c>
      <c r="J163" t="s">
        <v>34</v>
      </c>
      <c r="K163" t="s">
        <v>80</v>
      </c>
      <c r="L163" t="s">
        <v>36</v>
      </c>
      <c r="M163" t="s">
        <v>37</v>
      </c>
      <c r="N163">
        <v>440</v>
      </c>
      <c r="O163">
        <v>276</v>
      </c>
      <c r="P163">
        <v>275</v>
      </c>
      <c r="Q163">
        <v>330</v>
      </c>
      <c r="R163" s="4">
        <v>37818.26</v>
      </c>
      <c r="S163" t="str">
        <f t="shared" si="10"/>
        <v>PZ: Alta Crit.</v>
      </c>
      <c r="T163">
        <f t="shared" si="11"/>
        <v>0</v>
      </c>
      <c r="U163">
        <f t="shared" si="12"/>
        <v>0</v>
      </c>
      <c r="V163">
        <f t="shared" si="13"/>
        <v>1</v>
      </c>
      <c r="W163">
        <f t="shared" si="14"/>
        <v>0</v>
      </c>
      <c r="X163">
        <v>1</v>
      </c>
      <c r="Y163" s="2">
        <v>45768</v>
      </c>
      <c r="Z163" s="3" t="s">
        <v>38</v>
      </c>
      <c r="AA163" t="s">
        <v>39</v>
      </c>
      <c r="AB163" t="s">
        <v>40</v>
      </c>
      <c r="AC163" t="s">
        <v>40</v>
      </c>
      <c r="AD163" t="s">
        <v>41</v>
      </c>
    </row>
    <row r="164" spans="2:30">
      <c r="B164">
        <v>11</v>
      </c>
      <c r="C164">
        <v>1020</v>
      </c>
      <c r="D164" t="s">
        <v>29</v>
      </c>
      <c r="E164">
        <v>10048461</v>
      </c>
      <c r="F164" t="s">
        <v>239</v>
      </c>
      <c r="G164" t="s">
        <v>31</v>
      </c>
      <c r="H164" t="s">
        <v>32</v>
      </c>
      <c r="I164" t="s">
        <v>33</v>
      </c>
      <c r="J164" t="s">
        <v>34</v>
      </c>
      <c r="K164" t="s">
        <v>35</v>
      </c>
      <c r="L164" t="s">
        <v>36</v>
      </c>
      <c r="M164" t="s">
        <v>37</v>
      </c>
      <c r="N164">
        <v>700</v>
      </c>
      <c r="O164">
        <v>500</v>
      </c>
      <c r="P164">
        <v>100</v>
      </c>
      <c r="Q164">
        <v>600</v>
      </c>
      <c r="R164">
        <v>216</v>
      </c>
      <c r="S164" t="str">
        <f t="shared" si="10"/>
        <v>PX: Baja Crit.</v>
      </c>
      <c r="T164">
        <f t="shared" si="11"/>
        <v>0</v>
      </c>
      <c r="U164">
        <f t="shared" si="12"/>
        <v>0</v>
      </c>
      <c r="V164">
        <f t="shared" si="13"/>
        <v>1</v>
      </c>
      <c r="W164">
        <f t="shared" si="14"/>
        <v>0</v>
      </c>
      <c r="X164">
        <v>1</v>
      </c>
      <c r="Y164" s="2">
        <v>45768</v>
      </c>
      <c r="Z164" s="3" t="s">
        <v>38</v>
      </c>
      <c r="AA164" t="s">
        <v>39</v>
      </c>
      <c r="AB164" t="s">
        <v>40</v>
      </c>
      <c r="AC164" t="s">
        <v>40</v>
      </c>
      <c r="AD164" t="s">
        <v>41</v>
      </c>
    </row>
    <row r="165" spans="2:30">
      <c r="B165">
        <v>11</v>
      </c>
      <c r="C165">
        <v>1020</v>
      </c>
      <c r="D165" t="s">
        <v>29</v>
      </c>
      <c r="E165">
        <v>10050709</v>
      </c>
      <c r="F165" t="s">
        <v>240</v>
      </c>
      <c r="G165" t="s">
        <v>31</v>
      </c>
      <c r="H165" t="s">
        <v>32</v>
      </c>
      <c r="I165" t="s">
        <v>33</v>
      </c>
      <c r="J165" t="s">
        <v>34</v>
      </c>
      <c r="K165" t="s">
        <v>35</v>
      </c>
      <c r="L165" t="s">
        <v>36</v>
      </c>
      <c r="M165" t="s">
        <v>88</v>
      </c>
      <c r="N165">
        <v>30</v>
      </c>
      <c r="O165">
        <v>16</v>
      </c>
      <c r="P165">
        <v>5</v>
      </c>
      <c r="Q165">
        <v>48</v>
      </c>
      <c r="R165">
        <v>101.76</v>
      </c>
      <c r="S165" t="str">
        <f t="shared" si="10"/>
        <v>PX: Baja Crit.</v>
      </c>
      <c r="T165">
        <f t="shared" si="11"/>
        <v>0</v>
      </c>
      <c r="U165">
        <f t="shared" si="12"/>
        <v>0</v>
      </c>
      <c r="V165">
        <f t="shared" si="13"/>
        <v>0</v>
      </c>
      <c r="W165">
        <f t="shared" si="14"/>
        <v>1</v>
      </c>
      <c r="X165">
        <v>1</v>
      </c>
      <c r="Y165" s="2">
        <v>45768</v>
      </c>
      <c r="Z165" s="3" t="s">
        <v>89</v>
      </c>
      <c r="AA165" t="s">
        <v>39</v>
      </c>
      <c r="AB165" t="s">
        <v>40</v>
      </c>
      <c r="AC165" t="s">
        <v>40</v>
      </c>
      <c r="AD165" t="s">
        <v>41</v>
      </c>
    </row>
    <row r="166" spans="2:30">
      <c r="B166">
        <v>11</v>
      </c>
      <c r="C166">
        <v>1020</v>
      </c>
      <c r="D166" t="s">
        <v>29</v>
      </c>
      <c r="E166">
        <v>10048218</v>
      </c>
      <c r="F166" t="s">
        <v>241</v>
      </c>
      <c r="G166" t="s">
        <v>52</v>
      </c>
      <c r="H166" t="s">
        <v>60</v>
      </c>
      <c r="I166" t="s">
        <v>33</v>
      </c>
      <c r="J166" t="s">
        <v>45</v>
      </c>
      <c r="K166" t="s">
        <v>35</v>
      </c>
      <c r="L166" t="s">
        <v>36</v>
      </c>
      <c r="M166" t="s">
        <v>46</v>
      </c>
      <c r="N166">
        <v>10</v>
      </c>
      <c r="O166">
        <v>7</v>
      </c>
      <c r="P166">
        <v>4</v>
      </c>
      <c r="Q166">
        <v>6</v>
      </c>
      <c r="R166" s="4">
        <v>3998.64</v>
      </c>
      <c r="S166" t="str">
        <f t="shared" si="10"/>
        <v>PZ: Alta Crit.</v>
      </c>
      <c r="T166">
        <f t="shared" si="11"/>
        <v>0</v>
      </c>
      <c r="U166">
        <f t="shared" si="12"/>
        <v>0</v>
      </c>
      <c r="V166">
        <f t="shared" si="13"/>
        <v>1</v>
      </c>
      <c r="W166">
        <f t="shared" si="14"/>
        <v>0</v>
      </c>
      <c r="X166">
        <v>1</v>
      </c>
      <c r="Y166" s="2">
        <v>45768</v>
      </c>
      <c r="Z166" s="3" t="s">
        <v>47</v>
      </c>
      <c r="AA166" t="s">
        <v>39</v>
      </c>
      <c r="AB166" t="s">
        <v>49</v>
      </c>
      <c r="AC166" s="5" t="s">
        <v>50</v>
      </c>
      <c r="AD166" t="s">
        <v>41</v>
      </c>
    </row>
    <row r="167" spans="2:30">
      <c r="B167">
        <v>11</v>
      </c>
      <c r="C167">
        <v>1020</v>
      </c>
      <c r="D167" t="s">
        <v>29</v>
      </c>
      <c r="E167">
        <v>10040495</v>
      </c>
      <c r="F167" t="s">
        <v>242</v>
      </c>
      <c r="G167" t="s">
        <v>31</v>
      </c>
      <c r="H167" t="s">
        <v>32</v>
      </c>
      <c r="I167" t="s">
        <v>33</v>
      </c>
      <c r="J167" t="s">
        <v>34</v>
      </c>
      <c r="K167" t="s">
        <v>35</v>
      </c>
      <c r="L167" t="s">
        <v>36</v>
      </c>
      <c r="M167" t="s">
        <v>88</v>
      </c>
      <c r="N167" s="8">
        <v>1500</v>
      </c>
      <c r="O167">
        <v>901</v>
      </c>
      <c r="P167">
        <v>200</v>
      </c>
      <c r="Q167" s="8">
        <v>1000</v>
      </c>
      <c r="R167">
        <v>300</v>
      </c>
      <c r="S167" t="str">
        <f t="shared" si="10"/>
        <v>PX: Baja Crit.</v>
      </c>
      <c r="T167">
        <f t="shared" si="11"/>
        <v>0</v>
      </c>
      <c r="U167">
        <f t="shared" si="12"/>
        <v>0</v>
      </c>
      <c r="V167">
        <f t="shared" si="13"/>
        <v>1</v>
      </c>
      <c r="W167">
        <f t="shared" si="14"/>
        <v>0</v>
      </c>
      <c r="X167">
        <v>1</v>
      </c>
      <c r="Y167" s="2">
        <v>45768</v>
      </c>
      <c r="Z167" s="3" t="s">
        <v>89</v>
      </c>
      <c r="AA167" t="s">
        <v>39</v>
      </c>
      <c r="AB167" t="s">
        <v>40</v>
      </c>
      <c r="AC167" t="s">
        <v>40</v>
      </c>
      <c r="AD167" t="s">
        <v>41</v>
      </c>
    </row>
    <row r="168" spans="2:30">
      <c r="B168">
        <v>11</v>
      </c>
      <c r="C168">
        <v>1020</v>
      </c>
      <c r="D168" t="s">
        <v>29</v>
      </c>
      <c r="E168">
        <v>14240144</v>
      </c>
      <c r="F168" t="s">
        <v>243</v>
      </c>
      <c r="G168" t="s">
        <v>43</v>
      </c>
      <c r="H168" t="s">
        <v>32</v>
      </c>
      <c r="I168" t="s">
        <v>33</v>
      </c>
      <c r="J168" t="s">
        <v>45</v>
      </c>
      <c r="K168" t="s">
        <v>35</v>
      </c>
      <c r="L168" t="s">
        <v>36</v>
      </c>
      <c r="M168" t="s">
        <v>37</v>
      </c>
      <c r="N168" s="8">
        <v>2000</v>
      </c>
      <c r="O168">
        <v>600</v>
      </c>
      <c r="P168">
        <v>0</v>
      </c>
      <c r="Q168">
        <v>0</v>
      </c>
      <c r="R168">
        <v>0</v>
      </c>
      <c r="S168" t="str">
        <f t="shared" si="10"/>
        <v>PY: Media Crit.</v>
      </c>
      <c r="T168">
        <f t="shared" si="11"/>
        <v>1</v>
      </c>
      <c r="U168">
        <f t="shared" si="12"/>
        <v>0</v>
      </c>
      <c r="V168">
        <f t="shared" si="13"/>
        <v>0</v>
      </c>
      <c r="W168">
        <f t="shared" si="14"/>
        <v>0</v>
      </c>
      <c r="X168">
        <v>1</v>
      </c>
      <c r="Y168" s="2">
        <v>45768</v>
      </c>
      <c r="Z168" s="3" t="s">
        <v>38</v>
      </c>
      <c r="AA168" t="s">
        <v>39</v>
      </c>
      <c r="AB168" t="s">
        <v>49</v>
      </c>
      <c r="AC168" s="5" t="s">
        <v>50</v>
      </c>
      <c r="AD168" t="s">
        <v>41</v>
      </c>
    </row>
    <row r="169" spans="2:30">
      <c r="B169">
        <v>11</v>
      </c>
      <c r="C169">
        <v>1020</v>
      </c>
      <c r="D169" t="s">
        <v>29</v>
      </c>
      <c r="E169">
        <v>14145087</v>
      </c>
      <c r="F169" t="s">
        <v>244</v>
      </c>
      <c r="G169" t="s">
        <v>43</v>
      </c>
      <c r="H169" t="s">
        <v>32</v>
      </c>
      <c r="I169" t="s">
        <v>33</v>
      </c>
      <c r="J169" t="s">
        <v>45</v>
      </c>
      <c r="K169" t="s">
        <v>35</v>
      </c>
      <c r="L169" t="s">
        <v>36</v>
      </c>
      <c r="M169" t="s">
        <v>117</v>
      </c>
      <c r="N169">
        <v>25</v>
      </c>
      <c r="O169">
        <v>14</v>
      </c>
      <c r="P169">
        <v>6</v>
      </c>
      <c r="Q169">
        <v>0</v>
      </c>
      <c r="R169">
        <v>0</v>
      </c>
      <c r="S169" t="str">
        <f t="shared" si="10"/>
        <v>PY: Media Crit.</v>
      </c>
      <c r="T169">
        <f t="shared" si="11"/>
        <v>1</v>
      </c>
      <c r="U169">
        <f t="shared" si="12"/>
        <v>0</v>
      </c>
      <c r="V169">
        <f t="shared" si="13"/>
        <v>0</v>
      </c>
      <c r="W169">
        <f t="shared" si="14"/>
        <v>0</v>
      </c>
      <c r="X169">
        <v>1</v>
      </c>
      <c r="Y169" s="2">
        <v>45768</v>
      </c>
      <c r="Z169" s="3" t="s">
        <v>118</v>
      </c>
      <c r="AA169" t="s">
        <v>39</v>
      </c>
      <c r="AB169" t="s">
        <v>49</v>
      </c>
      <c r="AC169" s="5" t="s">
        <v>50</v>
      </c>
      <c r="AD169" t="s">
        <v>41</v>
      </c>
    </row>
    <row r="170" spans="2:30">
      <c r="B170">
        <v>11</v>
      </c>
      <c r="C170">
        <v>1020</v>
      </c>
      <c r="D170" t="s">
        <v>29</v>
      </c>
      <c r="E170">
        <v>10044221</v>
      </c>
      <c r="F170" t="s">
        <v>245</v>
      </c>
      <c r="G170" t="s">
        <v>43</v>
      </c>
      <c r="H170" t="s">
        <v>60</v>
      </c>
      <c r="I170" t="s">
        <v>33</v>
      </c>
      <c r="J170" t="s">
        <v>34</v>
      </c>
      <c r="K170" t="s">
        <v>62</v>
      </c>
      <c r="L170" t="s">
        <v>36</v>
      </c>
      <c r="M170" t="s">
        <v>46</v>
      </c>
      <c r="N170">
        <v>180</v>
      </c>
      <c r="O170">
        <v>91</v>
      </c>
      <c r="P170">
        <v>48</v>
      </c>
      <c r="Q170">
        <v>147</v>
      </c>
      <c r="R170" s="4">
        <v>1764</v>
      </c>
      <c r="S170" t="str">
        <f t="shared" si="10"/>
        <v>PY: Media Crit.</v>
      </c>
      <c r="T170">
        <f t="shared" si="11"/>
        <v>0</v>
      </c>
      <c r="U170">
        <f t="shared" si="12"/>
        <v>0</v>
      </c>
      <c r="V170">
        <f t="shared" si="13"/>
        <v>1</v>
      </c>
      <c r="W170">
        <f t="shared" si="14"/>
        <v>0</v>
      </c>
      <c r="X170">
        <v>1</v>
      </c>
      <c r="Y170" s="2">
        <v>45768</v>
      </c>
      <c r="Z170" s="3" t="s">
        <v>47</v>
      </c>
      <c r="AA170" t="s">
        <v>39</v>
      </c>
      <c r="AB170" t="s">
        <v>40</v>
      </c>
      <c r="AC170" t="s">
        <v>40</v>
      </c>
      <c r="AD170" t="s">
        <v>41</v>
      </c>
    </row>
    <row r="171" spans="2:30">
      <c r="B171">
        <v>11</v>
      </c>
      <c r="C171">
        <v>1020</v>
      </c>
      <c r="D171" t="s">
        <v>29</v>
      </c>
      <c r="E171">
        <v>14091661</v>
      </c>
      <c r="F171" t="s">
        <v>246</v>
      </c>
      <c r="G171" t="s">
        <v>52</v>
      </c>
      <c r="H171" t="s">
        <v>60</v>
      </c>
      <c r="I171" t="s">
        <v>33</v>
      </c>
      <c r="J171" t="s">
        <v>34</v>
      </c>
      <c r="K171" t="s">
        <v>35</v>
      </c>
      <c r="L171" t="s">
        <v>36</v>
      </c>
      <c r="M171" t="s">
        <v>46</v>
      </c>
      <c r="N171">
        <v>20</v>
      </c>
      <c r="O171">
        <v>11</v>
      </c>
      <c r="P171">
        <v>8</v>
      </c>
      <c r="Q171">
        <v>6</v>
      </c>
      <c r="R171" s="4">
        <v>2799.65</v>
      </c>
      <c r="S171" t="str">
        <f t="shared" si="10"/>
        <v>PZ: Alta Crit.</v>
      </c>
      <c r="T171">
        <f t="shared" si="11"/>
        <v>0</v>
      </c>
      <c r="U171">
        <f t="shared" si="12"/>
        <v>1</v>
      </c>
      <c r="V171">
        <f t="shared" si="13"/>
        <v>0</v>
      </c>
      <c r="W171">
        <f t="shared" si="14"/>
        <v>0</v>
      </c>
      <c r="X171">
        <v>1</v>
      </c>
      <c r="Y171" s="2">
        <v>45768</v>
      </c>
      <c r="Z171" s="3" t="s">
        <v>47</v>
      </c>
      <c r="AA171" t="s">
        <v>39</v>
      </c>
      <c r="AB171" t="s">
        <v>49</v>
      </c>
      <c r="AC171" s="5" t="s">
        <v>50</v>
      </c>
      <c r="AD171" t="s">
        <v>41</v>
      </c>
    </row>
    <row r="172" spans="2:30">
      <c r="B172">
        <v>11</v>
      </c>
      <c r="C172">
        <v>1020</v>
      </c>
      <c r="D172" t="s">
        <v>29</v>
      </c>
      <c r="E172">
        <v>10040678</v>
      </c>
      <c r="F172" t="s">
        <v>247</v>
      </c>
      <c r="G172" t="s">
        <v>31</v>
      </c>
      <c r="H172" t="s">
        <v>44</v>
      </c>
      <c r="I172" t="s">
        <v>33</v>
      </c>
      <c r="J172" t="s">
        <v>45</v>
      </c>
      <c r="K172" t="s">
        <v>35</v>
      </c>
      <c r="L172" t="s">
        <v>36</v>
      </c>
      <c r="M172" t="s">
        <v>117</v>
      </c>
      <c r="N172">
        <v>250</v>
      </c>
      <c r="O172">
        <v>101</v>
      </c>
      <c r="P172">
        <v>50</v>
      </c>
      <c r="Q172">
        <v>0</v>
      </c>
      <c r="R172">
        <v>0</v>
      </c>
      <c r="S172" t="str">
        <f t="shared" si="10"/>
        <v>PX: Baja Crit.</v>
      </c>
      <c r="T172">
        <f t="shared" si="11"/>
        <v>1</v>
      </c>
      <c r="U172">
        <f t="shared" si="12"/>
        <v>0</v>
      </c>
      <c r="V172">
        <f t="shared" si="13"/>
        <v>0</v>
      </c>
      <c r="W172">
        <f t="shared" si="14"/>
        <v>0</v>
      </c>
      <c r="X172">
        <v>1</v>
      </c>
      <c r="Y172" s="2">
        <v>45768</v>
      </c>
      <c r="Z172" s="3" t="s">
        <v>118</v>
      </c>
      <c r="AA172" t="s">
        <v>39</v>
      </c>
      <c r="AB172" t="s">
        <v>76</v>
      </c>
      <c r="AC172" s="5" t="s">
        <v>77</v>
      </c>
      <c r="AD172" t="s">
        <v>41</v>
      </c>
    </row>
    <row r="173" spans="2:30">
      <c r="B173">
        <v>11</v>
      </c>
      <c r="C173">
        <v>1020</v>
      </c>
      <c r="D173" t="s">
        <v>29</v>
      </c>
      <c r="E173">
        <v>10043908</v>
      </c>
      <c r="F173" t="s">
        <v>248</v>
      </c>
      <c r="G173" t="s">
        <v>31</v>
      </c>
      <c r="H173" t="s">
        <v>32</v>
      </c>
      <c r="I173" t="s">
        <v>33</v>
      </c>
      <c r="J173" t="s">
        <v>45</v>
      </c>
      <c r="K173" t="s">
        <v>249</v>
      </c>
      <c r="L173" t="s">
        <v>36</v>
      </c>
      <c r="M173" t="s">
        <v>46</v>
      </c>
      <c r="N173">
        <v>996</v>
      </c>
      <c r="O173">
        <v>120</v>
      </c>
      <c r="P173">
        <v>36</v>
      </c>
      <c r="Q173">
        <v>229</v>
      </c>
      <c r="R173" s="4">
        <v>2137.48</v>
      </c>
      <c r="S173" t="str">
        <f t="shared" si="10"/>
        <v>PX: Baja Crit.</v>
      </c>
      <c r="T173">
        <f t="shared" si="11"/>
        <v>0</v>
      </c>
      <c r="U173">
        <f t="shared" si="12"/>
        <v>0</v>
      </c>
      <c r="V173">
        <f t="shared" si="13"/>
        <v>1</v>
      </c>
      <c r="W173">
        <f t="shared" si="14"/>
        <v>0</v>
      </c>
      <c r="X173">
        <v>1</v>
      </c>
      <c r="Y173" s="2">
        <v>45768</v>
      </c>
      <c r="Z173" s="3" t="s">
        <v>47</v>
      </c>
      <c r="AA173" t="s">
        <v>39</v>
      </c>
      <c r="AB173" t="s">
        <v>76</v>
      </c>
      <c r="AC173" s="5" t="s">
        <v>77</v>
      </c>
      <c r="AD173" t="s">
        <v>41</v>
      </c>
    </row>
    <row r="174" spans="2:30">
      <c r="B174">
        <v>11</v>
      </c>
      <c r="C174">
        <v>1020</v>
      </c>
      <c r="D174" t="s">
        <v>29</v>
      </c>
      <c r="E174">
        <v>10056362</v>
      </c>
      <c r="F174" t="s">
        <v>250</v>
      </c>
      <c r="G174" t="s">
        <v>52</v>
      </c>
      <c r="H174" t="s">
        <v>32</v>
      </c>
      <c r="I174" t="s">
        <v>33</v>
      </c>
      <c r="J174" t="s">
        <v>34</v>
      </c>
      <c r="K174" t="s">
        <v>35</v>
      </c>
      <c r="L174" t="s">
        <v>36</v>
      </c>
      <c r="M174" t="s">
        <v>88</v>
      </c>
      <c r="N174">
        <v>400</v>
      </c>
      <c r="O174">
        <v>201</v>
      </c>
      <c r="P174">
        <v>100</v>
      </c>
      <c r="Q174">
        <v>400</v>
      </c>
      <c r="R174" s="4">
        <v>5000</v>
      </c>
      <c r="S174" t="str">
        <f t="shared" si="10"/>
        <v>PZ: Alta Crit.</v>
      </c>
      <c r="T174">
        <f t="shared" si="11"/>
        <v>0</v>
      </c>
      <c r="U174">
        <f t="shared" si="12"/>
        <v>0</v>
      </c>
      <c r="V174">
        <f t="shared" si="13"/>
        <v>1</v>
      </c>
      <c r="W174">
        <f t="shared" si="14"/>
        <v>0</v>
      </c>
      <c r="X174">
        <v>1</v>
      </c>
      <c r="Y174" s="2">
        <v>45768</v>
      </c>
      <c r="Z174" s="3" t="s">
        <v>89</v>
      </c>
      <c r="AA174" t="s">
        <v>39</v>
      </c>
      <c r="AB174" t="s">
        <v>40</v>
      </c>
      <c r="AC174" t="s">
        <v>40</v>
      </c>
      <c r="AD174" t="s">
        <v>41</v>
      </c>
    </row>
    <row r="175" spans="2:30">
      <c r="B175">
        <v>11</v>
      </c>
      <c r="C175">
        <v>1020</v>
      </c>
      <c r="D175" t="s">
        <v>29</v>
      </c>
      <c r="E175">
        <v>10598900</v>
      </c>
      <c r="F175" t="s">
        <v>251</v>
      </c>
      <c r="G175" t="s">
        <v>43</v>
      </c>
      <c r="H175" t="s">
        <v>60</v>
      </c>
      <c r="I175" t="s">
        <v>33</v>
      </c>
      <c r="J175" t="s">
        <v>34</v>
      </c>
      <c r="K175" t="s">
        <v>252</v>
      </c>
      <c r="L175" t="s">
        <v>36</v>
      </c>
      <c r="M175" t="s">
        <v>46</v>
      </c>
      <c r="N175" s="8">
        <v>15000</v>
      </c>
      <c r="O175" s="8">
        <v>9001</v>
      </c>
      <c r="P175" s="8">
        <v>5000</v>
      </c>
      <c r="Q175" s="8">
        <v>18000</v>
      </c>
      <c r="R175" s="4">
        <v>13672.14</v>
      </c>
      <c r="S175" t="str">
        <f t="shared" si="10"/>
        <v>PY: Media Crit.</v>
      </c>
      <c r="T175">
        <f t="shared" si="11"/>
        <v>0</v>
      </c>
      <c r="U175">
        <f t="shared" si="12"/>
        <v>0</v>
      </c>
      <c r="V175">
        <f t="shared" si="13"/>
        <v>0</v>
      </c>
      <c r="W175">
        <f t="shared" si="14"/>
        <v>1</v>
      </c>
      <c r="X175">
        <v>1</v>
      </c>
      <c r="Y175" s="2">
        <v>45768</v>
      </c>
      <c r="Z175" s="3" t="s">
        <v>47</v>
      </c>
      <c r="AA175" t="s">
        <v>39</v>
      </c>
      <c r="AB175" t="s">
        <v>76</v>
      </c>
      <c r="AC175" s="5" t="s">
        <v>77</v>
      </c>
      <c r="AD175" t="s">
        <v>41</v>
      </c>
    </row>
    <row r="176" spans="2:30">
      <c r="B176">
        <v>11</v>
      </c>
      <c r="C176">
        <v>1020</v>
      </c>
      <c r="D176" t="s">
        <v>29</v>
      </c>
      <c r="E176">
        <v>14136955</v>
      </c>
      <c r="F176" t="s">
        <v>253</v>
      </c>
      <c r="G176" t="s">
        <v>52</v>
      </c>
      <c r="H176" t="s">
        <v>32</v>
      </c>
      <c r="I176" t="s">
        <v>33</v>
      </c>
      <c r="J176" t="s">
        <v>45</v>
      </c>
      <c r="K176" t="s">
        <v>35</v>
      </c>
      <c r="L176" t="s">
        <v>36</v>
      </c>
      <c r="M176" t="s">
        <v>37</v>
      </c>
      <c r="N176">
        <v>60</v>
      </c>
      <c r="O176">
        <v>36</v>
      </c>
      <c r="P176">
        <v>10</v>
      </c>
      <c r="Q176">
        <v>48</v>
      </c>
      <c r="R176">
        <v>317.27999999999997</v>
      </c>
      <c r="S176" t="str">
        <f t="shared" si="10"/>
        <v>PZ: Alta Crit.</v>
      </c>
      <c r="T176">
        <f t="shared" si="11"/>
        <v>0</v>
      </c>
      <c r="U176">
        <f t="shared" si="12"/>
        <v>0</v>
      </c>
      <c r="V176">
        <f t="shared" si="13"/>
        <v>1</v>
      </c>
      <c r="W176">
        <f t="shared" si="14"/>
        <v>0</v>
      </c>
      <c r="X176">
        <v>1</v>
      </c>
      <c r="Y176" s="2">
        <v>45768</v>
      </c>
      <c r="Z176" s="3" t="s">
        <v>38</v>
      </c>
      <c r="AA176" t="s">
        <v>39</v>
      </c>
      <c r="AB176" t="s">
        <v>40</v>
      </c>
      <c r="AC176" t="s">
        <v>40</v>
      </c>
      <c r="AD176" t="s">
        <v>41</v>
      </c>
    </row>
    <row r="177" spans="2:30">
      <c r="B177">
        <v>11</v>
      </c>
      <c r="C177">
        <v>1020</v>
      </c>
      <c r="D177" t="s">
        <v>29</v>
      </c>
      <c r="E177">
        <v>10602692</v>
      </c>
      <c r="F177" t="s">
        <v>254</v>
      </c>
      <c r="G177" t="s">
        <v>52</v>
      </c>
      <c r="H177" t="s">
        <v>32</v>
      </c>
      <c r="I177" t="s">
        <v>33</v>
      </c>
      <c r="J177" t="s">
        <v>34</v>
      </c>
      <c r="K177" t="s">
        <v>65</v>
      </c>
      <c r="L177" t="s">
        <v>36</v>
      </c>
      <c r="M177" t="s">
        <v>88</v>
      </c>
      <c r="N177">
        <v>150</v>
      </c>
      <c r="O177">
        <v>76</v>
      </c>
      <c r="P177">
        <v>10</v>
      </c>
      <c r="Q177">
        <v>150</v>
      </c>
      <c r="R177" s="4">
        <v>1881</v>
      </c>
      <c r="S177" t="str">
        <f t="shared" si="10"/>
        <v>PZ: Alta Crit.</v>
      </c>
      <c r="T177">
        <f t="shared" si="11"/>
        <v>0</v>
      </c>
      <c r="U177">
        <f t="shared" si="12"/>
        <v>0</v>
      </c>
      <c r="V177">
        <f t="shared" si="13"/>
        <v>1</v>
      </c>
      <c r="W177">
        <f t="shared" si="14"/>
        <v>0</v>
      </c>
      <c r="X177">
        <v>1</v>
      </c>
      <c r="Y177" s="2">
        <v>45768</v>
      </c>
      <c r="Z177" s="3" t="s">
        <v>89</v>
      </c>
      <c r="AA177" t="s">
        <v>39</v>
      </c>
      <c r="AB177" t="s">
        <v>40</v>
      </c>
      <c r="AC177" t="s">
        <v>40</v>
      </c>
      <c r="AD177" t="s">
        <v>41</v>
      </c>
    </row>
    <row r="178" spans="2:30">
      <c r="B178">
        <v>11</v>
      </c>
      <c r="C178">
        <v>1020</v>
      </c>
      <c r="D178" t="s">
        <v>29</v>
      </c>
      <c r="E178">
        <v>14248360</v>
      </c>
      <c r="F178" t="s">
        <v>255</v>
      </c>
      <c r="G178" t="s">
        <v>52</v>
      </c>
      <c r="H178" t="s">
        <v>44</v>
      </c>
      <c r="I178" t="s">
        <v>33</v>
      </c>
      <c r="J178" t="s">
        <v>45</v>
      </c>
      <c r="K178" t="s">
        <v>35</v>
      </c>
      <c r="L178" t="s">
        <v>36</v>
      </c>
      <c r="M178" t="s">
        <v>88</v>
      </c>
      <c r="N178">
        <v>800</v>
      </c>
      <c r="O178">
        <v>501</v>
      </c>
      <c r="P178">
        <v>300</v>
      </c>
      <c r="Q178" s="8">
        <v>1550</v>
      </c>
      <c r="R178" s="4">
        <v>68678.94</v>
      </c>
      <c r="S178" t="str">
        <f t="shared" si="10"/>
        <v>PZ: Alta Crit.</v>
      </c>
      <c r="T178">
        <f t="shared" si="11"/>
        <v>0</v>
      </c>
      <c r="U178">
        <f t="shared" si="12"/>
        <v>0</v>
      </c>
      <c r="V178">
        <f t="shared" si="13"/>
        <v>0</v>
      </c>
      <c r="W178">
        <f t="shared" si="14"/>
        <v>1</v>
      </c>
      <c r="X178">
        <v>1</v>
      </c>
      <c r="Y178" s="2">
        <v>45768</v>
      </c>
      <c r="Z178" s="3" t="s">
        <v>89</v>
      </c>
      <c r="AA178" t="s">
        <v>39</v>
      </c>
      <c r="AB178" t="s">
        <v>40</v>
      </c>
      <c r="AC178" t="s">
        <v>40</v>
      </c>
      <c r="AD178" t="s">
        <v>41</v>
      </c>
    </row>
    <row r="179" spans="2:30">
      <c r="B179">
        <v>10</v>
      </c>
      <c r="C179">
        <v>1020</v>
      </c>
      <c r="D179" t="s">
        <v>29</v>
      </c>
      <c r="E179">
        <v>10294352</v>
      </c>
      <c r="F179" t="s">
        <v>256</v>
      </c>
      <c r="G179" t="s">
        <v>52</v>
      </c>
      <c r="H179" t="s">
        <v>32</v>
      </c>
      <c r="I179" t="s">
        <v>33</v>
      </c>
      <c r="J179" t="s">
        <v>34</v>
      </c>
      <c r="K179" t="s">
        <v>35</v>
      </c>
      <c r="L179" t="s">
        <v>36</v>
      </c>
      <c r="M179" t="s">
        <v>46</v>
      </c>
      <c r="N179">
        <v>30</v>
      </c>
      <c r="O179">
        <v>16</v>
      </c>
      <c r="P179">
        <v>8</v>
      </c>
      <c r="Q179">
        <v>26</v>
      </c>
      <c r="R179" s="4">
        <v>1222.97</v>
      </c>
      <c r="S179" t="str">
        <f t="shared" si="10"/>
        <v>PZ: Alta Crit.</v>
      </c>
      <c r="T179">
        <f t="shared" si="11"/>
        <v>0</v>
      </c>
      <c r="U179">
        <f t="shared" si="12"/>
        <v>0</v>
      </c>
      <c r="V179">
        <f t="shared" si="13"/>
        <v>1</v>
      </c>
      <c r="W179">
        <f t="shared" si="14"/>
        <v>0</v>
      </c>
      <c r="X179">
        <v>1</v>
      </c>
      <c r="Y179" s="2">
        <v>45768</v>
      </c>
      <c r="Z179" s="3" t="s">
        <v>47</v>
      </c>
      <c r="AA179" t="s">
        <v>39</v>
      </c>
      <c r="AB179" t="s">
        <v>40</v>
      </c>
      <c r="AC179" t="s">
        <v>40</v>
      </c>
      <c r="AD179" t="s">
        <v>41</v>
      </c>
    </row>
    <row r="180" spans="2:30">
      <c r="B180">
        <v>10</v>
      </c>
      <c r="C180">
        <v>1020</v>
      </c>
      <c r="D180" t="s">
        <v>29</v>
      </c>
      <c r="E180">
        <v>10056561</v>
      </c>
      <c r="F180" t="s">
        <v>257</v>
      </c>
      <c r="G180" t="s">
        <v>31</v>
      </c>
      <c r="H180" t="s">
        <v>32</v>
      </c>
      <c r="I180" t="s">
        <v>33</v>
      </c>
      <c r="J180" t="s">
        <v>34</v>
      </c>
      <c r="K180" t="s">
        <v>35</v>
      </c>
      <c r="L180" t="s">
        <v>36</v>
      </c>
      <c r="M180" t="s">
        <v>37</v>
      </c>
      <c r="N180">
        <v>40</v>
      </c>
      <c r="O180">
        <v>21</v>
      </c>
      <c r="P180">
        <v>9</v>
      </c>
      <c r="Q180">
        <v>27</v>
      </c>
      <c r="R180" s="4">
        <v>2190.66</v>
      </c>
      <c r="S180" t="str">
        <f t="shared" si="10"/>
        <v>PX: Baja Crit.</v>
      </c>
      <c r="T180">
        <f t="shared" si="11"/>
        <v>0</v>
      </c>
      <c r="U180">
        <f t="shared" si="12"/>
        <v>0</v>
      </c>
      <c r="V180">
        <f t="shared" si="13"/>
        <v>1</v>
      </c>
      <c r="W180">
        <f t="shared" si="14"/>
        <v>0</v>
      </c>
      <c r="X180">
        <v>1</v>
      </c>
      <c r="Y180" s="2">
        <v>45768</v>
      </c>
      <c r="Z180" s="3" t="s">
        <v>38</v>
      </c>
      <c r="AA180" t="s">
        <v>39</v>
      </c>
      <c r="AB180" t="s">
        <v>40</v>
      </c>
      <c r="AC180" t="s">
        <v>40</v>
      </c>
      <c r="AD180" t="s">
        <v>41</v>
      </c>
    </row>
    <row r="181" spans="2:30">
      <c r="B181">
        <v>10</v>
      </c>
      <c r="C181">
        <v>1020</v>
      </c>
      <c r="D181" t="s">
        <v>29</v>
      </c>
      <c r="E181">
        <v>10044306</v>
      </c>
      <c r="F181" t="s">
        <v>258</v>
      </c>
      <c r="G181" t="s">
        <v>52</v>
      </c>
      <c r="H181" t="s">
        <v>32</v>
      </c>
      <c r="I181" t="s">
        <v>33</v>
      </c>
      <c r="J181" t="s">
        <v>34</v>
      </c>
      <c r="K181" t="s">
        <v>35</v>
      </c>
      <c r="L181" t="s">
        <v>36</v>
      </c>
      <c r="M181" t="s">
        <v>46</v>
      </c>
      <c r="N181">
        <v>14</v>
      </c>
      <c r="O181">
        <v>8</v>
      </c>
      <c r="P181">
        <v>3</v>
      </c>
      <c r="Q181">
        <v>12</v>
      </c>
      <c r="R181" s="4">
        <v>1306.81</v>
      </c>
      <c r="S181" t="str">
        <f t="shared" si="10"/>
        <v>PZ: Alta Crit.</v>
      </c>
      <c r="T181">
        <f t="shared" si="11"/>
        <v>0</v>
      </c>
      <c r="U181">
        <f t="shared" si="12"/>
        <v>0</v>
      </c>
      <c r="V181">
        <f t="shared" si="13"/>
        <v>1</v>
      </c>
      <c r="W181">
        <f t="shared" si="14"/>
        <v>0</v>
      </c>
      <c r="X181">
        <v>1</v>
      </c>
      <c r="Y181" s="2">
        <v>45768</v>
      </c>
      <c r="Z181" s="3" t="s">
        <v>47</v>
      </c>
      <c r="AA181" t="s">
        <v>39</v>
      </c>
      <c r="AB181" t="s">
        <v>76</v>
      </c>
      <c r="AC181" s="5" t="s">
        <v>77</v>
      </c>
      <c r="AD181" t="s">
        <v>41</v>
      </c>
    </row>
    <row r="182" spans="2:30">
      <c r="B182">
        <v>10</v>
      </c>
      <c r="C182">
        <v>1020</v>
      </c>
      <c r="D182" t="s">
        <v>29</v>
      </c>
      <c r="E182">
        <v>10034996</v>
      </c>
      <c r="F182" t="s">
        <v>259</v>
      </c>
      <c r="G182" t="s">
        <v>31</v>
      </c>
      <c r="H182" t="s">
        <v>32</v>
      </c>
      <c r="I182" t="s">
        <v>33</v>
      </c>
      <c r="J182" t="s">
        <v>34</v>
      </c>
      <c r="K182" t="s">
        <v>260</v>
      </c>
      <c r="L182" t="s">
        <v>36</v>
      </c>
      <c r="M182" t="s">
        <v>37</v>
      </c>
      <c r="N182">
        <v>5</v>
      </c>
      <c r="O182">
        <v>3</v>
      </c>
      <c r="P182">
        <v>1</v>
      </c>
      <c r="Q182">
        <v>4</v>
      </c>
      <c r="R182">
        <v>745.76</v>
      </c>
      <c r="S182" t="str">
        <f t="shared" si="10"/>
        <v>PX: Baja Crit.</v>
      </c>
      <c r="T182">
        <f t="shared" si="11"/>
        <v>0</v>
      </c>
      <c r="U182">
        <f t="shared" si="12"/>
        <v>0</v>
      </c>
      <c r="V182">
        <f t="shared" si="13"/>
        <v>1</v>
      </c>
      <c r="W182">
        <f t="shared" si="14"/>
        <v>0</v>
      </c>
      <c r="X182">
        <v>1</v>
      </c>
      <c r="Y182" s="2">
        <v>45768</v>
      </c>
      <c r="Z182" s="3" t="s">
        <v>38</v>
      </c>
      <c r="AA182" t="s">
        <v>39</v>
      </c>
      <c r="AB182" t="s">
        <v>40</v>
      </c>
      <c r="AC182" t="s">
        <v>40</v>
      </c>
      <c r="AD182" t="s">
        <v>41</v>
      </c>
    </row>
    <row r="183" spans="2:30">
      <c r="B183">
        <v>10</v>
      </c>
      <c r="C183">
        <v>1020</v>
      </c>
      <c r="D183" t="s">
        <v>29</v>
      </c>
      <c r="E183">
        <v>10045790</v>
      </c>
      <c r="F183" t="s">
        <v>261</v>
      </c>
      <c r="G183" t="s">
        <v>43</v>
      </c>
      <c r="H183" t="s">
        <v>60</v>
      </c>
      <c r="I183" t="s">
        <v>33</v>
      </c>
      <c r="J183" t="s">
        <v>34</v>
      </c>
      <c r="K183" t="s">
        <v>35</v>
      </c>
      <c r="L183" t="s">
        <v>36</v>
      </c>
      <c r="M183" t="s">
        <v>37</v>
      </c>
      <c r="N183">
        <v>35</v>
      </c>
      <c r="O183">
        <v>31</v>
      </c>
      <c r="P183">
        <v>10</v>
      </c>
      <c r="Q183">
        <v>44</v>
      </c>
      <c r="R183" s="4">
        <v>5169.2</v>
      </c>
      <c r="S183" t="str">
        <f t="shared" si="10"/>
        <v>PY: Media Crit.</v>
      </c>
      <c r="T183">
        <f t="shared" si="11"/>
        <v>0</v>
      </c>
      <c r="U183">
        <f t="shared" si="12"/>
        <v>0</v>
      </c>
      <c r="V183">
        <f t="shared" si="13"/>
        <v>0</v>
      </c>
      <c r="W183">
        <f t="shared" si="14"/>
        <v>1</v>
      </c>
      <c r="X183">
        <v>1</v>
      </c>
      <c r="Y183" s="2">
        <v>45768</v>
      </c>
      <c r="Z183" s="3" t="s">
        <v>38</v>
      </c>
      <c r="AA183" t="s">
        <v>39</v>
      </c>
      <c r="AB183" t="s">
        <v>40</v>
      </c>
      <c r="AC183" t="s">
        <v>40</v>
      </c>
      <c r="AD183" t="s">
        <v>41</v>
      </c>
    </row>
    <row r="184" spans="2:30">
      <c r="B184">
        <v>10</v>
      </c>
      <c r="C184">
        <v>1020</v>
      </c>
      <c r="D184" t="s">
        <v>29</v>
      </c>
      <c r="E184">
        <v>10049529</v>
      </c>
      <c r="F184" t="s">
        <v>262</v>
      </c>
      <c r="G184" t="s">
        <v>43</v>
      </c>
      <c r="H184" t="s">
        <v>32</v>
      </c>
      <c r="I184" t="s">
        <v>33</v>
      </c>
      <c r="J184" t="s">
        <v>45</v>
      </c>
      <c r="K184" t="s">
        <v>35</v>
      </c>
      <c r="L184" t="s">
        <v>36</v>
      </c>
      <c r="M184" t="s">
        <v>46</v>
      </c>
      <c r="N184">
        <v>10</v>
      </c>
      <c r="O184">
        <v>6</v>
      </c>
      <c r="P184">
        <v>5</v>
      </c>
      <c r="Q184">
        <v>0</v>
      </c>
      <c r="R184">
        <v>0</v>
      </c>
      <c r="S184" t="str">
        <f t="shared" si="10"/>
        <v>PY: Media Crit.</v>
      </c>
      <c r="T184">
        <f t="shared" si="11"/>
        <v>1</v>
      </c>
      <c r="U184">
        <f t="shared" si="12"/>
        <v>0</v>
      </c>
      <c r="V184">
        <f t="shared" si="13"/>
        <v>0</v>
      </c>
      <c r="W184">
        <f t="shared" si="14"/>
        <v>0</v>
      </c>
      <c r="X184">
        <v>1</v>
      </c>
      <c r="Y184" s="2">
        <v>45768</v>
      </c>
      <c r="Z184" s="3" t="s">
        <v>47</v>
      </c>
      <c r="AA184" t="s">
        <v>39</v>
      </c>
      <c r="AB184" t="s">
        <v>76</v>
      </c>
      <c r="AC184" s="5" t="s">
        <v>77</v>
      </c>
      <c r="AD184" t="s">
        <v>41</v>
      </c>
    </row>
    <row r="185" spans="2:30">
      <c r="B185">
        <v>10</v>
      </c>
      <c r="C185">
        <v>1020</v>
      </c>
      <c r="D185" t="s">
        <v>29</v>
      </c>
      <c r="E185">
        <v>10056589</v>
      </c>
      <c r="F185" t="s">
        <v>263</v>
      </c>
      <c r="G185" t="s">
        <v>43</v>
      </c>
      <c r="H185" t="s">
        <v>60</v>
      </c>
      <c r="I185" t="s">
        <v>33</v>
      </c>
      <c r="J185" t="s">
        <v>34</v>
      </c>
      <c r="K185" t="s">
        <v>35</v>
      </c>
      <c r="L185" t="s">
        <v>36</v>
      </c>
      <c r="M185" t="s">
        <v>37</v>
      </c>
      <c r="N185">
        <v>24</v>
      </c>
      <c r="O185">
        <v>11</v>
      </c>
      <c r="P185">
        <v>3</v>
      </c>
      <c r="Q185">
        <v>19</v>
      </c>
      <c r="R185" s="4">
        <v>2991.14</v>
      </c>
      <c r="S185" t="str">
        <f t="shared" si="10"/>
        <v>PY: Media Crit.</v>
      </c>
      <c r="T185">
        <f t="shared" si="11"/>
        <v>0</v>
      </c>
      <c r="U185">
        <f t="shared" si="12"/>
        <v>0</v>
      </c>
      <c r="V185">
        <f t="shared" si="13"/>
        <v>1</v>
      </c>
      <c r="W185">
        <f t="shared" si="14"/>
        <v>0</v>
      </c>
      <c r="X185">
        <v>1</v>
      </c>
      <c r="Y185" s="2">
        <v>45768</v>
      </c>
      <c r="Z185" s="3" t="s">
        <v>38</v>
      </c>
      <c r="AA185" t="s">
        <v>39</v>
      </c>
      <c r="AB185" t="s">
        <v>40</v>
      </c>
      <c r="AC185" t="s">
        <v>40</v>
      </c>
      <c r="AD185" t="s">
        <v>41</v>
      </c>
    </row>
    <row r="186" spans="2:30">
      <c r="B186">
        <v>10</v>
      </c>
      <c r="C186">
        <v>1020</v>
      </c>
      <c r="D186" t="s">
        <v>29</v>
      </c>
      <c r="E186">
        <v>10056324</v>
      </c>
      <c r="F186" t="s">
        <v>264</v>
      </c>
      <c r="G186" t="s">
        <v>31</v>
      </c>
      <c r="H186" t="s">
        <v>32</v>
      </c>
      <c r="I186" t="s">
        <v>33</v>
      </c>
      <c r="J186" t="s">
        <v>34</v>
      </c>
      <c r="K186" t="s">
        <v>35</v>
      </c>
      <c r="L186" t="s">
        <v>36</v>
      </c>
      <c r="M186" t="s">
        <v>69</v>
      </c>
      <c r="N186">
        <v>19</v>
      </c>
      <c r="O186">
        <v>10</v>
      </c>
      <c r="P186">
        <v>3</v>
      </c>
      <c r="Q186">
        <v>16</v>
      </c>
      <c r="R186">
        <v>633.48</v>
      </c>
      <c r="S186" t="str">
        <f t="shared" si="10"/>
        <v>PX: Baja Crit.</v>
      </c>
      <c r="T186">
        <f t="shared" si="11"/>
        <v>0</v>
      </c>
      <c r="U186">
        <f t="shared" si="12"/>
        <v>0</v>
      </c>
      <c r="V186">
        <f t="shared" si="13"/>
        <v>1</v>
      </c>
      <c r="W186">
        <f t="shared" si="14"/>
        <v>0</v>
      </c>
      <c r="X186">
        <v>1</v>
      </c>
      <c r="Y186" s="2">
        <v>45768</v>
      </c>
      <c r="Z186" s="3" t="s">
        <v>70</v>
      </c>
      <c r="AA186" t="s">
        <v>39</v>
      </c>
      <c r="AB186" t="s">
        <v>40</v>
      </c>
      <c r="AC186" t="s">
        <v>40</v>
      </c>
      <c r="AD186" t="s">
        <v>41</v>
      </c>
    </row>
    <row r="187" spans="2:30">
      <c r="B187">
        <v>10</v>
      </c>
      <c r="C187">
        <v>1020</v>
      </c>
      <c r="D187" t="s">
        <v>29</v>
      </c>
      <c r="E187">
        <v>10048479</v>
      </c>
      <c r="F187" t="s">
        <v>265</v>
      </c>
      <c r="G187" t="s">
        <v>52</v>
      </c>
      <c r="H187" t="s">
        <v>44</v>
      </c>
      <c r="I187" t="s">
        <v>33</v>
      </c>
      <c r="J187" t="s">
        <v>45</v>
      </c>
      <c r="K187" t="s">
        <v>62</v>
      </c>
      <c r="L187" t="s">
        <v>36</v>
      </c>
      <c r="M187" t="s">
        <v>46</v>
      </c>
      <c r="N187">
        <v>20</v>
      </c>
      <c r="O187">
        <v>11</v>
      </c>
      <c r="P187">
        <v>5</v>
      </c>
      <c r="Q187">
        <v>98</v>
      </c>
      <c r="R187" s="4">
        <v>9516.44</v>
      </c>
      <c r="S187" t="str">
        <f t="shared" si="10"/>
        <v>PZ: Alta Crit.</v>
      </c>
      <c r="T187">
        <f t="shared" si="11"/>
        <v>0</v>
      </c>
      <c r="U187">
        <f t="shared" si="12"/>
        <v>0</v>
      </c>
      <c r="V187">
        <f t="shared" si="13"/>
        <v>0</v>
      </c>
      <c r="W187">
        <f t="shared" si="14"/>
        <v>1</v>
      </c>
      <c r="X187">
        <v>1</v>
      </c>
      <c r="Y187" s="2">
        <v>45768</v>
      </c>
      <c r="Z187" s="3" t="s">
        <v>47</v>
      </c>
      <c r="AA187" t="s">
        <v>39</v>
      </c>
      <c r="AB187" t="s">
        <v>76</v>
      </c>
      <c r="AC187" s="5" t="s">
        <v>77</v>
      </c>
      <c r="AD187" t="s">
        <v>41</v>
      </c>
    </row>
    <row r="188" spans="2:30">
      <c r="B188">
        <v>10</v>
      </c>
      <c r="C188">
        <v>1020</v>
      </c>
      <c r="D188" t="s">
        <v>29</v>
      </c>
      <c r="E188">
        <v>10049934</v>
      </c>
      <c r="F188" t="s">
        <v>266</v>
      </c>
      <c r="G188" t="s">
        <v>31</v>
      </c>
      <c r="H188" t="s">
        <v>32</v>
      </c>
      <c r="I188" t="s">
        <v>33</v>
      </c>
      <c r="J188" t="s">
        <v>34</v>
      </c>
      <c r="K188" t="s">
        <v>35</v>
      </c>
      <c r="L188" t="s">
        <v>36</v>
      </c>
      <c r="M188" t="s">
        <v>55</v>
      </c>
      <c r="N188">
        <v>200</v>
      </c>
      <c r="O188">
        <v>101</v>
      </c>
      <c r="P188">
        <v>20</v>
      </c>
      <c r="Q188">
        <v>9</v>
      </c>
      <c r="R188">
        <v>6.34</v>
      </c>
      <c r="S188" t="str">
        <f t="shared" si="10"/>
        <v>PX: Baja Crit.</v>
      </c>
      <c r="T188">
        <f t="shared" si="11"/>
        <v>0</v>
      </c>
      <c r="U188">
        <f t="shared" si="12"/>
        <v>1</v>
      </c>
      <c r="V188">
        <f t="shared" si="13"/>
        <v>0</v>
      </c>
      <c r="W188">
        <f t="shared" si="14"/>
        <v>0</v>
      </c>
      <c r="X188">
        <v>1</v>
      </c>
      <c r="Y188" s="2">
        <v>45768</v>
      </c>
      <c r="Z188" s="3" t="s">
        <v>56</v>
      </c>
      <c r="AA188" t="s">
        <v>39</v>
      </c>
      <c r="AB188" t="s">
        <v>76</v>
      </c>
      <c r="AC188" s="5" t="s">
        <v>77</v>
      </c>
      <c r="AD188" t="s">
        <v>41</v>
      </c>
    </row>
    <row r="189" spans="2:30">
      <c r="B189">
        <v>10</v>
      </c>
      <c r="C189">
        <v>1020</v>
      </c>
      <c r="D189" t="s">
        <v>29</v>
      </c>
      <c r="E189">
        <v>10641171</v>
      </c>
      <c r="F189" t="s">
        <v>267</v>
      </c>
      <c r="G189" t="s">
        <v>43</v>
      </c>
      <c r="H189" t="s">
        <v>32</v>
      </c>
      <c r="I189" t="s">
        <v>33</v>
      </c>
      <c r="J189" t="s">
        <v>45</v>
      </c>
      <c r="K189" t="s">
        <v>35</v>
      </c>
      <c r="L189" t="s">
        <v>36</v>
      </c>
      <c r="M189" t="s">
        <v>117</v>
      </c>
      <c r="N189">
        <v>16</v>
      </c>
      <c r="O189">
        <v>8</v>
      </c>
      <c r="P189">
        <v>3</v>
      </c>
      <c r="Q189">
        <v>31</v>
      </c>
      <c r="R189" s="4">
        <v>2480</v>
      </c>
      <c r="S189" t="str">
        <f t="shared" si="10"/>
        <v>PY: Media Crit.</v>
      </c>
      <c r="T189">
        <f t="shared" si="11"/>
        <v>0</v>
      </c>
      <c r="U189">
        <f t="shared" si="12"/>
        <v>0</v>
      </c>
      <c r="V189">
        <f t="shared" si="13"/>
        <v>0</v>
      </c>
      <c r="W189">
        <f t="shared" si="14"/>
        <v>1</v>
      </c>
      <c r="X189">
        <v>1</v>
      </c>
      <c r="Y189" s="2">
        <v>45768</v>
      </c>
      <c r="Z189" s="3" t="s">
        <v>118</v>
      </c>
      <c r="AA189" t="s">
        <v>39</v>
      </c>
      <c r="AB189" t="s">
        <v>40</v>
      </c>
      <c r="AC189" t="s">
        <v>40</v>
      </c>
      <c r="AD189" t="s">
        <v>41</v>
      </c>
    </row>
    <row r="190" spans="2:30">
      <c r="B190">
        <v>10</v>
      </c>
      <c r="C190">
        <v>1020</v>
      </c>
      <c r="D190" t="s">
        <v>29</v>
      </c>
      <c r="E190">
        <v>14234800</v>
      </c>
      <c r="F190" t="s">
        <v>268</v>
      </c>
      <c r="G190" t="s">
        <v>52</v>
      </c>
      <c r="H190" t="s">
        <v>44</v>
      </c>
      <c r="I190" t="s">
        <v>33</v>
      </c>
      <c r="J190" t="s">
        <v>45</v>
      </c>
      <c r="K190" t="s">
        <v>35</v>
      </c>
      <c r="L190" t="s">
        <v>36</v>
      </c>
      <c r="M190" t="s">
        <v>46</v>
      </c>
      <c r="N190">
        <v>15</v>
      </c>
      <c r="O190">
        <v>10</v>
      </c>
      <c r="P190">
        <v>0</v>
      </c>
      <c r="Q190">
        <v>6</v>
      </c>
      <c r="R190" s="4">
        <v>1388.25</v>
      </c>
      <c r="S190" t="str">
        <f t="shared" si="10"/>
        <v>PZ: Alta Crit.</v>
      </c>
      <c r="T190">
        <f t="shared" si="11"/>
        <v>0</v>
      </c>
      <c r="U190">
        <f t="shared" si="12"/>
        <v>0</v>
      </c>
      <c r="V190">
        <f t="shared" si="13"/>
        <v>1</v>
      </c>
      <c r="W190">
        <f t="shared" si="14"/>
        <v>0</v>
      </c>
      <c r="X190">
        <v>1</v>
      </c>
      <c r="Y190" s="2">
        <v>45768</v>
      </c>
      <c r="Z190" s="3" t="s">
        <v>47</v>
      </c>
      <c r="AA190" t="s">
        <v>39</v>
      </c>
      <c r="AB190" t="s">
        <v>49</v>
      </c>
      <c r="AC190" s="5" t="s">
        <v>50</v>
      </c>
      <c r="AD190" t="s">
        <v>41</v>
      </c>
    </row>
    <row r="191" spans="2:30">
      <c r="B191">
        <v>10</v>
      </c>
      <c r="C191">
        <v>1020</v>
      </c>
      <c r="D191" t="s">
        <v>29</v>
      </c>
      <c r="E191">
        <v>10043370</v>
      </c>
      <c r="F191" t="s">
        <v>269</v>
      </c>
      <c r="G191" t="s">
        <v>43</v>
      </c>
      <c r="H191" t="s">
        <v>32</v>
      </c>
      <c r="I191" t="s">
        <v>33</v>
      </c>
      <c r="J191" t="s">
        <v>45</v>
      </c>
      <c r="K191" t="s">
        <v>65</v>
      </c>
      <c r="L191" t="s">
        <v>36</v>
      </c>
      <c r="M191" t="s">
        <v>37</v>
      </c>
      <c r="N191">
        <v>80</v>
      </c>
      <c r="O191">
        <v>51</v>
      </c>
      <c r="P191">
        <v>15</v>
      </c>
      <c r="Q191">
        <v>75</v>
      </c>
      <c r="R191">
        <v>914.08</v>
      </c>
      <c r="S191" t="str">
        <f t="shared" si="10"/>
        <v>PY: Media Crit.</v>
      </c>
      <c r="T191">
        <f t="shared" si="11"/>
        <v>0</v>
      </c>
      <c r="U191">
        <f t="shared" si="12"/>
        <v>0</v>
      </c>
      <c r="V191">
        <f t="shared" si="13"/>
        <v>1</v>
      </c>
      <c r="W191">
        <f t="shared" si="14"/>
        <v>0</v>
      </c>
      <c r="X191">
        <v>1</v>
      </c>
      <c r="Y191" s="2">
        <v>45768</v>
      </c>
      <c r="Z191" s="3" t="s">
        <v>38</v>
      </c>
      <c r="AA191" t="s">
        <v>39</v>
      </c>
      <c r="AB191" t="s">
        <v>40</v>
      </c>
      <c r="AC191" t="s">
        <v>40</v>
      </c>
      <c r="AD191" t="s">
        <v>41</v>
      </c>
    </row>
    <row r="192" spans="2:30">
      <c r="B192">
        <v>10</v>
      </c>
      <c r="C192">
        <v>1020</v>
      </c>
      <c r="D192" t="s">
        <v>29</v>
      </c>
      <c r="E192">
        <v>10044524</v>
      </c>
      <c r="F192" t="s">
        <v>270</v>
      </c>
      <c r="G192" t="s">
        <v>43</v>
      </c>
      <c r="H192" t="s">
        <v>32</v>
      </c>
      <c r="I192" t="s">
        <v>33</v>
      </c>
      <c r="J192" t="s">
        <v>34</v>
      </c>
      <c r="K192" t="s">
        <v>35</v>
      </c>
      <c r="L192" t="s">
        <v>36</v>
      </c>
      <c r="M192" t="s">
        <v>46</v>
      </c>
      <c r="N192">
        <v>10</v>
      </c>
      <c r="O192">
        <v>5</v>
      </c>
      <c r="P192">
        <v>2</v>
      </c>
      <c r="Q192">
        <v>9</v>
      </c>
      <c r="R192" s="4">
        <v>1157.25</v>
      </c>
      <c r="S192" t="str">
        <f t="shared" si="10"/>
        <v>PY: Media Crit.</v>
      </c>
      <c r="T192">
        <f t="shared" si="11"/>
        <v>0</v>
      </c>
      <c r="U192">
        <f t="shared" si="12"/>
        <v>0</v>
      </c>
      <c r="V192">
        <f t="shared" si="13"/>
        <v>1</v>
      </c>
      <c r="W192">
        <f t="shared" si="14"/>
        <v>0</v>
      </c>
      <c r="X192">
        <v>1</v>
      </c>
      <c r="Y192" s="2">
        <v>45768</v>
      </c>
      <c r="Z192" s="3" t="s">
        <v>47</v>
      </c>
      <c r="AA192" t="s">
        <v>39</v>
      </c>
      <c r="AB192" t="s">
        <v>40</v>
      </c>
      <c r="AC192" t="s">
        <v>40</v>
      </c>
      <c r="AD192" t="s">
        <v>41</v>
      </c>
    </row>
    <row r="193" spans="2:30">
      <c r="B193">
        <v>10</v>
      </c>
      <c r="C193">
        <v>1020</v>
      </c>
      <c r="D193" t="s">
        <v>29</v>
      </c>
      <c r="E193">
        <v>10307383</v>
      </c>
      <c r="F193" t="s">
        <v>271</v>
      </c>
      <c r="G193" t="s">
        <v>31</v>
      </c>
      <c r="H193" t="s">
        <v>44</v>
      </c>
      <c r="I193" t="s">
        <v>33</v>
      </c>
      <c r="J193" t="s">
        <v>34</v>
      </c>
      <c r="K193" t="s">
        <v>35</v>
      </c>
      <c r="L193" t="s">
        <v>36</v>
      </c>
      <c r="M193" t="s">
        <v>46</v>
      </c>
      <c r="N193">
        <v>14</v>
      </c>
      <c r="O193">
        <v>8</v>
      </c>
      <c r="P193">
        <v>4</v>
      </c>
      <c r="Q193">
        <v>54</v>
      </c>
      <c r="R193" s="4">
        <v>5946.48</v>
      </c>
      <c r="S193" t="str">
        <f t="shared" si="10"/>
        <v>PX: Baja Crit.</v>
      </c>
      <c r="T193">
        <f t="shared" si="11"/>
        <v>0</v>
      </c>
      <c r="U193">
        <f t="shared" si="12"/>
        <v>0</v>
      </c>
      <c r="V193">
        <f t="shared" si="13"/>
        <v>0</v>
      </c>
      <c r="W193">
        <f t="shared" si="14"/>
        <v>1</v>
      </c>
      <c r="X193">
        <v>1</v>
      </c>
      <c r="Y193" s="2">
        <v>45768</v>
      </c>
      <c r="Z193" s="3" t="s">
        <v>47</v>
      </c>
      <c r="AA193" t="s">
        <v>39</v>
      </c>
      <c r="AB193" t="s">
        <v>49</v>
      </c>
      <c r="AC193" s="5" t="s">
        <v>50</v>
      </c>
      <c r="AD193" t="s">
        <v>41</v>
      </c>
    </row>
    <row r="194" spans="2:30">
      <c r="B194">
        <v>10</v>
      </c>
      <c r="C194">
        <v>1020</v>
      </c>
      <c r="D194" t="s">
        <v>29</v>
      </c>
      <c r="E194">
        <v>10045271</v>
      </c>
      <c r="F194" t="s">
        <v>272</v>
      </c>
      <c r="G194" t="s">
        <v>52</v>
      </c>
      <c r="H194" t="s">
        <v>60</v>
      </c>
      <c r="I194" t="s">
        <v>33</v>
      </c>
      <c r="J194" t="s">
        <v>34</v>
      </c>
      <c r="K194" t="s">
        <v>80</v>
      </c>
      <c r="L194" t="s">
        <v>36</v>
      </c>
      <c r="M194" t="s">
        <v>37</v>
      </c>
      <c r="N194">
        <v>330</v>
      </c>
      <c r="O194">
        <v>221</v>
      </c>
      <c r="P194">
        <v>110</v>
      </c>
      <c r="Q194">
        <v>110</v>
      </c>
      <c r="R194" s="4">
        <v>4873.07</v>
      </c>
      <c r="S194" t="str">
        <f t="shared" ref="S194:S257" si="15">+IF(G194="PZ", "PZ: Alta Crit.",IF(G194="PY","PY: Media Crit.", "PX: Baja Crit."))</f>
        <v>PZ: Alta Crit.</v>
      </c>
      <c r="T194">
        <f t="shared" ref="T194:T257" si="16">+IF(Q194=0,1,0)</f>
        <v>0</v>
      </c>
      <c r="U194">
        <f t="shared" ref="U194:U257" si="17">+IF(AND(Q194&lt;=P194,Q194&gt;0),1,0)</f>
        <v>1</v>
      </c>
      <c r="V194">
        <f t="shared" ref="V194:V257" si="18">+IF(AND(Q194&gt;P194,Q194&lt;=N194),1,0)</f>
        <v>0</v>
      </c>
      <c r="W194">
        <f t="shared" ref="W194:W257" si="19">+IF(Q194&gt;N194,1,0)</f>
        <v>0</v>
      </c>
      <c r="X194">
        <v>1</v>
      </c>
      <c r="Y194" s="2">
        <v>45768</v>
      </c>
      <c r="Z194" s="3" t="s">
        <v>38</v>
      </c>
      <c r="AA194" t="s">
        <v>39</v>
      </c>
      <c r="AB194" t="s">
        <v>49</v>
      </c>
      <c r="AC194" s="5" t="s">
        <v>50</v>
      </c>
      <c r="AD194" t="s">
        <v>41</v>
      </c>
    </row>
    <row r="195" spans="2:30">
      <c r="B195">
        <v>10</v>
      </c>
      <c r="C195">
        <v>1020</v>
      </c>
      <c r="D195" t="s">
        <v>29</v>
      </c>
      <c r="E195">
        <v>10049913</v>
      </c>
      <c r="F195" t="s">
        <v>273</v>
      </c>
      <c r="G195" t="s">
        <v>31</v>
      </c>
      <c r="H195" t="s">
        <v>32</v>
      </c>
      <c r="I195" t="s">
        <v>33</v>
      </c>
      <c r="J195" t="s">
        <v>45</v>
      </c>
      <c r="K195" t="s">
        <v>35</v>
      </c>
      <c r="L195" t="s">
        <v>36</v>
      </c>
      <c r="M195" t="s">
        <v>55</v>
      </c>
      <c r="N195">
        <v>120</v>
      </c>
      <c r="O195">
        <v>60</v>
      </c>
      <c r="P195">
        <v>30</v>
      </c>
      <c r="Q195">
        <v>97</v>
      </c>
      <c r="R195">
        <v>186.51</v>
      </c>
      <c r="S195" t="str">
        <f t="shared" si="15"/>
        <v>PX: Baja Crit.</v>
      </c>
      <c r="T195">
        <f t="shared" si="16"/>
        <v>0</v>
      </c>
      <c r="U195">
        <f t="shared" si="17"/>
        <v>0</v>
      </c>
      <c r="V195">
        <f t="shared" si="18"/>
        <v>1</v>
      </c>
      <c r="W195">
        <f t="shared" si="19"/>
        <v>0</v>
      </c>
      <c r="X195">
        <v>1</v>
      </c>
      <c r="Y195" s="2">
        <v>45768</v>
      </c>
      <c r="Z195" s="3" t="s">
        <v>56</v>
      </c>
      <c r="AA195" t="s">
        <v>39</v>
      </c>
      <c r="AB195" t="s">
        <v>40</v>
      </c>
      <c r="AC195" t="s">
        <v>40</v>
      </c>
      <c r="AD195" t="s">
        <v>41</v>
      </c>
    </row>
    <row r="196" spans="2:30">
      <c r="B196">
        <v>10</v>
      </c>
      <c r="C196">
        <v>1020</v>
      </c>
      <c r="D196" t="s">
        <v>29</v>
      </c>
      <c r="E196">
        <v>10044207</v>
      </c>
      <c r="F196" t="s">
        <v>274</v>
      </c>
      <c r="G196" t="s">
        <v>31</v>
      </c>
      <c r="H196" t="s">
        <v>32</v>
      </c>
      <c r="I196" t="s">
        <v>33</v>
      </c>
      <c r="J196" t="s">
        <v>45</v>
      </c>
      <c r="K196" t="s">
        <v>35</v>
      </c>
      <c r="L196" t="s">
        <v>36</v>
      </c>
      <c r="M196" t="s">
        <v>69</v>
      </c>
      <c r="N196">
        <v>30</v>
      </c>
      <c r="O196">
        <v>16</v>
      </c>
      <c r="P196">
        <v>0</v>
      </c>
      <c r="Q196">
        <v>0</v>
      </c>
      <c r="R196">
        <v>0</v>
      </c>
      <c r="S196" t="str">
        <f t="shared" si="15"/>
        <v>PX: Baja Crit.</v>
      </c>
      <c r="T196">
        <f t="shared" si="16"/>
        <v>1</v>
      </c>
      <c r="U196">
        <f t="shared" si="17"/>
        <v>0</v>
      </c>
      <c r="V196">
        <f t="shared" si="18"/>
        <v>0</v>
      </c>
      <c r="W196">
        <f t="shared" si="19"/>
        <v>0</v>
      </c>
      <c r="X196">
        <v>1</v>
      </c>
      <c r="Y196" s="2">
        <v>45768</v>
      </c>
      <c r="Z196" s="3" t="s">
        <v>70</v>
      </c>
      <c r="AA196" t="s">
        <v>39</v>
      </c>
      <c r="AB196" t="s">
        <v>49</v>
      </c>
      <c r="AC196" s="5" t="s">
        <v>50</v>
      </c>
      <c r="AD196" t="s">
        <v>41</v>
      </c>
    </row>
    <row r="197" spans="2:30">
      <c r="B197">
        <v>10</v>
      </c>
      <c r="C197">
        <v>1020</v>
      </c>
      <c r="D197" t="s">
        <v>29</v>
      </c>
      <c r="E197">
        <v>10044223</v>
      </c>
      <c r="F197" t="s">
        <v>275</v>
      </c>
      <c r="G197" t="s">
        <v>43</v>
      </c>
      <c r="H197" t="s">
        <v>32</v>
      </c>
      <c r="I197" t="s">
        <v>33</v>
      </c>
      <c r="J197" t="s">
        <v>34</v>
      </c>
      <c r="K197" t="s">
        <v>62</v>
      </c>
      <c r="L197" t="s">
        <v>36</v>
      </c>
      <c r="M197" t="s">
        <v>46</v>
      </c>
      <c r="N197">
        <v>100</v>
      </c>
      <c r="O197">
        <v>61</v>
      </c>
      <c r="P197">
        <v>20</v>
      </c>
      <c r="Q197">
        <v>166</v>
      </c>
      <c r="R197" s="4">
        <v>2503.94</v>
      </c>
      <c r="S197" t="str">
        <f t="shared" si="15"/>
        <v>PY: Media Crit.</v>
      </c>
      <c r="T197">
        <f t="shared" si="16"/>
        <v>0</v>
      </c>
      <c r="U197">
        <f t="shared" si="17"/>
        <v>0</v>
      </c>
      <c r="V197">
        <f t="shared" si="18"/>
        <v>0</v>
      </c>
      <c r="W197">
        <f t="shared" si="19"/>
        <v>1</v>
      </c>
      <c r="X197">
        <v>1</v>
      </c>
      <c r="Y197" s="2">
        <v>45768</v>
      </c>
      <c r="Z197" s="3" t="s">
        <v>47</v>
      </c>
      <c r="AA197" t="s">
        <v>39</v>
      </c>
      <c r="AB197" t="s">
        <v>40</v>
      </c>
      <c r="AC197" t="s">
        <v>40</v>
      </c>
      <c r="AD197" t="s">
        <v>41</v>
      </c>
    </row>
    <row r="198" spans="2:30">
      <c r="B198">
        <v>10</v>
      </c>
      <c r="C198">
        <v>1020</v>
      </c>
      <c r="D198" t="s">
        <v>29</v>
      </c>
      <c r="E198">
        <v>10192121</v>
      </c>
      <c r="F198" t="s">
        <v>276</v>
      </c>
      <c r="G198" t="s">
        <v>43</v>
      </c>
      <c r="H198" t="s">
        <v>32</v>
      </c>
      <c r="I198" t="s">
        <v>33</v>
      </c>
      <c r="J198" t="s">
        <v>34</v>
      </c>
      <c r="K198" t="s">
        <v>35</v>
      </c>
      <c r="L198" t="s">
        <v>36</v>
      </c>
      <c r="M198" t="s">
        <v>46</v>
      </c>
      <c r="N198">
        <v>25</v>
      </c>
      <c r="O198">
        <v>17</v>
      </c>
      <c r="P198">
        <v>5</v>
      </c>
      <c r="Q198">
        <v>25</v>
      </c>
      <c r="R198">
        <v>648.86</v>
      </c>
      <c r="S198" t="str">
        <f t="shared" si="15"/>
        <v>PY: Media Crit.</v>
      </c>
      <c r="T198">
        <f t="shared" si="16"/>
        <v>0</v>
      </c>
      <c r="U198">
        <f t="shared" si="17"/>
        <v>0</v>
      </c>
      <c r="V198">
        <f t="shared" si="18"/>
        <v>1</v>
      </c>
      <c r="W198">
        <f t="shared" si="19"/>
        <v>0</v>
      </c>
      <c r="X198">
        <v>1</v>
      </c>
      <c r="Y198" s="2">
        <v>45768</v>
      </c>
      <c r="Z198" s="3" t="s">
        <v>47</v>
      </c>
      <c r="AA198" t="s">
        <v>39</v>
      </c>
      <c r="AB198" t="s">
        <v>49</v>
      </c>
      <c r="AC198" s="5" t="s">
        <v>50</v>
      </c>
      <c r="AD198" t="s">
        <v>41</v>
      </c>
    </row>
    <row r="199" spans="2:30">
      <c r="B199">
        <v>10</v>
      </c>
      <c r="C199">
        <v>1020</v>
      </c>
      <c r="D199" t="s">
        <v>29</v>
      </c>
      <c r="E199">
        <v>10041344</v>
      </c>
      <c r="F199" t="s">
        <v>277</v>
      </c>
      <c r="G199" t="s">
        <v>43</v>
      </c>
      <c r="H199" t="s">
        <v>60</v>
      </c>
      <c r="I199" t="s">
        <v>33</v>
      </c>
      <c r="J199" t="s">
        <v>45</v>
      </c>
      <c r="K199" t="s">
        <v>35</v>
      </c>
      <c r="L199" t="s">
        <v>36</v>
      </c>
      <c r="M199" t="s">
        <v>46</v>
      </c>
      <c r="N199">
        <v>15</v>
      </c>
      <c r="O199">
        <v>4</v>
      </c>
      <c r="P199">
        <v>0</v>
      </c>
      <c r="Q199">
        <v>34</v>
      </c>
      <c r="R199" s="4">
        <v>1400.79</v>
      </c>
      <c r="S199" t="str">
        <f t="shared" si="15"/>
        <v>PY: Media Crit.</v>
      </c>
      <c r="T199">
        <f t="shared" si="16"/>
        <v>0</v>
      </c>
      <c r="U199">
        <f t="shared" si="17"/>
        <v>0</v>
      </c>
      <c r="V199">
        <f t="shared" si="18"/>
        <v>0</v>
      </c>
      <c r="W199">
        <f t="shared" si="19"/>
        <v>1</v>
      </c>
      <c r="X199">
        <v>1</v>
      </c>
      <c r="Y199" s="2">
        <v>45768</v>
      </c>
      <c r="Z199" s="3" t="s">
        <v>47</v>
      </c>
      <c r="AA199" t="s">
        <v>39</v>
      </c>
      <c r="AB199" t="s">
        <v>49</v>
      </c>
      <c r="AC199" s="5" t="s">
        <v>50</v>
      </c>
      <c r="AD199" t="s">
        <v>41</v>
      </c>
    </row>
    <row r="200" spans="2:30">
      <c r="B200">
        <v>10</v>
      </c>
      <c r="C200">
        <v>1020</v>
      </c>
      <c r="D200" t="s">
        <v>29</v>
      </c>
      <c r="E200">
        <v>10056415</v>
      </c>
      <c r="F200" t="s">
        <v>278</v>
      </c>
      <c r="G200" t="s">
        <v>43</v>
      </c>
      <c r="H200" t="s">
        <v>32</v>
      </c>
      <c r="I200" t="s">
        <v>33</v>
      </c>
      <c r="J200" t="s">
        <v>34</v>
      </c>
      <c r="K200" t="s">
        <v>252</v>
      </c>
      <c r="L200" t="s">
        <v>36</v>
      </c>
      <c r="M200" t="s">
        <v>37</v>
      </c>
      <c r="N200">
        <v>90</v>
      </c>
      <c r="O200">
        <v>31</v>
      </c>
      <c r="P200">
        <v>30</v>
      </c>
      <c r="Q200">
        <v>60</v>
      </c>
      <c r="R200">
        <v>559.20000000000005</v>
      </c>
      <c r="S200" t="str">
        <f t="shared" si="15"/>
        <v>PY: Media Crit.</v>
      </c>
      <c r="T200">
        <f t="shared" si="16"/>
        <v>0</v>
      </c>
      <c r="U200">
        <f t="shared" si="17"/>
        <v>0</v>
      </c>
      <c r="V200">
        <f t="shared" si="18"/>
        <v>1</v>
      </c>
      <c r="W200">
        <f t="shared" si="19"/>
        <v>0</v>
      </c>
      <c r="X200">
        <v>1</v>
      </c>
      <c r="Y200" s="2">
        <v>45768</v>
      </c>
      <c r="Z200" s="3" t="s">
        <v>38</v>
      </c>
      <c r="AA200" t="s">
        <v>39</v>
      </c>
      <c r="AB200" t="s">
        <v>40</v>
      </c>
      <c r="AC200" t="s">
        <v>40</v>
      </c>
      <c r="AD200" t="s">
        <v>41</v>
      </c>
    </row>
    <row r="201" spans="2:30">
      <c r="B201">
        <v>10</v>
      </c>
      <c r="C201">
        <v>1020</v>
      </c>
      <c r="D201" t="s">
        <v>29</v>
      </c>
      <c r="E201">
        <v>10045270</v>
      </c>
      <c r="F201" t="s">
        <v>279</v>
      </c>
      <c r="G201" t="s">
        <v>52</v>
      </c>
      <c r="H201" t="s">
        <v>32</v>
      </c>
      <c r="I201" t="s">
        <v>33</v>
      </c>
      <c r="J201" t="s">
        <v>34</v>
      </c>
      <c r="K201" t="s">
        <v>80</v>
      </c>
      <c r="L201" t="s">
        <v>36</v>
      </c>
      <c r="M201" t="s">
        <v>37</v>
      </c>
      <c r="N201">
        <v>330</v>
      </c>
      <c r="O201">
        <v>165</v>
      </c>
      <c r="P201">
        <v>110</v>
      </c>
      <c r="Q201">
        <v>110</v>
      </c>
      <c r="R201" s="4">
        <v>4824.0600000000004</v>
      </c>
      <c r="S201" t="str">
        <f t="shared" si="15"/>
        <v>PZ: Alta Crit.</v>
      </c>
      <c r="T201">
        <f t="shared" si="16"/>
        <v>0</v>
      </c>
      <c r="U201">
        <f t="shared" si="17"/>
        <v>1</v>
      </c>
      <c r="V201">
        <f t="shared" si="18"/>
        <v>0</v>
      </c>
      <c r="W201">
        <f t="shared" si="19"/>
        <v>0</v>
      </c>
      <c r="X201">
        <v>1</v>
      </c>
      <c r="Y201" s="2">
        <v>45768</v>
      </c>
      <c r="Z201" s="3" t="s">
        <v>38</v>
      </c>
      <c r="AA201" t="s">
        <v>39</v>
      </c>
      <c r="AB201" t="s">
        <v>49</v>
      </c>
      <c r="AC201" s="5" t="s">
        <v>50</v>
      </c>
      <c r="AD201" t="s">
        <v>41</v>
      </c>
    </row>
    <row r="202" spans="2:30">
      <c r="B202">
        <v>10</v>
      </c>
      <c r="C202">
        <v>1020</v>
      </c>
      <c r="D202" t="s">
        <v>29</v>
      </c>
      <c r="E202">
        <v>10049149</v>
      </c>
      <c r="F202" t="s">
        <v>280</v>
      </c>
      <c r="G202" t="s">
        <v>31</v>
      </c>
      <c r="H202" t="s">
        <v>60</v>
      </c>
      <c r="I202" t="s">
        <v>33</v>
      </c>
      <c r="J202" t="s">
        <v>34</v>
      </c>
      <c r="K202" t="s">
        <v>35</v>
      </c>
      <c r="L202" t="s">
        <v>36</v>
      </c>
      <c r="M202" t="s">
        <v>88</v>
      </c>
      <c r="N202">
        <v>70</v>
      </c>
      <c r="O202">
        <v>51</v>
      </c>
      <c r="P202">
        <v>33</v>
      </c>
      <c r="Q202">
        <v>62</v>
      </c>
      <c r="R202" s="4">
        <v>1254.6199999999999</v>
      </c>
      <c r="S202" t="str">
        <f t="shared" si="15"/>
        <v>PX: Baja Crit.</v>
      </c>
      <c r="T202">
        <f t="shared" si="16"/>
        <v>0</v>
      </c>
      <c r="U202">
        <f t="shared" si="17"/>
        <v>0</v>
      </c>
      <c r="V202">
        <f t="shared" si="18"/>
        <v>1</v>
      </c>
      <c r="W202">
        <f t="shared" si="19"/>
        <v>0</v>
      </c>
      <c r="X202">
        <v>1</v>
      </c>
      <c r="Y202" s="2">
        <v>45768</v>
      </c>
      <c r="Z202" s="3" t="s">
        <v>89</v>
      </c>
      <c r="AA202" t="s">
        <v>39</v>
      </c>
      <c r="AB202" t="s">
        <v>40</v>
      </c>
      <c r="AC202" t="s">
        <v>40</v>
      </c>
      <c r="AD202" t="s">
        <v>41</v>
      </c>
    </row>
    <row r="203" spans="2:30">
      <c r="B203">
        <v>10</v>
      </c>
      <c r="C203">
        <v>1020</v>
      </c>
      <c r="D203" t="s">
        <v>29</v>
      </c>
      <c r="E203">
        <v>10013980</v>
      </c>
      <c r="F203" t="s">
        <v>281</v>
      </c>
      <c r="G203" t="s">
        <v>31</v>
      </c>
      <c r="H203" t="s">
        <v>32</v>
      </c>
      <c r="I203" t="s">
        <v>33</v>
      </c>
      <c r="J203" t="s">
        <v>45</v>
      </c>
      <c r="K203" t="s">
        <v>35</v>
      </c>
      <c r="L203" t="s">
        <v>36</v>
      </c>
      <c r="M203" t="s">
        <v>37</v>
      </c>
      <c r="N203">
        <v>8</v>
      </c>
      <c r="O203">
        <v>5</v>
      </c>
      <c r="P203">
        <v>1</v>
      </c>
      <c r="Q203">
        <v>3</v>
      </c>
      <c r="R203">
        <v>178.91</v>
      </c>
      <c r="S203" t="str">
        <f t="shared" si="15"/>
        <v>PX: Baja Crit.</v>
      </c>
      <c r="T203">
        <f t="shared" si="16"/>
        <v>0</v>
      </c>
      <c r="U203">
        <f t="shared" si="17"/>
        <v>0</v>
      </c>
      <c r="V203">
        <f t="shared" si="18"/>
        <v>1</v>
      </c>
      <c r="W203">
        <f t="shared" si="19"/>
        <v>0</v>
      </c>
      <c r="X203">
        <v>1</v>
      </c>
      <c r="Y203" s="2">
        <v>45768</v>
      </c>
      <c r="Z203" s="3" t="s">
        <v>38</v>
      </c>
      <c r="AA203" t="s">
        <v>39</v>
      </c>
      <c r="AB203" t="s">
        <v>49</v>
      </c>
      <c r="AC203" s="5" t="s">
        <v>50</v>
      </c>
      <c r="AD203" t="s">
        <v>41</v>
      </c>
    </row>
    <row r="204" spans="2:30">
      <c r="B204">
        <v>10</v>
      </c>
      <c r="C204">
        <v>1020</v>
      </c>
      <c r="D204" t="s">
        <v>29</v>
      </c>
      <c r="E204">
        <v>10031701</v>
      </c>
      <c r="F204" t="s">
        <v>282</v>
      </c>
      <c r="G204" t="s">
        <v>31</v>
      </c>
      <c r="H204" t="s">
        <v>32</v>
      </c>
      <c r="I204" t="s">
        <v>33</v>
      </c>
      <c r="J204" t="s">
        <v>45</v>
      </c>
      <c r="K204" t="s">
        <v>35</v>
      </c>
      <c r="L204" t="s">
        <v>36</v>
      </c>
      <c r="M204" t="s">
        <v>37</v>
      </c>
      <c r="N204">
        <v>12</v>
      </c>
      <c r="O204">
        <v>8</v>
      </c>
      <c r="P204">
        <v>3</v>
      </c>
      <c r="Q204">
        <v>16</v>
      </c>
      <c r="R204">
        <v>46.32</v>
      </c>
      <c r="S204" t="str">
        <f t="shared" si="15"/>
        <v>PX: Baja Crit.</v>
      </c>
      <c r="T204">
        <f t="shared" si="16"/>
        <v>0</v>
      </c>
      <c r="U204">
        <f t="shared" si="17"/>
        <v>0</v>
      </c>
      <c r="V204">
        <f t="shared" si="18"/>
        <v>0</v>
      </c>
      <c r="W204">
        <f t="shared" si="19"/>
        <v>1</v>
      </c>
      <c r="X204">
        <v>1</v>
      </c>
      <c r="Y204" s="2">
        <v>45768</v>
      </c>
      <c r="Z204" s="3" t="s">
        <v>38</v>
      </c>
      <c r="AA204" t="s">
        <v>39</v>
      </c>
      <c r="AB204" t="s">
        <v>40</v>
      </c>
      <c r="AC204" t="s">
        <v>40</v>
      </c>
      <c r="AD204" t="s">
        <v>41</v>
      </c>
    </row>
    <row r="205" spans="2:30">
      <c r="B205">
        <v>10</v>
      </c>
      <c r="C205">
        <v>1020</v>
      </c>
      <c r="D205" t="s">
        <v>29</v>
      </c>
      <c r="E205">
        <v>10046795</v>
      </c>
      <c r="F205" t="s">
        <v>283</v>
      </c>
      <c r="G205" t="s">
        <v>43</v>
      </c>
      <c r="H205" t="s">
        <v>32</v>
      </c>
      <c r="I205" t="s">
        <v>33</v>
      </c>
      <c r="J205" t="s">
        <v>45</v>
      </c>
      <c r="K205" t="s">
        <v>62</v>
      </c>
      <c r="L205" t="s">
        <v>36</v>
      </c>
      <c r="M205" t="s">
        <v>46</v>
      </c>
      <c r="N205">
        <v>15</v>
      </c>
      <c r="O205">
        <v>7</v>
      </c>
      <c r="P205">
        <v>4</v>
      </c>
      <c r="Q205">
        <v>15</v>
      </c>
      <c r="R205">
        <v>247.5</v>
      </c>
      <c r="S205" t="str">
        <f t="shared" si="15"/>
        <v>PY: Media Crit.</v>
      </c>
      <c r="T205">
        <f t="shared" si="16"/>
        <v>0</v>
      </c>
      <c r="U205">
        <f t="shared" si="17"/>
        <v>0</v>
      </c>
      <c r="V205">
        <f t="shared" si="18"/>
        <v>1</v>
      </c>
      <c r="W205">
        <f t="shared" si="19"/>
        <v>0</v>
      </c>
      <c r="X205">
        <v>1</v>
      </c>
      <c r="Y205" s="2">
        <v>45768</v>
      </c>
      <c r="Z205" s="3" t="s">
        <v>47</v>
      </c>
      <c r="AA205" t="s">
        <v>39</v>
      </c>
      <c r="AB205" t="s">
        <v>49</v>
      </c>
      <c r="AC205" s="5" t="s">
        <v>50</v>
      </c>
      <c r="AD205" t="s">
        <v>41</v>
      </c>
    </row>
    <row r="206" spans="2:30">
      <c r="B206">
        <v>10</v>
      </c>
      <c r="C206">
        <v>1020</v>
      </c>
      <c r="D206" t="s">
        <v>29</v>
      </c>
      <c r="E206">
        <v>10050344</v>
      </c>
      <c r="F206" t="s">
        <v>284</v>
      </c>
      <c r="G206" t="s">
        <v>52</v>
      </c>
      <c r="H206" t="s">
        <v>32</v>
      </c>
      <c r="I206" t="s">
        <v>33</v>
      </c>
      <c r="J206" t="s">
        <v>45</v>
      </c>
      <c r="K206" t="s">
        <v>35</v>
      </c>
      <c r="L206" t="s">
        <v>36</v>
      </c>
      <c r="M206" t="s">
        <v>46</v>
      </c>
      <c r="N206">
        <v>20</v>
      </c>
      <c r="O206">
        <v>11</v>
      </c>
      <c r="P206">
        <v>4</v>
      </c>
      <c r="Q206">
        <v>13</v>
      </c>
      <c r="R206">
        <v>463.81</v>
      </c>
      <c r="S206" t="str">
        <f t="shared" si="15"/>
        <v>PZ: Alta Crit.</v>
      </c>
      <c r="T206">
        <f t="shared" si="16"/>
        <v>0</v>
      </c>
      <c r="U206">
        <f t="shared" si="17"/>
        <v>0</v>
      </c>
      <c r="V206">
        <f t="shared" si="18"/>
        <v>1</v>
      </c>
      <c r="W206">
        <f t="shared" si="19"/>
        <v>0</v>
      </c>
      <c r="X206">
        <v>1</v>
      </c>
      <c r="Y206" s="2">
        <v>45768</v>
      </c>
      <c r="Z206" s="3" t="s">
        <v>47</v>
      </c>
      <c r="AA206" t="s">
        <v>39</v>
      </c>
      <c r="AB206" t="s">
        <v>76</v>
      </c>
      <c r="AC206" s="5" t="s">
        <v>77</v>
      </c>
      <c r="AD206" t="s">
        <v>41</v>
      </c>
    </row>
    <row r="207" spans="2:30">
      <c r="B207">
        <v>10</v>
      </c>
      <c r="C207">
        <v>1020</v>
      </c>
      <c r="D207" t="s">
        <v>29</v>
      </c>
      <c r="E207">
        <v>10090677</v>
      </c>
      <c r="F207" t="s">
        <v>285</v>
      </c>
      <c r="G207" t="s">
        <v>52</v>
      </c>
      <c r="H207" t="s">
        <v>32</v>
      </c>
      <c r="I207" t="s">
        <v>33</v>
      </c>
      <c r="J207" t="s">
        <v>45</v>
      </c>
      <c r="K207" t="s">
        <v>35</v>
      </c>
      <c r="L207" t="s">
        <v>36</v>
      </c>
      <c r="M207" t="s">
        <v>37</v>
      </c>
      <c r="N207">
        <v>20</v>
      </c>
      <c r="O207">
        <v>15</v>
      </c>
      <c r="P207">
        <v>8</v>
      </c>
      <c r="Q207">
        <v>0</v>
      </c>
      <c r="R207">
        <v>0</v>
      </c>
      <c r="S207" t="str">
        <f t="shared" si="15"/>
        <v>PZ: Alta Crit.</v>
      </c>
      <c r="T207">
        <f t="shared" si="16"/>
        <v>1</v>
      </c>
      <c r="U207">
        <f t="shared" si="17"/>
        <v>0</v>
      </c>
      <c r="V207">
        <f t="shared" si="18"/>
        <v>0</v>
      </c>
      <c r="W207">
        <f t="shared" si="19"/>
        <v>0</v>
      </c>
      <c r="X207">
        <v>1</v>
      </c>
      <c r="Y207" s="2">
        <v>45768</v>
      </c>
      <c r="Z207" s="3" t="s">
        <v>38</v>
      </c>
      <c r="AA207" t="s">
        <v>39</v>
      </c>
      <c r="AB207" t="s">
        <v>49</v>
      </c>
      <c r="AC207" s="5" t="s">
        <v>50</v>
      </c>
      <c r="AD207" t="s">
        <v>41</v>
      </c>
    </row>
    <row r="208" spans="2:30">
      <c r="B208">
        <v>10</v>
      </c>
      <c r="C208">
        <v>1020</v>
      </c>
      <c r="D208" t="s">
        <v>29</v>
      </c>
      <c r="E208">
        <v>14146709</v>
      </c>
      <c r="F208" t="s">
        <v>286</v>
      </c>
      <c r="G208" t="s">
        <v>43</v>
      </c>
      <c r="H208" t="s">
        <v>60</v>
      </c>
      <c r="I208" t="s">
        <v>33</v>
      </c>
      <c r="J208" t="s">
        <v>45</v>
      </c>
      <c r="K208" t="s">
        <v>35</v>
      </c>
      <c r="L208" t="s">
        <v>36</v>
      </c>
      <c r="M208" t="s">
        <v>117</v>
      </c>
      <c r="N208">
        <v>100</v>
      </c>
      <c r="O208">
        <v>57</v>
      </c>
      <c r="P208">
        <v>27</v>
      </c>
      <c r="Q208">
        <v>78</v>
      </c>
      <c r="R208" s="4">
        <v>7020.65</v>
      </c>
      <c r="S208" t="str">
        <f t="shared" si="15"/>
        <v>PY: Media Crit.</v>
      </c>
      <c r="T208">
        <f t="shared" si="16"/>
        <v>0</v>
      </c>
      <c r="U208">
        <f t="shared" si="17"/>
        <v>0</v>
      </c>
      <c r="V208">
        <f t="shared" si="18"/>
        <v>1</v>
      </c>
      <c r="W208">
        <f t="shared" si="19"/>
        <v>0</v>
      </c>
      <c r="X208">
        <v>1</v>
      </c>
      <c r="Y208" s="2">
        <v>45768</v>
      </c>
      <c r="Z208" s="3" t="s">
        <v>118</v>
      </c>
      <c r="AA208" t="s">
        <v>39</v>
      </c>
      <c r="AB208" t="s">
        <v>49</v>
      </c>
      <c r="AC208" s="5" t="s">
        <v>50</v>
      </c>
      <c r="AD208" t="s">
        <v>41</v>
      </c>
    </row>
    <row r="209" spans="2:30">
      <c r="B209">
        <v>10</v>
      </c>
      <c r="C209">
        <v>1020</v>
      </c>
      <c r="D209" t="s">
        <v>29</v>
      </c>
      <c r="E209">
        <v>10045344</v>
      </c>
      <c r="F209" t="s">
        <v>287</v>
      </c>
      <c r="G209" t="s">
        <v>31</v>
      </c>
      <c r="H209" t="s">
        <v>32</v>
      </c>
      <c r="I209" t="s">
        <v>33</v>
      </c>
      <c r="J209" t="s">
        <v>45</v>
      </c>
      <c r="K209" t="s">
        <v>35</v>
      </c>
      <c r="L209" t="s">
        <v>36</v>
      </c>
      <c r="M209" t="s">
        <v>37</v>
      </c>
      <c r="N209">
        <v>6</v>
      </c>
      <c r="O209">
        <v>4</v>
      </c>
      <c r="P209">
        <v>2</v>
      </c>
      <c r="Q209">
        <v>12</v>
      </c>
      <c r="R209" s="4">
        <v>1271.97</v>
      </c>
      <c r="S209" t="str">
        <f t="shared" si="15"/>
        <v>PX: Baja Crit.</v>
      </c>
      <c r="T209">
        <f t="shared" si="16"/>
        <v>0</v>
      </c>
      <c r="U209">
        <f t="shared" si="17"/>
        <v>0</v>
      </c>
      <c r="V209">
        <f t="shared" si="18"/>
        <v>0</v>
      </c>
      <c r="W209">
        <f t="shared" si="19"/>
        <v>1</v>
      </c>
      <c r="X209">
        <v>1</v>
      </c>
      <c r="Y209" s="2">
        <v>45768</v>
      </c>
      <c r="Z209" s="3" t="s">
        <v>38</v>
      </c>
      <c r="AA209" t="s">
        <v>39</v>
      </c>
      <c r="AB209" t="s">
        <v>40</v>
      </c>
      <c r="AC209" t="s">
        <v>40</v>
      </c>
      <c r="AD209" t="s">
        <v>41</v>
      </c>
    </row>
    <row r="210" spans="2:30">
      <c r="B210">
        <v>10</v>
      </c>
      <c r="C210">
        <v>1020</v>
      </c>
      <c r="D210" t="s">
        <v>29</v>
      </c>
      <c r="E210">
        <v>10055618</v>
      </c>
      <c r="F210" t="s">
        <v>288</v>
      </c>
      <c r="G210" t="s">
        <v>31</v>
      </c>
      <c r="H210" t="s">
        <v>32</v>
      </c>
      <c r="I210" t="s">
        <v>33</v>
      </c>
      <c r="J210" t="s">
        <v>34</v>
      </c>
      <c r="K210" t="s">
        <v>35</v>
      </c>
      <c r="L210" t="s">
        <v>36</v>
      </c>
      <c r="M210" t="s">
        <v>88</v>
      </c>
      <c r="N210">
        <v>20</v>
      </c>
      <c r="O210">
        <v>11</v>
      </c>
      <c r="P210">
        <v>5</v>
      </c>
      <c r="Q210">
        <v>10</v>
      </c>
      <c r="R210">
        <v>299</v>
      </c>
      <c r="S210" t="str">
        <f t="shared" si="15"/>
        <v>PX: Baja Crit.</v>
      </c>
      <c r="T210">
        <f t="shared" si="16"/>
        <v>0</v>
      </c>
      <c r="U210">
        <f t="shared" si="17"/>
        <v>0</v>
      </c>
      <c r="V210">
        <f t="shared" si="18"/>
        <v>1</v>
      </c>
      <c r="W210">
        <f t="shared" si="19"/>
        <v>0</v>
      </c>
      <c r="X210">
        <v>1</v>
      </c>
      <c r="Y210" s="2">
        <v>45768</v>
      </c>
      <c r="Z210" s="3" t="s">
        <v>89</v>
      </c>
      <c r="AA210" t="s">
        <v>39</v>
      </c>
      <c r="AB210" t="s">
        <v>49</v>
      </c>
      <c r="AC210" s="5" t="s">
        <v>50</v>
      </c>
      <c r="AD210" t="s">
        <v>41</v>
      </c>
    </row>
    <row r="211" spans="2:30">
      <c r="B211">
        <v>10</v>
      </c>
      <c r="C211">
        <v>1020</v>
      </c>
      <c r="D211" t="s">
        <v>29</v>
      </c>
      <c r="E211">
        <v>14056081</v>
      </c>
      <c r="F211" t="s">
        <v>289</v>
      </c>
      <c r="G211" t="s">
        <v>52</v>
      </c>
      <c r="H211" t="s">
        <v>44</v>
      </c>
      <c r="I211" t="s">
        <v>33</v>
      </c>
      <c r="J211" t="s">
        <v>45</v>
      </c>
      <c r="K211" t="s">
        <v>35</v>
      </c>
      <c r="L211" t="s">
        <v>36</v>
      </c>
      <c r="M211" t="s">
        <v>117</v>
      </c>
      <c r="N211">
        <v>8</v>
      </c>
      <c r="O211">
        <v>5</v>
      </c>
      <c r="P211">
        <v>2</v>
      </c>
      <c r="Q211">
        <v>4</v>
      </c>
      <c r="R211" s="4">
        <v>8307.18</v>
      </c>
      <c r="S211" t="str">
        <f t="shared" si="15"/>
        <v>PZ: Alta Crit.</v>
      </c>
      <c r="T211">
        <f t="shared" si="16"/>
        <v>0</v>
      </c>
      <c r="U211">
        <f t="shared" si="17"/>
        <v>0</v>
      </c>
      <c r="V211">
        <f t="shared" si="18"/>
        <v>1</v>
      </c>
      <c r="W211">
        <f t="shared" si="19"/>
        <v>0</v>
      </c>
      <c r="X211">
        <v>1</v>
      </c>
      <c r="Y211" s="2">
        <v>45768</v>
      </c>
      <c r="Z211" s="3" t="s">
        <v>118</v>
      </c>
      <c r="AA211" t="s">
        <v>39</v>
      </c>
      <c r="AB211" t="s">
        <v>49</v>
      </c>
      <c r="AC211" s="5" t="s">
        <v>50</v>
      </c>
      <c r="AD211" t="s">
        <v>41</v>
      </c>
    </row>
    <row r="212" spans="2:30">
      <c r="B212">
        <v>10</v>
      </c>
      <c r="C212">
        <v>1020</v>
      </c>
      <c r="D212" t="s">
        <v>29</v>
      </c>
      <c r="E212">
        <v>10016099</v>
      </c>
      <c r="F212" t="s">
        <v>290</v>
      </c>
      <c r="G212" t="s">
        <v>43</v>
      </c>
      <c r="H212" t="s">
        <v>32</v>
      </c>
      <c r="I212" t="s">
        <v>33</v>
      </c>
      <c r="J212" t="s">
        <v>34</v>
      </c>
      <c r="K212" t="s">
        <v>65</v>
      </c>
      <c r="L212" t="s">
        <v>36</v>
      </c>
      <c r="M212" t="s">
        <v>37</v>
      </c>
      <c r="N212">
        <v>25</v>
      </c>
      <c r="O212">
        <v>16</v>
      </c>
      <c r="P212">
        <v>2</v>
      </c>
      <c r="Q212">
        <v>15</v>
      </c>
      <c r="R212" s="4">
        <v>1249.69</v>
      </c>
      <c r="S212" t="str">
        <f t="shared" si="15"/>
        <v>PY: Media Crit.</v>
      </c>
      <c r="T212">
        <f t="shared" si="16"/>
        <v>0</v>
      </c>
      <c r="U212">
        <f t="shared" si="17"/>
        <v>0</v>
      </c>
      <c r="V212">
        <f t="shared" si="18"/>
        <v>1</v>
      </c>
      <c r="W212">
        <f t="shared" si="19"/>
        <v>0</v>
      </c>
      <c r="X212">
        <v>1</v>
      </c>
      <c r="Y212" s="2">
        <v>45768</v>
      </c>
      <c r="Z212" s="3" t="s">
        <v>38</v>
      </c>
      <c r="AA212" t="s">
        <v>39</v>
      </c>
      <c r="AB212" t="s">
        <v>49</v>
      </c>
      <c r="AC212" s="5" t="s">
        <v>50</v>
      </c>
      <c r="AD212" t="s">
        <v>41</v>
      </c>
    </row>
    <row r="213" spans="2:30">
      <c r="B213">
        <v>10</v>
      </c>
      <c r="C213">
        <v>1020</v>
      </c>
      <c r="D213" t="s">
        <v>29</v>
      </c>
      <c r="E213">
        <v>10647123</v>
      </c>
      <c r="F213" t="s">
        <v>291</v>
      </c>
      <c r="G213" t="s">
        <v>31</v>
      </c>
      <c r="H213" t="s">
        <v>32</v>
      </c>
      <c r="I213" t="s">
        <v>33</v>
      </c>
      <c r="J213" t="s">
        <v>45</v>
      </c>
      <c r="K213" t="s">
        <v>35</v>
      </c>
      <c r="L213" t="s">
        <v>36</v>
      </c>
      <c r="M213" t="s">
        <v>46</v>
      </c>
      <c r="N213">
        <v>5</v>
      </c>
      <c r="O213">
        <v>3</v>
      </c>
      <c r="P213">
        <v>2</v>
      </c>
      <c r="Q213">
        <v>5</v>
      </c>
      <c r="R213">
        <v>395</v>
      </c>
      <c r="S213" t="str">
        <f t="shared" si="15"/>
        <v>PX: Baja Crit.</v>
      </c>
      <c r="T213">
        <f t="shared" si="16"/>
        <v>0</v>
      </c>
      <c r="U213">
        <f t="shared" si="17"/>
        <v>0</v>
      </c>
      <c r="V213">
        <f t="shared" si="18"/>
        <v>1</v>
      </c>
      <c r="W213">
        <f t="shared" si="19"/>
        <v>0</v>
      </c>
      <c r="X213">
        <v>1</v>
      </c>
      <c r="Y213" s="2">
        <v>45768</v>
      </c>
      <c r="Z213" s="3" t="s">
        <v>47</v>
      </c>
      <c r="AA213" t="s">
        <v>39</v>
      </c>
      <c r="AB213" t="s">
        <v>40</v>
      </c>
      <c r="AC213" t="s">
        <v>40</v>
      </c>
      <c r="AD213" t="s">
        <v>41</v>
      </c>
    </row>
    <row r="214" spans="2:30">
      <c r="B214">
        <v>10</v>
      </c>
      <c r="C214">
        <v>1020</v>
      </c>
      <c r="D214" t="s">
        <v>29</v>
      </c>
      <c r="E214">
        <v>10040658</v>
      </c>
      <c r="F214" t="s">
        <v>292</v>
      </c>
      <c r="G214" t="s">
        <v>31</v>
      </c>
      <c r="H214" t="s">
        <v>32</v>
      </c>
      <c r="I214" t="s">
        <v>33</v>
      </c>
      <c r="J214" t="s">
        <v>34</v>
      </c>
      <c r="K214" t="s">
        <v>35</v>
      </c>
      <c r="L214" t="s">
        <v>36</v>
      </c>
      <c r="M214" t="s">
        <v>37</v>
      </c>
      <c r="N214">
        <v>10</v>
      </c>
      <c r="O214">
        <v>6</v>
      </c>
      <c r="P214">
        <v>2</v>
      </c>
      <c r="Q214">
        <v>10</v>
      </c>
      <c r="R214">
        <v>155</v>
      </c>
      <c r="S214" t="str">
        <f t="shared" si="15"/>
        <v>PX: Baja Crit.</v>
      </c>
      <c r="T214">
        <f t="shared" si="16"/>
        <v>0</v>
      </c>
      <c r="U214">
        <f t="shared" si="17"/>
        <v>0</v>
      </c>
      <c r="V214">
        <f t="shared" si="18"/>
        <v>1</v>
      </c>
      <c r="W214">
        <f t="shared" si="19"/>
        <v>0</v>
      </c>
      <c r="X214">
        <v>1</v>
      </c>
      <c r="Y214" s="2">
        <v>45768</v>
      </c>
      <c r="Z214" s="3" t="s">
        <v>38</v>
      </c>
      <c r="AA214" t="s">
        <v>39</v>
      </c>
      <c r="AB214" t="s">
        <v>40</v>
      </c>
      <c r="AC214" t="s">
        <v>40</v>
      </c>
      <c r="AD214" t="s">
        <v>41</v>
      </c>
    </row>
    <row r="215" spans="2:30">
      <c r="B215">
        <v>10</v>
      </c>
      <c r="C215">
        <v>1020</v>
      </c>
      <c r="D215" t="s">
        <v>29</v>
      </c>
      <c r="E215">
        <v>10728181</v>
      </c>
      <c r="F215" t="s">
        <v>293</v>
      </c>
      <c r="G215" t="s">
        <v>43</v>
      </c>
      <c r="H215" t="s">
        <v>32</v>
      </c>
      <c r="I215" t="s">
        <v>33</v>
      </c>
      <c r="J215" t="s">
        <v>45</v>
      </c>
      <c r="K215" t="s">
        <v>35</v>
      </c>
      <c r="L215" t="s">
        <v>36</v>
      </c>
      <c r="M215" t="s">
        <v>117</v>
      </c>
      <c r="N215">
        <v>20</v>
      </c>
      <c r="O215">
        <v>11</v>
      </c>
      <c r="P215">
        <v>4</v>
      </c>
      <c r="Q215">
        <v>30</v>
      </c>
      <c r="R215" s="4">
        <v>1169.52</v>
      </c>
      <c r="S215" t="str">
        <f t="shared" si="15"/>
        <v>PY: Media Crit.</v>
      </c>
      <c r="T215">
        <f t="shared" si="16"/>
        <v>0</v>
      </c>
      <c r="U215">
        <f t="shared" si="17"/>
        <v>0</v>
      </c>
      <c r="V215">
        <f t="shared" si="18"/>
        <v>0</v>
      </c>
      <c r="W215">
        <f t="shared" si="19"/>
        <v>1</v>
      </c>
      <c r="X215">
        <v>1</v>
      </c>
      <c r="Y215" s="2">
        <v>45768</v>
      </c>
      <c r="Z215" s="3" t="s">
        <v>118</v>
      </c>
      <c r="AA215" t="s">
        <v>39</v>
      </c>
      <c r="AB215" t="s">
        <v>49</v>
      </c>
      <c r="AC215" s="5" t="s">
        <v>50</v>
      </c>
      <c r="AD215" t="s">
        <v>41</v>
      </c>
    </row>
    <row r="216" spans="2:30">
      <c r="B216">
        <v>10</v>
      </c>
      <c r="C216">
        <v>1020</v>
      </c>
      <c r="D216" t="s">
        <v>29</v>
      </c>
      <c r="E216">
        <v>10607540</v>
      </c>
      <c r="F216" t="s">
        <v>294</v>
      </c>
      <c r="G216" t="s">
        <v>43</v>
      </c>
      <c r="H216" t="s">
        <v>60</v>
      </c>
      <c r="I216" t="s">
        <v>33</v>
      </c>
      <c r="J216" t="s">
        <v>34</v>
      </c>
      <c r="K216" t="s">
        <v>35</v>
      </c>
      <c r="L216" t="s">
        <v>36</v>
      </c>
      <c r="M216" t="s">
        <v>55</v>
      </c>
      <c r="N216">
        <v>100</v>
      </c>
      <c r="O216">
        <v>61</v>
      </c>
      <c r="P216">
        <v>35</v>
      </c>
      <c r="Q216">
        <v>32</v>
      </c>
      <c r="R216">
        <v>940.01</v>
      </c>
      <c r="S216" t="str">
        <f t="shared" si="15"/>
        <v>PY: Media Crit.</v>
      </c>
      <c r="T216">
        <f t="shared" si="16"/>
        <v>0</v>
      </c>
      <c r="U216">
        <f t="shared" si="17"/>
        <v>1</v>
      </c>
      <c r="V216">
        <f t="shared" si="18"/>
        <v>0</v>
      </c>
      <c r="W216">
        <f t="shared" si="19"/>
        <v>0</v>
      </c>
      <c r="X216">
        <v>1</v>
      </c>
      <c r="Y216" s="2">
        <v>45768</v>
      </c>
      <c r="Z216" s="3" t="s">
        <v>56</v>
      </c>
      <c r="AA216" t="s">
        <v>39</v>
      </c>
      <c r="AB216" t="s">
        <v>49</v>
      </c>
      <c r="AC216" s="5" t="s">
        <v>50</v>
      </c>
      <c r="AD216" t="s">
        <v>41</v>
      </c>
    </row>
    <row r="217" spans="2:30">
      <c r="B217">
        <v>10</v>
      </c>
      <c r="C217">
        <v>1020</v>
      </c>
      <c r="D217" t="s">
        <v>29</v>
      </c>
      <c r="E217">
        <v>10016094</v>
      </c>
      <c r="F217" t="s">
        <v>295</v>
      </c>
      <c r="G217" t="s">
        <v>43</v>
      </c>
      <c r="H217" t="s">
        <v>32</v>
      </c>
      <c r="I217" t="s">
        <v>33</v>
      </c>
      <c r="J217" t="s">
        <v>34</v>
      </c>
      <c r="K217" t="s">
        <v>65</v>
      </c>
      <c r="L217" t="s">
        <v>36</v>
      </c>
      <c r="M217" t="s">
        <v>37</v>
      </c>
      <c r="N217">
        <v>40</v>
      </c>
      <c r="O217">
        <v>20</v>
      </c>
      <c r="P217">
        <v>10</v>
      </c>
      <c r="Q217">
        <v>48</v>
      </c>
      <c r="R217" s="4">
        <v>3965.17</v>
      </c>
      <c r="S217" t="str">
        <f t="shared" si="15"/>
        <v>PY: Media Crit.</v>
      </c>
      <c r="T217">
        <f t="shared" si="16"/>
        <v>0</v>
      </c>
      <c r="U217">
        <f t="shared" si="17"/>
        <v>0</v>
      </c>
      <c r="V217">
        <f t="shared" si="18"/>
        <v>0</v>
      </c>
      <c r="W217">
        <f t="shared" si="19"/>
        <v>1</v>
      </c>
      <c r="X217">
        <v>1</v>
      </c>
      <c r="Y217" s="2">
        <v>45768</v>
      </c>
      <c r="Z217" s="3" t="s">
        <v>38</v>
      </c>
      <c r="AA217" t="s">
        <v>39</v>
      </c>
      <c r="AB217" t="s">
        <v>40</v>
      </c>
      <c r="AC217" t="s">
        <v>40</v>
      </c>
      <c r="AD217" t="s">
        <v>41</v>
      </c>
    </row>
    <row r="218" spans="2:30">
      <c r="B218">
        <v>10</v>
      </c>
      <c r="C218">
        <v>1020</v>
      </c>
      <c r="D218" t="s">
        <v>29</v>
      </c>
      <c r="E218">
        <v>10716218</v>
      </c>
      <c r="F218" t="s">
        <v>296</v>
      </c>
      <c r="G218" t="s">
        <v>31</v>
      </c>
      <c r="H218" t="s">
        <v>44</v>
      </c>
      <c r="I218" t="s">
        <v>33</v>
      </c>
      <c r="J218" t="s">
        <v>34</v>
      </c>
      <c r="K218" t="s">
        <v>80</v>
      </c>
      <c r="L218" t="s">
        <v>36</v>
      </c>
      <c r="M218" t="s">
        <v>46</v>
      </c>
      <c r="N218">
        <v>110</v>
      </c>
      <c r="O218">
        <v>56</v>
      </c>
      <c r="P218">
        <v>10</v>
      </c>
      <c r="Q218">
        <v>55</v>
      </c>
      <c r="R218" s="4">
        <v>3012.23</v>
      </c>
      <c r="S218" t="str">
        <f t="shared" si="15"/>
        <v>PX: Baja Crit.</v>
      </c>
      <c r="T218">
        <f t="shared" si="16"/>
        <v>0</v>
      </c>
      <c r="U218">
        <f t="shared" si="17"/>
        <v>0</v>
      </c>
      <c r="V218">
        <f t="shared" si="18"/>
        <v>1</v>
      </c>
      <c r="W218">
        <f t="shared" si="19"/>
        <v>0</v>
      </c>
      <c r="X218">
        <v>1</v>
      </c>
      <c r="Y218" s="2">
        <v>45768</v>
      </c>
      <c r="Z218" s="3" t="s">
        <v>47</v>
      </c>
      <c r="AA218" t="s">
        <v>39</v>
      </c>
      <c r="AB218" t="s">
        <v>40</v>
      </c>
      <c r="AC218" t="s">
        <v>40</v>
      </c>
      <c r="AD218" t="s">
        <v>41</v>
      </c>
    </row>
    <row r="219" spans="2:30">
      <c r="B219">
        <v>10</v>
      </c>
      <c r="C219">
        <v>1020</v>
      </c>
      <c r="D219" t="s">
        <v>29</v>
      </c>
      <c r="E219">
        <v>10044334</v>
      </c>
      <c r="F219" t="s">
        <v>297</v>
      </c>
      <c r="G219" t="s">
        <v>52</v>
      </c>
      <c r="H219" t="s">
        <v>44</v>
      </c>
      <c r="I219" t="s">
        <v>33</v>
      </c>
      <c r="J219" t="s">
        <v>34</v>
      </c>
      <c r="K219" t="s">
        <v>35</v>
      </c>
      <c r="L219" t="s">
        <v>36</v>
      </c>
      <c r="M219" t="s">
        <v>46</v>
      </c>
      <c r="N219">
        <v>4</v>
      </c>
      <c r="O219">
        <v>3</v>
      </c>
      <c r="P219">
        <v>2</v>
      </c>
      <c r="Q219">
        <v>4</v>
      </c>
      <c r="R219" s="4">
        <v>3718.61</v>
      </c>
      <c r="S219" t="str">
        <f t="shared" si="15"/>
        <v>PZ: Alta Crit.</v>
      </c>
      <c r="T219">
        <f t="shared" si="16"/>
        <v>0</v>
      </c>
      <c r="U219">
        <f t="shared" si="17"/>
        <v>0</v>
      </c>
      <c r="V219">
        <f t="shared" si="18"/>
        <v>1</v>
      </c>
      <c r="W219">
        <f t="shared" si="19"/>
        <v>0</v>
      </c>
      <c r="X219">
        <v>1</v>
      </c>
      <c r="Y219" s="2">
        <v>45768</v>
      </c>
      <c r="Z219" s="3" t="s">
        <v>47</v>
      </c>
      <c r="AA219" t="s">
        <v>39</v>
      </c>
      <c r="AB219" t="s">
        <v>40</v>
      </c>
      <c r="AC219" t="s">
        <v>40</v>
      </c>
      <c r="AD219" t="s">
        <v>41</v>
      </c>
    </row>
    <row r="220" spans="2:30">
      <c r="B220">
        <v>10</v>
      </c>
      <c r="C220">
        <v>1020</v>
      </c>
      <c r="D220" t="s">
        <v>29</v>
      </c>
      <c r="E220">
        <v>10056702</v>
      </c>
      <c r="F220" t="s">
        <v>298</v>
      </c>
      <c r="G220" t="s">
        <v>43</v>
      </c>
      <c r="H220" t="s">
        <v>44</v>
      </c>
      <c r="I220" t="s">
        <v>33</v>
      </c>
      <c r="J220" t="s">
        <v>34</v>
      </c>
      <c r="K220" t="s">
        <v>35</v>
      </c>
      <c r="L220" t="s">
        <v>36</v>
      </c>
      <c r="M220" t="s">
        <v>55</v>
      </c>
      <c r="N220">
        <v>8</v>
      </c>
      <c r="O220">
        <v>3</v>
      </c>
      <c r="P220">
        <v>1</v>
      </c>
      <c r="Q220">
        <v>6</v>
      </c>
      <c r="R220" s="4">
        <v>1227.3699999999999</v>
      </c>
      <c r="S220" t="str">
        <f t="shared" si="15"/>
        <v>PY: Media Crit.</v>
      </c>
      <c r="T220">
        <f t="shared" si="16"/>
        <v>0</v>
      </c>
      <c r="U220">
        <f t="shared" si="17"/>
        <v>0</v>
      </c>
      <c r="V220">
        <f t="shared" si="18"/>
        <v>1</v>
      </c>
      <c r="W220">
        <f t="shared" si="19"/>
        <v>0</v>
      </c>
      <c r="X220">
        <v>1</v>
      </c>
      <c r="Y220" s="2">
        <v>45768</v>
      </c>
      <c r="Z220" s="3" t="s">
        <v>56</v>
      </c>
      <c r="AA220" t="s">
        <v>39</v>
      </c>
      <c r="AB220" t="s">
        <v>40</v>
      </c>
      <c r="AC220" t="s">
        <v>40</v>
      </c>
      <c r="AD220" t="s">
        <v>41</v>
      </c>
    </row>
    <row r="221" spans="2:30">
      <c r="B221">
        <v>10</v>
      </c>
      <c r="C221">
        <v>1020</v>
      </c>
      <c r="D221" t="s">
        <v>29</v>
      </c>
      <c r="E221">
        <v>10050556</v>
      </c>
      <c r="F221" t="s">
        <v>299</v>
      </c>
      <c r="G221" t="s">
        <v>43</v>
      </c>
      <c r="H221" t="s">
        <v>32</v>
      </c>
      <c r="I221" t="s">
        <v>33</v>
      </c>
      <c r="J221" t="s">
        <v>34</v>
      </c>
      <c r="K221" t="s">
        <v>35</v>
      </c>
      <c r="L221" t="s">
        <v>36</v>
      </c>
      <c r="M221" t="s">
        <v>55</v>
      </c>
      <c r="N221">
        <v>100</v>
      </c>
      <c r="O221">
        <v>61</v>
      </c>
      <c r="P221">
        <v>20</v>
      </c>
      <c r="Q221">
        <v>24</v>
      </c>
      <c r="R221">
        <v>65.599999999999994</v>
      </c>
      <c r="S221" t="str">
        <f t="shared" si="15"/>
        <v>PY: Media Crit.</v>
      </c>
      <c r="T221">
        <f t="shared" si="16"/>
        <v>0</v>
      </c>
      <c r="U221">
        <f t="shared" si="17"/>
        <v>0</v>
      </c>
      <c r="V221">
        <f t="shared" si="18"/>
        <v>1</v>
      </c>
      <c r="W221">
        <f t="shared" si="19"/>
        <v>0</v>
      </c>
      <c r="X221">
        <v>1</v>
      </c>
      <c r="Y221" s="2">
        <v>45768</v>
      </c>
      <c r="Z221" s="3" t="s">
        <v>56</v>
      </c>
      <c r="AA221" t="s">
        <v>39</v>
      </c>
      <c r="AB221" t="s">
        <v>76</v>
      </c>
      <c r="AC221" s="5" t="s">
        <v>77</v>
      </c>
      <c r="AD221" t="s">
        <v>41</v>
      </c>
    </row>
    <row r="222" spans="2:30">
      <c r="B222">
        <v>10</v>
      </c>
      <c r="C222">
        <v>1020</v>
      </c>
      <c r="D222" t="s">
        <v>29</v>
      </c>
      <c r="E222">
        <v>10192082</v>
      </c>
      <c r="F222" t="s">
        <v>300</v>
      </c>
      <c r="G222" t="s">
        <v>43</v>
      </c>
      <c r="H222" t="s">
        <v>32</v>
      </c>
      <c r="I222" t="s">
        <v>33</v>
      </c>
      <c r="J222" t="s">
        <v>34</v>
      </c>
      <c r="K222" t="s">
        <v>35</v>
      </c>
      <c r="L222" t="s">
        <v>36</v>
      </c>
      <c r="M222" t="s">
        <v>46</v>
      </c>
      <c r="N222">
        <v>40</v>
      </c>
      <c r="O222">
        <v>21</v>
      </c>
      <c r="P222">
        <v>9</v>
      </c>
      <c r="Q222">
        <v>62</v>
      </c>
      <c r="R222" s="4">
        <v>4981.7700000000004</v>
      </c>
      <c r="S222" t="str">
        <f t="shared" si="15"/>
        <v>PY: Media Crit.</v>
      </c>
      <c r="T222">
        <f t="shared" si="16"/>
        <v>0</v>
      </c>
      <c r="U222">
        <f t="shared" si="17"/>
        <v>0</v>
      </c>
      <c r="V222">
        <f t="shared" si="18"/>
        <v>0</v>
      </c>
      <c r="W222">
        <f t="shared" si="19"/>
        <v>1</v>
      </c>
      <c r="X222">
        <v>1</v>
      </c>
      <c r="Y222" s="2">
        <v>45768</v>
      </c>
      <c r="Z222" s="3" t="s">
        <v>47</v>
      </c>
      <c r="AA222" t="s">
        <v>39</v>
      </c>
      <c r="AB222" t="s">
        <v>76</v>
      </c>
      <c r="AC222" s="5" t="s">
        <v>77</v>
      </c>
      <c r="AD222" t="s">
        <v>41</v>
      </c>
    </row>
    <row r="223" spans="2:30">
      <c r="B223">
        <v>10</v>
      </c>
      <c r="C223">
        <v>1020</v>
      </c>
      <c r="D223" t="s">
        <v>29</v>
      </c>
      <c r="E223">
        <v>14090114</v>
      </c>
      <c r="F223" t="s">
        <v>301</v>
      </c>
      <c r="G223" t="s">
        <v>43</v>
      </c>
      <c r="H223" t="s">
        <v>60</v>
      </c>
      <c r="I223" t="s">
        <v>33</v>
      </c>
      <c r="J223" t="s">
        <v>34</v>
      </c>
      <c r="K223" t="s">
        <v>80</v>
      </c>
      <c r="L223" t="s">
        <v>36</v>
      </c>
      <c r="M223" t="s">
        <v>37</v>
      </c>
      <c r="N223">
        <v>12</v>
      </c>
      <c r="O223">
        <v>7</v>
      </c>
      <c r="P223">
        <v>2</v>
      </c>
      <c r="Q223">
        <v>12</v>
      </c>
      <c r="R223">
        <v>480</v>
      </c>
      <c r="S223" t="str">
        <f t="shared" si="15"/>
        <v>PY: Media Crit.</v>
      </c>
      <c r="T223">
        <f t="shared" si="16"/>
        <v>0</v>
      </c>
      <c r="U223">
        <f t="shared" si="17"/>
        <v>0</v>
      </c>
      <c r="V223">
        <f t="shared" si="18"/>
        <v>1</v>
      </c>
      <c r="W223">
        <f t="shared" si="19"/>
        <v>0</v>
      </c>
      <c r="X223">
        <v>1</v>
      </c>
      <c r="Y223" s="2">
        <v>45768</v>
      </c>
      <c r="Z223" s="3" t="s">
        <v>38</v>
      </c>
      <c r="AA223" t="s">
        <v>39</v>
      </c>
      <c r="AB223" t="s">
        <v>40</v>
      </c>
      <c r="AC223" t="s">
        <v>40</v>
      </c>
      <c r="AD223" t="s">
        <v>41</v>
      </c>
    </row>
    <row r="224" spans="2:30">
      <c r="B224">
        <v>10</v>
      </c>
      <c r="C224">
        <v>1020</v>
      </c>
      <c r="D224" t="s">
        <v>29</v>
      </c>
      <c r="E224">
        <v>14149408</v>
      </c>
      <c r="F224" t="s">
        <v>302</v>
      </c>
      <c r="G224" t="s">
        <v>31</v>
      </c>
      <c r="H224" t="s">
        <v>44</v>
      </c>
      <c r="I224" t="s">
        <v>33</v>
      </c>
      <c r="J224" t="s">
        <v>45</v>
      </c>
      <c r="K224" t="s">
        <v>35</v>
      </c>
      <c r="L224" t="s">
        <v>36</v>
      </c>
      <c r="M224" t="s">
        <v>117</v>
      </c>
      <c r="N224">
        <v>20</v>
      </c>
      <c r="O224">
        <v>20</v>
      </c>
      <c r="P224">
        <v>0</v>
      </c>
      <c r="Q224">
        <v>4</v>
      </c>
      <c r="R224">
        <v>384.74</v>
      </c>
      <c r="S224" t="str">
        <f t="shared" si="15"/>
        <v>PX: Baja Crit.</v>
      </c>
      <c r="T224">
        <f t="shared" si="16"/>
        <v>0</v>
      </c>
      <c r="U224">
        <f t="shared" si="17"/>
        <v>0</v>
      </c>
      <c r="V224">
        <f t="shared" si="18"/>
        <v>1</v>
      </c>
      <c r="W224">
        <f t="shared" si="19"/>
        <v>0</v>
      </c>
      <c r="X224">
        <v>1</v>
      </c>
      <c r="Y224" s="2">
        <v>45768</v>
      </c>
      <c r="Z224" s="3" t="s">
        <v>118</v>
      </c>
      <c r="AA224" t="s">
        <v>39</v>
      </c>
      <c r="AB224" t="s">
        <v>49</v>
      </c>
      <c r="AC224" s="5" t="s">
        <v>50</v>
      </c>
      <c r="AD224" t="s">
        <v>41</v>
      </c>
    </row>
    <row r="225" spans="2:30">
      <c r="B225">
        <v>10</v>
      </c>
      <c r="C225">
        <v>1020</v>
      </c>
      <c r="D225" t="s">
        <v>29</v>
      </c>
      <c r="E225">
        <v>14090112</v>
      </c>
      <c r="F225" t="s">
        <v>303</v>
      </c>
      <c r="G225" t="s">
        <v>43</v>
      </c>
      <c r="H225" t="s">
        <v>60</v>
      </c>
      <c r="I225" t="s">
        <v>33</v>
      </c>
      <c r="J225" t="s">
        <v>34</v>
      </c>
      <c r="K225" t="s">
        <v>80</v>
      </c>
      <c r="L225" t="s">
        <v>36</v>
      </c>
      <c r="M225" t="s">
        <v>37</v>
      </c>
      <c r="N225">
        <v>10</v>
      </c>
      <c r="O225">
        <v>6</v>
      </c>
      <c r="P225">
        <v>2</v>
      </c>
      <c r="Q225">
        <v>4</v>
      </c>
      <c r="R225">
        <v>200</v>
      </c>
      <c r="S225" t="str">
        <f t="shared" si="15"/>
        <v>PY: Media Crit.</v>
      </c>
      <c r="T225">
        <f t="shared" si="16"/>
        <v>0</v>
      </c>
      <c r="U225">
        <f t="shared" si="17"/>
        <v>0</v>
      </c>
      <c r="V225">
        <f t="shared" si="18"/>
        <v>1</v>
      </c>
      <c r="W225">
        <f t="shared" si="19"/>
        <v>0</v>
      </c>
      <c r="X225">
        <v>1</v>
      </c>
      <c r="Y225" s="2">
        <v>45768</v>
      </c>
      <c r="Z225" s="3" t="s">
        <v>38</v>
      </c>
      <c r="AA225" t="s">
        <v>39</v>
      </c>
      <c r="AB225" t="s">
        <v>76</v>
      </c>
      <c r="AC225" s="5" t="s">
        <v>77</v>
      </c>
      <c r="AD225" t="s">
        <v>41</v>
      </c>
    </row>
    <row r="226" spans="2:30">
      <c r="B226">
        <v>10</v>
      </c>
      <c r="C226">
        <v>1020</v>
      </c>
      <c r="D226" t="s">
        <v>29</v>
      </c>
      <c r="E226">
        <v>14280985</v>
      </c>
      <c r="F226" t="s">
        <v>304</v>
      </c>
      <c r="G226" t="s">
        <v>43</v>
      </c>
      <c r="H226" t="s">
        <v>44</v>
      </c>
      <c r="I226" t="s">
        <v>33</v>
      </c>
      <c r="J226" t="s">
        <v>45</v>
      </c>
      <c r="K226" t="s">
        <v>65</v>
      </c>
      <c r="L226" t="s">
        <v>36</v>
      </c>
      <c r="M226" t="s">
        <v>127</v>
      </c>
      <c r="N226">
        <v>200</v>
      </c>
      <c r="O226">
        <v>200</v>
      </c>
      <c r="P226">
        <v>0</v>
      </c>
      <c r="Q226">
        <v>600</v>
      </c>
      <c r="R226" s="4">
        <v>2003.52</v>
      </c>
      <c r="S226" t="str">
        <f t="shared" si="15"/>
        <v>PY: Media Crit.</v>
      </c>
      <c r="T226">
        <f t="shared" si="16"/>
        <v>0</v>
      </c>
      <c r="U226">
        <f t="shared" si="17"/>
        <v>0</v>
      </c>
      <c r="V226">
        <f t="shared" si="18"/>
        <v>0</v>
      </c>
      <c r="W226">
        <f t="shared" si="19"/>
        <v>1</v>
      </c>
      <c r="X226">
        <v>1</v>
      </c>
      <c r="Y226" s="2">
        <v>45768</v>
      </c>
      <c r="Z226" s="3" t="s">
        <v>128</v>
      </c>
      <c r="AA226" t="s">
        <v>39</v>
      </c>
      <c r="AB226" t="s">
        <v>40</v>
      </c>
      <c r="AC226" t="s">
        <v>40</v>
      </c>
      <c r="AD226" t="s">
        <v>41</v>
      </c>
    </row>
    <row r="227" spans="2:30">
      <c r="B227">
        <v>10</v>
      </c>
      <c r="C227">
        <v>1020</v>
      </c>
      <c r="D227" t="s">
        <v>29</v>
      </c>
      <c r="E227">
        <v>10043084</v>
      </c>
      <c r="F227" t="s">
        <v>305</v>
      </c>
      <c r="G227" t="s">
        <v>31</v>
      </c>
      <c r="H227" t="s">
        <v>32</v>
      </c>
      <c r="I227" t="s">
        <v>33</v>
      </c>
      <c r="J227" t="s">
        <v>34</v>
      </c>
      <c r="K227" t="s">
        <v>35</v>
      </c>
      <c r="L227" t="s">
        <v>36</v>
      </c>
      <c r="M227" t="s">
        <v>37</v>
      </c>
      <c r="N227">
        <v>60</v>
      </c>
      <c r="O227">
        <v>21</v>
      </c>
      <c r="P227">
        <v>10</v>
      </c>
      <c r="Q227">
        <v>40</v>
      </c>
      <c r="R227">
        <v>960</v>
      </c>
      <c r="S227" t="str">
        <f t="shared" si="15"/>
        <v>PX: Baja Crit.</v>
      </c>
      <c r="T227">
        <f t="shared" si="16"/>
        <v>0</v>
      </c>
      <c r="U227">
        <f t="shared" si="17"/>
        <v>0</v>
      </c>
      <c r="V227">
        <f t="shared" si="18"/>
        <v>1</v>
      </c>
      <c r="W227">
        <f t="shared" si="19"/>
        <v>0</v>
      </c>
      <c r="X227">
        <v>1</v>
      </c>
      <c r="Y227" s="2">
        <v>45768</v>
      </c>
      <c r="Z227" s="3" t="s">
        <v>38</v>
      </c>
      <c r="AA227" t="s">
        <v>39</v>
      </c>
      <c r="AB227" t="s">
        <v>40</v>
      </c>
      <c r="AC227" t="s">
        <v>40</v>
      </c>
      <c r="AD227" t="s">
        <v>41</v>
      </c>
    </row>
    <row r="228" spans="2:30">
      <c r="B228">
        <v>10</v>
      </c>
      <c r="C228">
        <v>1020</v>
      </c>
      <c r="D228" t="s">
        <v>29</v>
      </c>
      <c r="E228" s="6">
        <v>14207998</v>
      </c>
      <c r="F228" s="6" t="s">
        <v>306</v>
      </c>
      <c r="G228" t="s">
        <v>52</v>
      </c>
      <c r="H228" t="s">
        <v>44</v>
      </c>
      <c r="I228" t="s">
        <v>33</v>
      </c>
      <c r="J228" t="s">
        <v>45</v>
      </c>
      <c r="K228" t="s">
        <v>65</v>
      </c>
      <c r="L228" t="s">
        <v>36</v>
      </c>
      <c r="M228" t="s">
        <v>37</v>
      </c>
      <c r="N228" s="8">
        <v>7200</v>
      </c>
      <c r="O228" s="8">
        <v>3601</v>
      </c>
      <c r="P228" s="8">
        <v>1800</v>
      </c>
      <c r="Q228" s="8">
        <v>3150</v>
      </c>
      <c r="R228" s="4">
        <v>63540.38</v>
      </c>
      <c r="S228" t="str">
        <f t="shared" si="15"/>
        <v>PZ: Alta Crit.</v>
      </c>
      <c r="T228">
        <f t="shared" si="16"/>
        <v>0</v>
      </c>
      <c r="U228">
        <f t="shared" si="17"/>
        <v>0</v>
      </c>
      <c r="V228">
        <f t="shared" si="18"/>
        <v>1</v>
      </c>
      <c r="W228">
        <f t="shared" si="19"/>
        <v>0</v>
      </c>
      <c r="X228">
        <v>1</v>
      </c>
      <c r="Y228" s="2">
        <v>45768</v>
      </c>
      <c r="Z228" s="3" t="s">
        <v>38</v>
      </c>
      <c r="AA228" t="s">
        <v>39</v>
      </c>
      <c r="AB228" t="s">
        <v>40</v>
      </c>
      <c r="AC228" t="s">
        <v>40</v>
      </c>
      <c r="AD228" t="s">
        <v>41</v>
      </c>
    </row>
    <row r="229" spans="2:30">
      <c r="B229">
        <v>10</v>
      </c>
      <c r="C229">
        <v>1020</v>
      </c>
      <c r="D229" t="s">
        <v>29</v>
      </c>
      <c r="E229">
        <v>10054477</v>
      </c>
      <c r="F229" t="s">
        <v>307</v>
      </c>
      <c r="G229" t="s">
        <v>43</v>
      </c>
      <c r="H229" t="s">
        <v>60</v>
      </c>
      <c r="I229" t="s">
        <v>33</v>
      </c>
      <c r="J229" t="s">
        <v>34</v>
      </c>
      <c r="K229" t="s">
        <v>35</v>
      </c>
      <c r="L229" t="s">
        <v>36</v>
      </c>
      <c r="M229" t="s">
        <v>46</v>
      </c>
      <c r="N229">
        <v>2</v>
      </c>
      <c r="O229">
        <v>2</v>
      </c>
      <c r="P229">
        <v>1</v>
      </c>
      <c r="Q229">
        <v>2</v>
      </c>
      <c r="R229" s="4">
        <v>2103.5700000000002</v>
      </c>
      <c r="S229" t="str">
        <f t="shared" si="15"/>
        <v>PY: Media Crit.</v>
      </c>
      <c r="T229">
        <f t="shared" si="16"/>
        <v>0</v>
      </c>
      <c r="U229">
        <f t="shared" si="17"/>
        <v>0</v>
      </c>
      <c r="V229">
        <f t="shared" si="18"/>
        <v>1</v>
      </c>
      <c r="W229">
        <f t="shared" si="19"/>
        <v>0</v>
      </c>
      <c r="X229">
        <v>1</v>
      </c>
      <c r="Y229" s="2">
        <v>45768</v>
      </c>
      <c r="Z229" s="3" t="s">
        <v>47</v>
      </c>
      <c r="AA229" t="s">
        <v>39</v>
      </c>
      <c r="AB229" t="s">
        <v>40</v>
      </c>
      <c r="AC229" t="s">
        <v>40</v>
      </c>
      <c r="AD229" t="s">
        <v>41</v>
      </c>
    </row>
    <row r="230" spans="2:30">
      <c r="B230">
        <v>10</v>
      </c>
      <c r="C230">
        <v>1020</v>
      </c>
      <c r="D230" t="s">
        <v>29</v>
      </c>
      <c r="E230">
        <v>10090600</v>
      </c>
      <c r="F230" t="s">
        <v>308</v>
      </c>
      <c r="G230" t="s">
        <v>43</v>
      </c>
      <c r="H230" t="s">
        <v>44</v>
      </c>
      <c r="I230" t="s">
        <v>33</v>
      </c>
      <c r="J230" t="s">
        <v>45</v>
      </c>
      <c r="K230" t="s">
        <v>35</v>
      </c>
      <c r="L230" t="s">
        <v>36</v>
      </c>
      <c r="M230" t="s">
        <v>46</v>
      </c>
      <c r="N230">
        <v>7</v>
      </c>
      <c r="O230">
        <v>4</v>
      </c>
      <c r="P230">
        <v>4</v>
      </c>
      <c r="Q230">
        <v>3</v>
      </c>
      <c r="R230" s="4">
        <v>43762.66</v>
      </c>
      <c r="S230" t="str">
        <f t="shared" si="15"/>
        <v>PY: Media Crit.</v>
      </c>
      <c r="T230">
        <f t="shared" si="16"/>
        <v>0</v>
      </c>
      <c r="U230">
        <f t="shared" si="17"/>
        <v>1</v>
      </c>
      <c r="V230">
        <f t="shared" si="18"/>
        <v>0</v>
      </c>
      <c r="W230">
        <f t="shared" si="19"/>
        <v>0</v>
      </c>
      <c r="X230">
        <v>1</v>
      </c>
      <c r="Y230" s="2">
        <v>45768</v>
      </c>
      <c r="Z230" s="3" t="s">
        <v>47</v>
      </c>
      <c r="AA230" t="s">
        <v>39</v>
      </c>
      <c r="AB230" t="s">
        <v>49</v>
      </c>
      <c r="AC230" s="5" t="s">
        <v>50</v>
      </c>
      <c r="AD230" t="s">
        <v>41</v>
      </c>
    </row>
    <row r="231" spans="2:30">
      <c r="B231">
        <v>10</v>
      </c>
      <c r="C231">
        <v>1020</v>
      </c>
      <c r="D231" t="s">
        <v>29</v>
      </c>
      <c r="E231">
        <v>10051710</v>
      </c>
      <c r="F231" t="s">
        <v>309</v>
      </c>
      <c r="G231" t="s">
        <v>31</v>
      </c>
      <c r="H231" t="s">
        <v>32</v>
      </c>
      <c r="I231" t="s">
        <v>33</v>
      </c>
      <c r="J231" t="s">
        <v>34</v>
      </c>
      <c r="K231" t="s">
        <v>35</v>
      </c>
      <c r="L231" t="s">
        <v>36</v>
      </c>
      <c r="M231" t="s">
        <v>88</v>
      </c>
      <c r="N231">
        <v>40</v>
      </c>
      <c r="O231">
        <v>21</v>
      </c>
      <c r="P231">
        <v>10</v>
      </c>
      <c r="Q231">
        <v>40</v>
      </c>
      <c r="R231">
        <v>136.06</v>
      </c>
      <c r="S231" t="str">
        <f t="shared" si="15"/>
        <v>PX: Baja Crit.</v>
      </c>
      <c r="T231">
        <f t="shared" si="16"/>
        <v>0</v>
      </c>
      <c r="U231">
        <f t="shared" si="17"/>
        <v>0</v>
      </c>
      <c r="V231">
        <f t="shared" si="18"/>
        <v>1</v>
      </c>
      <c r="W231">
        <f t="shared" si="19"/>
        <v>0</v>
      </c>
      <c r="X231">
        <v>1</v>
      </c>
      <c r="Y231" s="2">
        <v>45768</v>
      </c>
      <c r="Z231" s="3" t="s">
        <v>89</v>
      </c>
      <c r="AA231" t="s">
        <v>39</v>
      </c>
      <c r="AB231" t="s">
        <v>40</v>
      </c>
      <c r="AC231" t="s">
        <v>40</v>
      </c>
      <c r="AD231" t="s">
        <v>41</v>
      </c>
    </row>
    <row r="232" spans="2:30">
      <c r="B232">
        <v>10</v>
      </c>
      <c r="C232">
        <v>1020</v>
      </c>
      <c r="D232" t="s">
        <v>29</v>
      </c>
      <c r="E232">
        <v>10048212</v>
      </c>
      <c r="F232" t="s">
        <v>310</v>
      </c>
      <c r="G232" t="s">
        <v>52</v>
      </c>
      <c r="H232" t="s">
        <v>60</v>
      </c>
      <c r="I232" t="s">
        <v>33</v>
      </c>
      <c r="J232" t="s">
        <v>34</v>
      </c>
      <c r="K232" t="s">
        <v>35</v>
      </c>
      <c r="L232" t="s">
        <v>36</v>
      </c>
      <c r="M232" t="s">
        <v>46</v>
      </c>
      <c r="N232">
        <v>6</v>
      </c>
      <c r="O232">
        <v>4</v>
      </c>
      <c r="P232">
        <v>3</v>
      </c>
      <c r="Q232">
        <v>6</v>
      </c>
      <c r="R232" s="4">
        <v>19354.91</v>
      </c>
      <c r="S232" t="str">
        <f t="shared" si="15"/>
        <v>PZ: Alta Crit.</v>
      </c>
      <c r="T232">
        <f t="shared" si="16"/>
        <v>0</v>
      </c>
      <c r="U232">
        <f t="shared" si="17"/>
        <v>0</v>
      </c>
      <c r="V232">
        <f t="shared" si="18"/>
        <v>1</v>
      </c>
      <c r="W232">
        <f t="shared" si="19"/>
        <v>0</v>
      </c>
      <c r="X232">
        <v>1</v>
      </c>
      <c r="Y232" s="2">
        <v>45768</v>
      </c>
      <c r="Z232" s="3" t="s">
        <v>47</v>
      </c>
      <c r="AA232" t="s">
        <v>39</v>
      </c>
      <c r="AB232" t="s">
        <v>40</v>
      </c>
      <c r="AC232" t="s">
        <v>40</v>
      </c>
      <c r="AD232" t="s">
        <v>41</v>
      </c>
    </row>
    <row r="233" spans="2:30">
      <c r="B233">
        <v>10</v>
      </c>
      <c r="C233">
        <v>1020</v>
      </c>
      <c r="D233" t="s">
        <v>181</v>
      </c>
      <c r="E233">
        <v>10716400</v>
      </c>
      <c r="F233" t="s">
        <v>311</v>
      </c>
      <c r="G233" t="s">
        <v>31</v>
      </c>
      <c r="H233" t="s">
        <v>32</v>
      </c>
      <c r="I233" t="s">
        <v>183</v>
      </c>
      <c r="J233" t="s">
        <v>45</v>
      </c>
      <c r="K233" t="s">
        <v>35</v>
      </c>
      <c r="L233" t="s">
        <v>36</v>
      </c>
      <c r="M233" t="s">
        <v>55</v>
      </c>
      <c r="N233">
        <v>10</v>
      </c>
      <c r="O233">
        <v>5</v>
      </c>
      <c r="P233">
        <v>0</v>
      </c>
      <c r="Q233">
        <v>30</v>
      </c>
      <c r="R233">
        <v>126.6</v>
      </c>
      <c r="S233" t="str">
        <f t="shared" si="15"/>
        <v>PX: Baja Crit.</v>
      </c>
      <c r="T233">
        <f t="shared" si="16"/>
        <v>0</v>
      </c>
      <c r="U233">
        <f t="shared" si="17"/>
        <v>0</v>
      </c>
      <c r="V233">
        <f t="shared" si="18"/>
        <v>0</v>
      </c>
      <c r="W233">
        <f t="shared" si="19"/>
        <v>1</v>
      </c>
      <c r="X233">
        <v>1</v>
      </c>
      <c r="Y233" s="2">
        <v>45768</v>
      </c>
      <c r="Z233" s="3" t="s">
        <v>56</v>
      </c>
      <c r="AA233" t="s">
        <v>39</v>
      </c>
      <c r="AB233" t="s">
        <v>40</v>
      </c>
      <c r="AC233" t="s">
        <v>40</v>
      </c>
      <c r="AD233" t="s">
        <v>184</v>
      </c>
    </row>
    <row r="234" spans="2:30">
      <c r="B234">
        <v>10</v>
      </c>
      <c r="C234">
        <v>1020</v>
      </c>
      <c r="D234" t="s">
        <v>181</v>
      </c>
      <c r="E234">
        <v>10716437</v>
      </c>
      <c r="F234" t="s">
        <v>312</v>
      </c>
      <c r="G234" t="s">
        <v>31</v>
      </c>
      <c r="H234" t="s">
        <v>32</v>
      </c>
      <c r="I234" t="s">
        <v>183</v>
      </c>
      <c r="J234" t="s">
        <v>45</v>
      </c>
      <c r="K234" t="s">
        <v>35</v>
      </c>
      <c r="L234" t="s">
        <v>36</v>
      </c>
      <c r="M234" t="s">
        <v>55</v>
      </c>
      <c r="N234">
        <v>10</v>
      </c>
      <c r="O234">
        <v>5</v>
      </c>
      <c r="P234">
        <v>0</v>
      </c>
      <c r="Q234">
        <v>30</v>
      </c>
      <c r="R234">
        <v>671.1</v>
      </c>
      <c r="S234" t="str">
        <f t="shared" si="15"/>
        <v>PX: Baja Crit.</v>
      </c>
      <c r="T234">
        <f t="shared" si="16"/>
        <v>0</v>
      </c>
      <c r="U234">
        <f t="shared" si="17"/>
        <v>0</v>
      </c>
      <c r="V234">
        <f t="shared" si="18"/>
        <v>0</v>
      </c>
      <c r="W234">
        <f t="shared" si="19"/>
        <v>1</v>
      </c>
      <c r="X234">
        <v>1</v>
      </c>
      <c r="Y234" s="2">
        <v>45768</v>
      </c>
      <c r="Z234" s="3" t="s">
        <v>56</v>
      </c>
      <c r="AA234" t="s">
        <v>39</v>
      </c>
      <c r="AB234" t="s">
        <v>40</v>
      </c>
      <c r="AC234" t="s">
        <v>40</v>
      </c>
      <c r="AD234" t="s">
        <v>184</v>
      </c>
    </row>
    <row r="235" spans="2:30">
      <c r="B235">
        <v>9</v>
      </c>
      <c r="C235">
        <v>1020</v>
      </c>
      <c r="D235" t="s">
        <v>29</v>
      </c>
      <c r="E235">
        <v>10040845</v>
      </c>
      <c r="F235" t="s">
        <v>313</v>
      </c>
      <c r="G235" t="s">
        <v>31</v>
      </c>
      <c r="H235" t="s">
        <v>32</v>
      </c>
      <c r="I235" t="s">
        <v>33</v>
      </c>
      <c r="J235" t="s">
        <v>34</v>
      </c>
      <c r="K235" t="s">
        <v>35</v>
      </c>
      <c r="L235" t="s">
        <v>36</v>
      </c>
      <c r="M235" t="s">
        <v>55</v>
      </c>
      <c r="N235">
        <v>60</v>
      </c>
      <c r="O235">
        <v>41</v>
      </c>
      <c r="P235">
        <v>8</v>
      </c>
      <c r="Q235">
        <v>60</v>
      </c>
      <c r="R235">
        <v>200.33</v>
      </c>
      <c r="S235" t="str">
        <f t="shared" si="15"/>
        <v>PX: Baja Crit.</v>
      </c>
      <c r="T235">
        <f t="shared" si="16"/>
        <v>0</v>
      </c>
      <c r="U235">
        <f t="shared" si="17"/>
        <v>0</v>
      </c>
      <c r="V235">
        <f t="shared" si="18"/>
        <v>1</v>
      </c>
      <c r="W235">
        <f t="shared" si="19"/>
        <v>0</v>
      </c>
      <c r="X235">
        <v>1</v>
      </c>
      <c r="Y235" s="2">
        <v>45768</v>
      </c>
      <c r="Z235" s="3" t="s">
        <v>56</v>
      </c>
      <c r="AA235" t="s">
        <v>39</v>
      </c>
      <c r="AB235" t="s">
        <v>40</v>
      </c>
      <c r="AC235" t="s">
        <v>40</v>
      </c>
      <c r="AD235" t="s">
        <v>41</v>
      </c>
    </row>
    <row r="236" spans="2:30">
      <c r="B236">
        <v>9</v>
      </c>
      <c r="C236">
        <v>1020</v>
      </c>
      <c r="D236" t="s">
        <v>29</v>
      </c>
      <c r="E236">
        <v>10044219</v>
      </c>
      <c r="F236" t="s">
        <v>314</v>
      </c>
      <c r="G236" t="s">
        <v>52</v>
      </c>
      <c r="H236" t="s">
        <v>44</v>
      </c>
      <c r="I236" t="s">
        <v>33</v>
      </c>
      <c r="J236" t="s">
        <v>45</v>
      </c>
      <c r="K236" t="s">
        <v>62</v>
      </c>
      <c r="L236" t="s">
        <v>36</v>
      </c>
      <c r="M236" t="s">
        <v>46</v>
      </c>
      <c r="N236">
        <v>20</v>
      </c>
      <c r="O236">
        <v>11</v>
      </c>
      <c r="P236">
        <v>5</v>
      </c>
      <c r="Q236">
        <v>15</v>
      </c>
      <c r="R236">
        <v>375</v>
      </c>
      <c r="S236" t="str">
        <f t="shared" si="15"/>
        <v>PZ: Alta Crit.</v>
      </c>
      <c r="T236">
        <f t="shared" si="16"/>
        <v>0</v>
      </c>
      <c r="U236">
        <f t="shared" si="17"/>
        <v>0</v>
      </c>
      <c r="V236">
        <f t="shared" si="18"/>
        <v>1</v>
      </c>
      <c r="W236">
        <f t="shared" si="19"/>
        <v>0</v>
      </c>
      <c r="X236">
        <v>1</v>
      </c>
      <c r="Y236" s="2">
        <v>45768</v>
      </c>
      <c r="Z236" s="3" t="s">
        <v>47</v>
      </c>
      <c r="AA236" t="s">
        <v>39</v>
      </c>
      <c r="AB236" t="s">
        <v>40</v>
      </c>
      <c r="AC236" t="s">
        <v>40</v>
      </c>
      <c r="AD236" t="s">
        <v>41</v>
      </c>
    </row>
    <row r="237" spans="2:30">
      <c r="B237">
        <v>9</v>
      </c>
      <c r="C237">
        <v>1020</v>
      </c>
      <c r="D237" t="s">
        <v>29</v>
      </c>
      <c r="E237">
        <v>10049392</v>
      </c>
      <c r="F237" t="s">
        <v>315</v>
      </c>
      <c r="G237" t="s">
        <v>43</v>
      </c>
      <c r="H237" t="s">
        <v>32</v>
      </c>
      <c r="I237" t="s">
        <v>33</v>
      </c>
      <c r="J237" t="s">
        <v>45</v>
      </c>
      <c r="K237" t="s">
        <v>35</v>
      </c>
      <c r="L237" t="s">
        <v>36</v>
      </c>
      <c r="M237" t="s">
        <v>88</v>
      </c>
      <c r="N237">
        <v>16</v>
      </c>
      <c r="O237">
        <v>8</v>
      </c>
      <c r="P237">
        <v>5</v>
      </c>
      <c r="Q237">
        <v>16</v>
      </c>
      <c r="R237">
        <v>744.94</v>
      </c>
      <c r="S237" t="str">
        <f t="shared" si="15"/>
        <v>PY: Media Crit.</v>
      </c>
      <c r="T237">
        <f t="shared" si="16"/>
        <v>0</v>
      </c>
      <c r="U237">
        <f t="shared" si="17"/>
        <v>0</v>
      </c>
      <c r="V237">
        <f t="shared" si="18"/>
        <v>1</v>
      </c>
      <c r="W237">
        <f t="shared" si="19"/>
        <v>0</v>
      </c>
      <c r="X237">
        <v>1</v>
      </c>
      <c r="Y237" s="2">
        <v>45768</v>
      </c>
      <c r="Z237" s="3" t="s">
        <v>89</v>
      </c>
      <c r="AA237" t="s">
        <v>39</v>
      </c>
      <c r="AB237" t="s">
        <v>40</v>
      </c>
      <c r="AC237" t="s">
        <v>40</v>
      </c>
      <c r="AD237" t="s">
        <v>41</v>
      </c>
    </row>
    <row r="238" spans="2:30">
      <c r="B238">
        <v>9</v>
      </c>
      <c r="C238">
        <v>1020</v>
      </c>
      <c r="D238" t="s">
        <v>29</v>
      </c>
      <c r="E238">
        <v>14158105</v>
      </c>
      <c r="F238" t="s">
        <v>316</v>
      </c>
      <c r="G238" t="s">
        <v>31</v>
      </c>
      <c r="H238" t="s">
        <v>60</v>
      </c>
      <c r="I238" t="s">
        <v>33</v>
      </c>
      <c r="J238" t="s">
        <v>45</v>
      </c>
      <c r="K238" t="s">
        <v>35</v>
      </c>
      <c r="L238" t="s">
        <v>36</v>
      </c>
      <c r="M238" t="s">
        <v>46</v>
      </c>
      <c r="N238">
        <v>6</v>
      </c>
      <c r="O238">
        <v>3</v>
      </c>
      <c r="P238">
        <v>0</v>
      </c>
      <c r="Q238">
        <v>17</v>
      </c>
      <c r="R238">
        <v>942.31</v>
      </c>
      <c r="S238" t="str">
        <f t="shared" si="15"/>
        <v>PX: Baja Crit.</v>
      </c>
      <c r="T238">
        <f t="shared" si="16"/>
        <v>0</v>
      </c>
      <c r="U238">
        <f t="shared" si="17"/>
        <v>0</v>
      </c>
      <c r="V238">
        <f t="shared" si="18"/>
        <v>0</v>
      </c>
      <c r="W238">
        <f t="shared" si="19"/>
        <v>1</v>
      </c>
      <c r="X238">
        <v>1</v>
      </c>
      <c r="Y238" s="2">
        <v>45768</v>
      </c>
      <c r="Z238" s="3" t="s">
        <v>47</v>
      </c>
      <c r="AA238" t="s">
        <v>39</v>
      </c>
      <c r="AB238" t="s">
        <v>40</v>
      </c>
      <c r="AC238" t="s">
        <v>40</v>
      </c>
      <c r="AD238" t="s">
        <v>41</v>
      </c>
    </row>
    <row r="239" spans="2:30">
      <c r="B239">
        <v>9</v>
      </c>
      <c r="C239">
        <v>1020</v>
      </c>
      <c r="D239" t="s">
        <v>29</v>
      </c>
      <c r="E239">
        <v>10005508</v>
      </c>
      <c r="F239" t="s">
        <v>317</v>
      </c>
      <c r="G239" t="s">
        <v>31</v>
      </c>
      <c r="H239" t="s">
        <v>32</v>
      </c>
      <c r="I239" t="s">
        <v>33</v>
      </c>
      <c r="J239" t="s">
        <v>34</v>
      </c>
      <c r="K239" t="s">
        <v>35</v>
      </c>
      <c r="L239" t="s">
        <v>36</v>
      </c>
      <c r="M239" t="s">
        <v>55</v>
      </c>
      <c r="N239">
        <v>50</v>
      </c>
      <c r="O239">
        <v>21</v>
      </c>
      <c r="P239">
        <v>5</v>
      </c>
      <c r="Q239">
        <v>28</v>
      </c>
      <c r="R239">
        <v>92.31</v>
      </c>
      <c r="S239" t="str">
        <f t="shared" si="15"/>
        <v>PX: Baja Crit.</v>
      </c>
      <c r="T239">
        <f t="shared" si="16"/>
        <v>0</v>
      </c>
      <c r="U239">
        <f t="shared" si="17"/>
        <v>0</v>
      </c>
      <c r="V239">
        <f t="shared" si="18"/>
        <v>1</v>
      </c>
      <c r="W239">
        <f t="shared" si="19"/>
        <v>0</v>
      </c>
      <c r="X239">
        <v>1</v>
      </c>
      <c r="Y239" s="2">
        <v>45768</v>
      </c>
      <c r="Z239" s="3" t="s">
        <v>56</v>
      </c>
      <c r="AA239" t="s">
        <v>39</v>
      </c>
      <c r="AB239" t="s">
        <v>76</v>
      </c>
      <c r="AC239" s="5" t="s">
        <v>77</v>
      </c>
      <c r="AD239" t="s">
        <v>41</v>
      </c>
    </row>
    <row r="240" spans="2:30">
      <c r="B240">
        <v>9</v>
      </c>
      <c r="C240">
        <v>1020</v>
      </c>
      <c r="D240" t="s">
        <v>29</v>
      </c>
      <c r="E240">
        <v>10050711</v>
      </c>
      <c r="F240" t="s">
        <v>318</v>
      </c>
      <c r="G240" t="s">
        <v>31</v>
      </c>
      <c r="H240" t="s">
        <v>32</v>
      </c>
      <c r="I240" t="s">
        <v>33</v>
      </c>
      <c r="J240" t="s">
        <v>34</v>
      </c>
      <c r="K240" t="s">
        <v>35</v>
      </c>
      <c r="L240" t="s">
        <v>36</v>
      </c>
      <c r="M240" t="s">
        <v>88</v>
      </c>
      <c r="N240">
        <v>70</v>
      </c>
      <c r="O240">
        <v>31</v>
      </c>
      <c r="P240">
        <v>10</v>
      </c>
      <c r="Q240">
        <v>70</v>
      </c>
      <c r="R240">
        <v>279.79000000000002</v>
      </c>
      <c r="S240" t="str">
        <f t="shared" si="15"/>
        <v>PX: Baja Crit.</v>
      </c>
      <c r="T240">
        <f t="shared" si="16"/>
        <v>0</v>
      </c>
      <c r="U240">
        <f t="shared" si="17"/>
        <v>0</v>
      </c>
      <c r="V240">
        <f t="shared" si="18"/>
        <v>1</v>
      </c>
      <c r="W240">
        <f t="shared" si="19"/>
        <v>0</v>
      </c>
      <c r="X240">
        <v>1</v>
      </c>
      <c r="Y240" s="2">
        <v>45768</v>
      </c>
      <c r="Z240" s="3" t="s">
        <v>89</v>
      </c>
      <c r="AA240" t="s">
        <v>39</v>
      </c>
      <c r="AB240" t="s">
        <v>40</v>
      </c>
      <c r="AC240" t="s">
        <v>40</v>
      </c>
      <c r="AD240" t="s">
        <v>41</v>
      </c>
    </row>
    <row r="241" spans="2:30">
      <c r="B241">
        <v>9</v>
      </c>
      <c r="C241">
        <v>1020</v>
      </c>
      <c r="D241" t="s">
        <v>29</v>
      </c>
      <c r="E241">
        <v>10045609</v>
      </c>
      <c r="F241" t="s">
        <v>319</v>
      </c>
      <c r="G241" t="s">
        <v>31</v>
      </c>
      <c r="H241" t="s">
        <v>32</v>
      </c>
      <c r="I241" t="s">
        <v>33</v>
      </c>
      <c r="J241" t="s">
        <v>34</v>
      </c>
      <c r="K241" t="s">
        <v>35</v>
      </c>
      <c r="L241" t="s">
        <v>36</v>
      </c>
      <c r="M241" t="s">
        <v>55</v>
      </c>
      <c r="N241">
        <v>250</v>
      </c>
      <c r="O241">
        <v>140</v>
      </c>
      <c r="P241">
        <v>40</v>
      </c>
      <c r="Q241">
        <v>220</v>
      </c>
      <c r="R241">
        <v>730.5</v>
      </c>
      <c r="S241" t="str">
        <f t="shared" si="15"/>
        <v>PX: Baja Crit.</v>
      </c>
      <c r="T241">
        <f t="shared" si="16"/>
        <v>0</v>
      </c>
      <c r="U241">
        <f t="shared" si="17"/>
        <v>0</v>
      </c>
      <c r="V241">
        <f t="shared" si="18"/>
        <v>1</v>
      </c>
      <c r="W241">
        <f t="shared" si="19"/>
        <v>0</v>
      </c>
      <c r="X241">
        <v>1</v>
      </c>
      <c r="Y241" s="2">
        <v>45768</v>
      </c>
      <c r="Z241" s="3" t="s">
        <v>56</v>
      </c>
      <c r="AA241" t="s">
        <v>39</v>
      </c>
      <c r="AB241" t="s">
        <v>40</v>
      </c>
      <c r="AC241" t="s">
        <v>40</v>
      </c>
      <c r="AD241" t="s">
        <v>41</v>
      </c>
    </row>
    <row r="242" spans="2:30">
      <c r="B242">
        <v>9</v>
      </c>
      <c r="C242">
        <v>1020</v>
      </c>
      <c r="D242" t="s">
        <v>29</v>
      </c>
      <c r="E242">
        <v>10042379</v>
      </c>
      <c r="F242" t="s">
        <v>320</v>
      </c>
      <c r="G242" t="s">
        <v>52</v>
      </c>
      <c r="H242" t="s">
        <v>32</v>
      </c>
      <c r="I242" t="s">
        <v>33</v>
      </c>
      <c r="J242" t="s">
        <v>45</v>
      </c>
      <c r="K242" t="s">
        <v>35</v>
      </c>
      <c r="L242" t="s">
        <v>36</v>
      </c>
      <c r="M242" t="s">
        <v>117</v>
      </c>
      <c r="N242">
        <v>8</v>
      </c>
      <c r="O242">
        <v>5</v>
      </c>
      <c r="P242">
        <v>0</v>
      </c>
      <c r="Q242">
        <v>6</v>
      </c>
      <c r="R242" s="4">
        <v>1050</v>
      </c>
      <c r="S242" t="str">
        <f t="shared" si="15"/>
        <v>PZ: Alta Crit.</v>
      </c>
      <c r="T242">
        <f t="shared" si="16"/>
        <v>0</v>
      </c>
      <c r="U242">
        <f t="shared" si="17"/>
        <v>0</v>
      </c>
      <c r="V242">
        <f t="shared" si="18"/>
        <v>1</v>
      </c>
      <c r="W242">
        <f t="shared" si="19"/>
        <v>0</v>
      </c>
      <c r="X242">
        <v>1</v>
      </c>
      <c r="Y242" s="2">
        <v>45768</v>
      </c>
      <c r="Z242" s="3" t="s">
        <v>118</v>
      </c>
      <c r="AA242" t="s">
        <v>39</v>
      </c>
      <c r="AB242" t="s">
        <v>76</v>
      </c>
      <c r="AC242" s="5" t="s">
        <v>77</v>
      </c>
      <c r="AD242" t="s">
        <v>41</v>
      </c>
    </row>
    <row r="243" spans="2:30">
      <c r="B243">
        <v>9</v>
      </c>
      <c r="C243">
        <v>1020</v>
      </c>
      <c r="D243" t="s">
        <v>29</v>
      </c>
      <c r="E243">
        <v>10645813</v>
      </c>
      <c r="F243" t="s">
        <v>321</v>
      </c>
      <c r="G243" t="s">
        <v>43</v>
      </c>
      <c r="H243" t="s">
        <v>32</v>
      </c>
      <c r="I243" t="s">
        <v>33</v>
      </c>
      <c r="J243" t="s">
        <v>45</v>
      </c>
      <c r="K243" t="s">
        <v>35</v>
      </c>
      <c r="L243" t="s">
        <v>36</v>
      </c>
      <c r="M243" t="s">
        <v>46</v>
      </c>
      <c r="N243">
        <v>2</v>
      </c>
      <c r="O243">
        <v>1</v>
      </c>
      <c r="P243">
        <v>1</v>
      </c>
      <c r="Q243">
        <v>2</v>
      </c>
      <c r="R243">
        <v>675.83</v>
      </c>
      <c r="S243" t="str">
        <f t="shared" si="15"/>
        <v>PY: Media Crit.</v>
      </c>
      <c r="T243">
        <f t="shared" si="16"/>
        <v>0</v>
      </c>
      <c r="U243">
        <f t="shared" si="17"/>
        <v>0</v>
      </c>
      <c r="V243">
        <f t="shared" si="18"/>
        <v>1</v>
      </c>
      <c r="W243">
        <f t="shared" si="19"/>
        <v>0</v>
      </c>
      <c r="X243">
        <v>1</v>
      </c>
      <c r="Y243" s="2">
        <v>45768</v>
      </c>
      <c r="Z243" s="3" t="s">
        <v>47</v>
      </c>
      <c r="AA243" t="s">
        <v>39</v>
      </c>
      <c r="AB243" t="s">
        <v>40</v>
      </c>
      <c r="AC243" t="s">
        <v>40</v>
      </c>
      <c r="AD243" t="s">
        <v>41</v>
      </c>
    </row>
    <row r="244" spans="2:30">
      <c r="B244">
        <v>9</v>
      </c>
      <c r="C244">
        <v>1020</v>
      </c>
      <c r="D244" t="s">
        <v>29</v>
      </c>
      <c r="E244">
        <v>10052319</v>
      </c>
      <c r="F244" t="s">
        <v>322</v>
      </c>
      <c r="G244" t="s">
        <v>52</v>
      </c>
      <c r="H244" t="s">
        <v>32</v>
      </c>
      <c r="I244" t="s">
        <v>33</v>
      </c>
      <c r="J244" t="s">
        <v>34</v>
      </c>
      <c r="K244" t="s">
        <v>35</v>
      </c>
      <c r="L244" t="s">
        <v>36</v>
      </c>
      <c r="M244" t="s">
        <v>46</v>
      </c>
      <c r="N244">
        <v>50</v>
      </c>
      <c r="O244">
        <v>21</v>
      </c>
      <c r="P244">
        <v>10</v>
      </c>
      <c r="Q244">
        <v>26</v>
      </c>
      <c r="R244">
        <v>30.09</v>
      </c>
      <c r="S244" t="str">
        <f t="shared" si="15"/>
        <v>PZ: Alta Crit.</v>
      </c>
      <c r="T244">
        <f t="shared" si="16"/>
        <v>0</v>
      </c>
      <c r="U244">
        <f t="shared" si="17"/>
        <v>0</v>
      </c>
      <c r="V244">
        <f t="shared" si="18"/>
        <v>1</v>
      </c>
      <c r="W244">
        <f t="shared" si="19"/>
        <v>0</v>
      </c>
      <c r="X244">
        <v>1</v>
      </c>
      <c r="Y244" s="2">
        <v>45768</v>
      </c>
      <c r="Z244" s="3" t="s">
        <v>47</v>
      </c>
      <c r="AA244" t="s">
        <v>39</v>
      </c>
      <c r="AB244" t="s">
        <v>40</v>
      </c>
      <c r="AC244" t="s">
        <v>40</v>
      </c>
      <c r="AD244" t="s">
        <v>41</v>
      </c>
    </row>
    <row r="245" spans="2:30">
      <c r="B245">
        <v>9</v>
      </c>
      <c r="C245">
        <v>1020</v>
      </c>
      <c r="D245" t="s">
        <v>29</v>
      </c>
      <c r="E245">
        <v>10052321</v>
      </c>
      <c r="F245" t="s">
        <v>323</v>
      </c>
      <c r="G245" t="s">
        <v>31</v>
      </c>
      <c r="H245" t="s">
        <v>32</v>
      </c>
      <c r="I245" t="s">
        <v>33</v>
      </c>
      <c r="J245" t="s">
        <v>34</v>
      </c>
      <c r="K245" t="s">
        <v>35</v>
      </c>
      <c r="L245" t="s">
        <v>36</v>
      </c>
      <c r="M245" t="s">
        <v>46</v>
      </c>
      <c r="N245">
        <v>187</v>
      </c>
      <c r="O245">
        <v>57</v>
      </c>
      <c r="P245">
        <v>27</v>
      </c>
      <c r="Q245">
        <v>68</v>
      </c>
      <c r="R245">
        <v>94.35</v>
      </c>
      <c r="S245" t="str">
        <f t="shared" si="15"/>
        <v>PX: Baja Crit.</v>
      </c>
      <c r="T245">
        <f t="shared" si="16"/>
        <v>0</v>
      </c>
      <c r="U245">
        <f t="shared" si="17"/>
        <v>0</v>
      </c>
      <c r="V245">
        <f t="shared" si="18"/>
        <v>1</v>
      </c>
      <c r="W245">
        <f t="shared" si="19"/>
        <v>0</v>
      </c>
      <c r="X245">
        <v>1</v>
      </c>
      <c r="Y245" s="2">
        <v>45768</v>
      </c>
      <c r="Z245" s="3" t="s">
        <v>47</v>
      </c>
      <c r="AA245" t="s">
        <v>39</v>
      </c>
      <c r="AB245" t="s">
        <v>40</v>
      </c>
      <c r="AC245" t="s">
        <v>40</v>
      </c>
      <c r="AD245" t="s">
        <v>41</v>
      </c>
    </row>
    <row r="246" spans="2:30">
      <c r="B246">
        <v>9</v>
      </c>
      <c r="C246">
        <v>1020</v>
      </c>
      <c r="D246" t="s">
        <v>29</v>
      </c>
      <c r="E246">
        <v>10049187</v>
      </c>
      <c r="F246" t="s">
        <v>324</v>
      </c>
      <c r="G246" t="s">
        <v>43</v>
      </c>
      <c r="H246" t="s">
        <v>32</v>
      </c>
      <c r="I246" t="s">
        <v>33</v>
      </c>
      <c r="J246" t="s">
        <v>45</v>
      </c>
      <c r="K246" t="s">
        <v>35</v>
      </c>
      <c r="L246" t="s">
        <v>36</v>
      </c>
      <c r="M246" t="s">
        <v>88</v>
      </c>
      <c r="N246">
        <v>10</v>
      </c>
      <c r="O246">
        <v>6</v>
      </c>
      <c r="P246">
        <v>2</v>
      </c>
      <c r="Q246">
        <v>10</v>
      </c>
      <c r="R246">
        <v>478.88</v>
      </c>
      <c r="S246" t="str">
        <f t="shared" si="15"/>
        <v>PY: Media Crit.</v>
      </c>
      <c r="T246">
        <f t="shared" si="16"/>
        <v>0</v>
      </c>
      <c r="U246">
        <f t="shared" si="17"/>
        <v>0</v>
      </c>
      <c r="V246">
        <f t="shared" si="18"/>
        <v>1</v>
      </c>
      <c r="W246">
        <f t="shared" si="19"/>
        <v>0</v>
      </c>
      <c r="X246">
        <v>1</v>
      </c>
      <c r="Y246" s="2">
        <v>45768</v>
      </c>
      <c r="Z246" s="3" t="s">
        <v>89</v>
      </c>
      <c r="AA246" t="s">
        <v>39</v>
      </c>
      <c r="AB246" t="s">
        <v>40</v>
      </c>
      <c r="AC246" t="s">
        <v>40</v>
      </c>
      <c r="AD246" t="s">
        <v>41</v>
      </c>
    </row>
    <row r="247" spans="2:30">
      <c r="B247">
        <v>9</v>
      </c>
      <c r="C247">
        <v>1020</v>
      </c>
      <c r="D247" t="s">
        <v>29</v>
      </c>
      <c r="E247">
        <v>10040862</v>
      </c>
      <c r="F247" t="s">
        <v>325</v>
      </c>
      <c r="G247" t="s">
        <v>31</v>
      </c>
      <c r="H247" t="s">
        <v>32</v>
      </c>
      <c r="I247" t="s">
        <v>33</v>
      </c>
      <c r="J247" t="s">
        <v>34</v>
      </c>
      <c r="K247" t="s">
        <v>35</v>
      </c>
      <c r="L247" t="s">
        <v>36</v>
      </c>
      <c r="M247" t="s">
        <v>55</v>
      </c>
      <c r="N247">
        <v>350</v>
      </c>
      <c r="O247">
        <v>231</v>
      </c>
      <c r="P247">
        <v>47</v>
      </c>
      <c r="Q247">
        <v>232</v>
      </c>
      <c r="R247">
        <v>90.34</v>
      </c>
      <c r="S247" t="str">
        <f t="shared" si="15"/>
        <v>PX: Baja Crit.</v>
      </c>
      <c r="T247">
        <f t="shared" si="16"/>
        <v>0</v>
      </c>
      <c r="U247">
        <f t="shared" si="17"/>
        <v>0</v>
      </c>
      <c r="V247">
        <f t="shared" si="18"/>
        <v>1</v>
      </c>
      <c r="W247">
        <f t="shared" si="19"/>
        <v>0</v>
      </c>
      <c r="X247">
        <v>1</v>
      </c>
      <c r="Y247" s="2">
        <v>45768</v>
      </c>
      <c r="Z247" s="3" t="s">
        <v>56</v>
      </c>
      <c r="AA247" t="s">
        <v>39</v>
      </c>
      <c r="AB247" t="s">
        <v>40</v>
      </c>
      <c r="AC247" t="s">
        <v>40</v>
      </c>
      <c r="AD247" t="s">
        <v>41</v>
      </c>
    </row>
    <row r="248" spans="2:30">
      <c r="B248">
        <v>9</v>
      </c>
      <c r="C248">
        <v>1020</v>
      </c>
      <c r="D248" t="s">
        <v>29</v>
      </c>
      <c r="E248">
        <v>10056556</v>
      </c>
      <c r="F248" t="s">
        <v>326</v>
      </c>
      <c r="G248" t="s">
        <v>31</v>
      </c>
      <c r="H248" t="s">
        <v>32</v>
      </c>
      <c r="I248" t="s">
        <v>33</v>
      </c>
      <c r="J248" t="s">
        <v>34</v>
      </c>
      <c r="K248" t="s">
        <v>35</v>
      </c>
      <c r="L248" t="s">
        <v>36</v>
      </c>
      <c r="M248" t="s">
        <v>46</v>
      </c>
      <c r="N248">
        <v>30</v>
      </c>
      <c r="O248">
        <v>21</v>
      </c>
      <c r="P248">
        <v>10</v>
      </c>
      <c r="Q248">
        <v>28</v>
      </c>
      <c r="R248">
        <v>814.87</v>
      </c>
      <c r="S248" t="str">
        <f t="shared" si="15"/>
        <v>PX: Baja Crit.</v>
      </c>
      <c r="T248">
        <f t="shared" si="16"/>
        <v>0</v>
      </c>
      <c r="U248">
        <f t="shared" si="17"/>
        <v>0</v>
      </c>
      <c r="V248">
        <f t="shared" si="18"/>
        <v>1</v>
      </c>
      <c r="W248">
        <f t="shared" si="19"/>
        <v>0</v>
      </c>
      <c r="X248">
        <v>1</v>
      </c>
      <c r="Y248" s="2">
        <v>45768</v>
      </c>
      <c r="Z248" s="3" t="s">
        <v>47</v>
      </c>
      <c r="AA248" t="s">
        <v>39</v>
      </c>
      <c r="AB248" t="s">
        <v>40</v>
      </c>
      <c r="AC248" t="s">
        <v>40</v>
      </c>
      <c r="AD248" t="s">
        <v>41</v>
      </c>
    </row>
    <row r="249" spans="2:30">
      <c r="B249">
        <v>9</v>
      </c>
      <c r="C249">
        <v>1020</v>
      </c>
      <c r="D249" t="s">
        <v>29</v>
      </c>
      <c r="E249">
        <v>10054536</v>
      </c>
      <c r="F249" t="s">
        <v>327</v>
      </c>
      <c r="G249" t="s">
        <v>43</v>
      </c>
      <c r="H249" t="s">
        <v>32</v>
      </c>
      <c r="I249" t="s">
        <v>33</v>
      </c>
      <c r="J249" t="s">
        <v>34</v>
      </c>
      <c r="K249" t="s">
        <v>35</v>
      </c>
      <c r="L249" t="s">
        <v>36</v>
      </c>
      <c r="M249" t="s">
        <v>37</v>
      </c>
      <c r="N249">
        <v>8</v>
      </c>
      <c r="O249">
        <v>5</v>
      </c>
      <c r="P249">
        <v>1</v>
      </c>
      <c r="Q249">
        <v>8</v>
      </c>
      <c r="R249" s="4">
        <v>3056.29</v>
      </c>
      <c r="S249" t="str">
        <f t="shared" si="15"/>
        <v>PY: Media Crit.</v>
      </c>
      <c r="T249">
        <f t="shared" si="16"/>
        <v>0</v>
      </c>
      <c r="U249">
        <f t="shared" si="17"/>
        <v>0</v>
      </c>
      <c r="V249">
        <f t="shared" si="18"/>
        <v>1</v>
      </c>
      <c r="W249">
        <f t="shared" si="19"/>
        <v>0</v>
      </c>
      <c r="X249">
        <v>1</v>
      </c>
      <c r="Y249" s="2">
        <v>45768</v>
      </c>
      <c r="Z249" s="3" t="s">
        <v>38</v>
      </c>
      <c r="AA249" t="s">
        <v>39</v>
      </c>
      <c r="AB249" t="s">
        <v>40</v>
      </c>
      <c r="AC249" t="s">
        <v>40</v>
      </c>
      <c r="AD249" t="s">
        <v>41</v>
      </c>
    </row>
    <row r="250" spans="2:30">
      <c r="B250">
        <v>9</v>
      </c>
      <c r="C250">
        <v>1020</v>
      </c>
      <c r="D250" t="s">
        <v>29</v>
      </c>
      <c r="E250">
        <v>10090618</v>
      </c>
      <c r="F250" t="s">
        <v>328</v>
      </c>
      <c r="G250" t="s">
        <v>43</v>
      </c>
      <c r="H250" t="s">
        <v>32</v>
      </c>
      <c r="I250" t="s">
        <v>33</v>
      </c>
      <c r="J250" t="s">
        <v>45</v>
      </c>
      <c r="K250" t="s">
        <v>252</v>
      </c>
      <c r="L250" t="s">
        <v>36</v>
      </c>
      <c r="M250" t="s">
        <v>46</v>
      </c>
      <c r="N250">
        <v>45</v>
      </c>
      <c r="O250">
        <v>16</v>
      </c>
      <c r="P250">
        <v>15</v>
      </c>
      <c r="Q250">
        <v>45</v>
      </c>
      <c r="R250">
        <v>432</v>
      </c>
      <c r="S250" t="str">
        <f t="shared" si="15"/>
        <v>PY: Media Crit.</v>
      </c>
      <c r="T250">
        <f t="shared" si="16"/>
        <v>0</v>
      </c>
      <c r="U250">
        <f t="shared" si="17"/>
        <v>0</v>
      </c>
      <c r="V250">
        <f t="shared" si="18"/>
        <v>1</v>
      </c>
      <c r="W250">
        <f t="shared" si="19"/>
        <v>0</v>
      </c>
      <c r="X250">
        <v>1</v>
      </c>
      <c r="Y250" s="2">
        <v>45768</v>
      </c>
      <c r="Z250" s="3" t="s">
        <v>47</v>
      </c>
      <c r="AA250" t="s">
        <v>39</v>
      </c>
      <c r="AB250" t="s">
        <v>40</v>
      </c>
      <c r="AC250" t="s">
        <v>40</v>
      </c>
      <c r="AD250" t="s">
        <v>41</v>
      </c>
    </row>
    <row r="251" spans="2:30">
      <c r="B251">
        <v>9</v>
      </c>
      <c r="C251">
        <v>1020</v>
      </c>
      <c r="D251" t="s">
        <v>29</v>
      </c>
      <c r="E251">
        <v>10049393</v>
      </c>
      <c r="F251" t="s">
        <v>329</v>
      </c>
      <c r="G251" t="s">
        <v>43</v>
      </c>
      <c r="H251" t="s">
        <v>32</v>
      </c>
      <c r="I251" t="s">
        <v>33</v>
      </c>
      <c r="J251" t="s">
        <v>45</v>
      </c>
      <c r="K251" t="s">
        <v>35</v>
      </c>
      <c r="L251" t="s">
        <v>36</v>
      </c>
      <c r="M251" t="s">
        <v>88</v>
      </c>
      <c r="N251">
        <v>20</v>
      </c>
      <c r="O251">
        <v>12</v>
      </c>
      <c r="P251">
        <v>4</v>
      </c>
      <c r="Q251">
        <v>20</v>
      </c>
      <c r="R251">
        <v>400.86</v>
      </c>
      <c r="S251" t="str">
        <f t="shared" si="15"/>
        <v>PY: Media Crit.</v>
      </c>
      <c r="T251">
        <f t="shared" si="16"/>
        <v>0</v>
      </c>
      <c r="U251">
        <f t="shared" si="17"/>
        <v>0</v>
      </c>
      <c r="V251">
        <f t="shared" si="18"/>
        <v>1</v>
      </c>
      <c r="W251">
        <f t="shared" si="19"/>
        <v>0</v>
      </c>
      <c r="X251">
        <v>1</v>
      </c>
      <c r="Y251" s="2">
        <v>45768</v>
      </c>
      <c r="Z251" s="3" t="s">
        <v>89</v>
      </c>
      <c r="AA251" t="s">
        <v>39</v>
      </c>
      <c r="AB251" t="s">
        <v>40</v>
      </c>
      <c r="AC251" t="s">
        <v>40</v>
      </c>
      <c r="AD251" t="s">
        <v>41</v>
      </c>
    </row>
    <row r="252" spans="2:30">
      <c r="B252">
        <v>9</v>
      </c>
      <c r="C252">
        <v>1020</v>
      </c>
      <c r="D252" t="s">
        <v>29</v>
      </c>
      <c r="E252">
        <v>10043571</v>
      </c>
      <c r="F252" t="s">
        <v>330</v>
      </c>
      <c r="G252" t="s">
        <v>43</v>
      </c>
      <c r="H252" t="s">
        <v>32</v>
      </c>
      <c r="I252" t="s">
        <v>33</v>
      </c>
      <c r="J252" t="s">
        <v>34</v>
      </c>
      <c r="K252" t="s">
        <v>35</v>
      </c>
      <c r="L252" t="s">
        <v>36</v>
      </c>
      <c r="M252" t="s">
        <v>37</v>
      </c>
      <c r="N252">
        <v>10</v>
      </c>
      <c r="O252">
        <v>6</v>
      </c>
      <c r="P252">
        <v>2</v>
      </c>
      <c r="Q252">
        <v>8</v>
      </c>
      <c r="R252">
        <v>28</v>
      </c>
      <c r="S252" t="str">
        <f t="shared" si="15"/>
        <v>PY: Media Crit.</v>
      </c>
      <c r="T252">
        <f t="shared" si="16"/>
        <v>0</v>
      </c>
      <c r="U252">
        <f t="shared" si="17"/>
        <v>0</v>
      </c>
      <c r="V252">
        <f t="shared" si="18"/>
        <v>1</v>
      </c>
      <c r="W252">
        <f t="shared" si="19"/>
        <v>0</v>
      </c>
      <c r="X252">
        <v>1</v>
      </c>
      <c r="Y252" s="2">
        <v>45768</v>
      </c>
      <c r="Z252" s="3" t="s">
        <v>38</v>
      </c>
      <c r="AA252" t="s">
        <v>39</v>
      </c>
      <c r="AB252" t="s">
        <v>40</v>
      </c>
      <c r="AC252" t="s">
        <v>40</v>
      </c>
      <c r="AD252" t="s">
        <v>41</v>
      </c>
    </row>
    <row r="253" spans="2:30">
      <c r="B253">
        <v>9</v>
      </c>
      <c r="C253">
        <v>1020</v>
      </c>
      <c r="D253" t="s">
        <v>29</v>
      </c>
      <c r="E253">
        <v>10050414</v>
      </c>
      <c r="F253" t="s">
        <v>331</v>
      </c>
      <c r="G253" t="s">
        <v>31</v>
      </c>
      <c r="H253" t="s">
        <v>32</v>
      </c>
      <c r="I253" t="s">
        <v>33</v>
      </c>
      <c r="J253" t="s">
        <v>34</v>
      </c>
      <c r="K253" t="s">
        <v>35</v>
      </c>
      <c r="L253" t="s">
        <v>36</v>
      </c>
      <c r="M253" t="s">
        <v>37</v>
      </c>
      <c r="N253">
        <v>100</v>
      </c>
      <c r="O253">
        <v>61</v>
      </c>
      <c r="P253">
        <v>20</v>
      </c>
      <c r="Q253">
        <v>96</v>
      </c>
      <c r="R253">
        <v>230.4</v>
      </c>
      <c r="S253" t="str">
        <f t="shared" si="15"/>
        <v>PX: Baja Crit.</v>
      </c>
      <c r="T253">
        <f t="shared" si="16"/>
        <v>0</v>
      </c>
      <c r="U253">
        <f t="shared" si="17"/>
        <v>0</v>
      </c>
      <c r="V253">
        <f t="shared" si="18"/>
        <v>1</v>
      </c>
      <c r="W253">
        <f t="shared" si="19"/>
        <v>0</v>
      </c>
      <c r="X253">
        <v>1</v>
      </c>
      <c r="Y253" s="2">
        <v>45768</v>
      </c>
      <c r="Z253" s="3" t="s">
        <v>38</v>
      </c>
      <c r="AA253" t="s">
        <v>39</v>
      </c>
      <c r="AB253" t="s">
        <v>40</v>
      </c>
      <c r="AC253" t="s">
        <v>40</v>
      </c>
      <c r="AD253" t="s">
        <v>41</v>
      </c>
    </row>
    <row r="254" spans="2:30">
      <c r="B254">
        <v>9</v>
      </c>
      <c r="C254">
        <v>1020</v>
      </c>
      <c r="D254" t="s">
        <v>29</v>
      </c>
      <c r="E254">
        <v>10043369</v>
      </c>
      <c r="F254" t="s">
        <v>332</v>
      </c>
      <c r="G254" t="s">
        <v>43</v>
      </c>
      <c r="H254" t="s">
        <v>32</v>
      </c>
      <c r="I254" t="s">
        <v>33</v>
      </c>
      <c r="J254" t="s">
        <v>34</v>
      </c>
      <c r="K254" t="s">
        <v>65</v>
      </c>
      <c r="L254" t="s">
        <v>36</v>
      </c>
      <c r="M254" t="s">
        <v>37</v>
      </c>
      <c r="N254">
        <v>100</v>
      </c>
      <c r="O254">
        <v>51</v>
      </c>
      <c r="P254">
        <v>10</v>
      </c>
      <c r="Q254">
        <v>104</v>
      </c>
      <c r="R254" s="4">
        <v>1347.44</v>
      </c>
      <c r="S254" t="str">
        <f t="shared" si="15"/>
        <v>PY: Media Crit.</v>
      </c>
      <c r="T254">
        <f t="shared" si="16"/>
        <v>0</v>
      </c>
      <c r="U254">
        <f t="shared" si="17"/>
        <v>0</v>
      </c>
      <c r="V254">
        <f t="shared" si="18"/>
        <v>0</v>
      </c>
      <c r="W254">
        <f t="shared" si="19"/>
        <v>1</v>
      </c>
      <c r="X254">
        <v>1</v>
      </c>
      <c r="Y254" s="2">
        <v>45768</v>
      </c>
      <c r="Z254" s="3" t="s">
        <v>38</v>
      </c>
      <c r="AA254" t="s">
        <v>39</v>
      </c>
      <c r="AB254" t="s">
        <v>40</v>
      </c>
      <c r="AC254" t="s">
        <v>40</v>
      </c>
      <c r="AD254" t="s">
        <v>41</v>
      </c>
    </row>
    <row r="255" spans="2:30">
      <c r="B255">
        <v>9</v>
      </c>
      <c r="C255">
        <v>1020</v>
      </c>
      <c r="D255" t="s">
        <v>29</v>
      </c>
      <c r="E255">
        <v>10016138</v>
      </c>
      <c r="F255" t="s">
        <v>333</v>
      </c>
      <c r="G255" t="s">
        <v>43</v>
      </c>
      <c r="H255" t="s">
        <v>32</v>
      </c>
      <c r="I255" t="s">
        <v>33</v>
      </c>
      <c r="J255" t="s">
        <v>34</v>
      </c>
      <c r="K255" t="s">
        <v>65</v>
      </c>
      <c r="L255" t="s">
        <v>36</v>
      </c>
      <c r="M255" t="s">
        <v>37</v>
      </c>
      <c r="N255">
        <v>30</v>
      </c>
      <c r="O255">
        <v>21</v>
      </c>
      <c r="P255">
        <v>5</v>
      </c>
      <c r="Q255">
        <v>32</v>
      </c>
      <c r="R255" s="4">
        <v>2415.7399999999998</v>
      </c>
      <c r="S255" t="str">
        <f t="shared" si="15"/>
        <v>PY: Media Crit.</v>
      </c>
      <c r="T255">
        <f t="shared" si="16"/>
        <v>0</v>
      </c>
      <c r="U255">
        <f t="shared" si="17"/>
        <v>0</v>
      </c>
      <c r="V255">
        <f t="shared" si="18"/>
        <v>0</v>
      </c>
      <c r="W255">
        <f t="shared" si="19"/>
        <v>1</v>
      </c>
      <c r="X255">
        <v>1</v>
      </c>
      <c r="Y255" s="2">
        <v>45768</v>
      </c>
      <c r="Z255" s="3" t="s">
        <v>38</v>
      </c>
      <c r="AA255" t="s">
        <v>39</v>
      </c>
      <c r="AB255" t="s">
        <v>40</v>
      </c>
      <c r="AC255" t="s">
        <v>40</v>
      </c>
      <c r="AD255" t="s">
        <v>41</v>
      </c>
    </row>
    <row r="256" spans="2:30">
      <c r="B256">
        <v>9</v>
      </c>
      <c r="C256">
        <v>1020</v>
      </c>
      <c r="D256" t="s">
        <v>29</v>
      </c>
      <c r="E256">
        <v>10049328</v>
      </c>
      <c r="F256" t="s">
        <v>334</v>
      </c>
      <c r="G256" t="s">
        <v>43</v>
      </c>
      <c r="H256" t="s">
        <v>32</v>
      </c>
      <c r="I256" t="s">
        <v>33</v>
      </c>
      <c r="J256" t="s">
        <v>45</v>
      </c>
      <c r="K256" t="s">
        <v>35</v>
      </c>
      <c r="L256" t="s">
        <v>36</v>
      </c>
      <c r="M256" t="s">
        <v>88</v>
      </c>
      <c r="N256">
        <v>3</v>
      </c>
      <c r="O256">
        <v>3</v>
      </c>
      <c r="P256">
        <v>1</v>
      </c>
      <c r="Q256">
        <v>3</v>
      </c>
      <c r="R256">
        <v>782.22</v>
      </c>
      <c r="S256" t="str">
        <f t="shared" si="15"/>
        <v>PY: Media Crit.</v>
      </c>
      <c r="T256">
        <f t="shared" si="16"/>
        <v>0</v>
      </c>
      <c r="U256">
        <f t="shared" si="17"/>
        <v>0</v>
      </c>
      <c r="V256">
        <f t="shared" si="18"/>
        <v>1</v>
      </c>
      <c r="W256">
        <f t="shared" si="19"/>
        <v>0</v>
      </c>
      <c r="X256">
        <v>1</v>
      </c>
      <c r="Y256" s="2">
        <v>45768</v>
      </c>
      <c r="Z256" s="3" t="s">
        <v>89</v>
      </c>
      <c r="AA256" t="s">
        <v>39</v>
      </c>
      <c r="AB256" t="s">
        <v>40</v>
      </c>
      <c r="AC256" t="s">
        <v>40</v>
      </c>
      <c r="AD256" t="s">
        <v>41</v>
      </c>
    </row>
    <row r="257" spans="2:30">
      <c r="B257">
        <v>9</v>
      </c>
      <c r="C257">
        <v>1020</v>
      </c>
      <c r="D257" t="s">
        <v>29</v>
      </c>
      <c r="E257">
        <v>10043953</v>
      </c>
      <c r="F257" t="s">
        <v>335</v>
      </c>
      <c r="G257" t="s">
        <v>31</v>
      </c>
      <c r="H257" t="s">
        <v>60</v>
      </c>
      <c r="I257" t="s">
        <v>33</v>
      </c>
      <c r="J257" t="s">
        <v>34</v>
      </c>
      <c r="K257" t="s">
        <v>35</v>
      </c>
      <c r="L257" t="s">
        <v>36</v>
      </c>
      <c r="M257" t="s">
        <v>46</v>
      </c>
      <c r="N257">
        <v>100</v>
      </c>
      <c r="O257">
        <v>61</v>
      </c>
      <c r="P257">
        <v>30</v>
      </c>
      <c r="Q257">
        <v>250</v>
      </c>
      <c r="R257" s="4">
        <v>1435.34</v>
      </c>
      <c r="S257" t="str">
        <f t="shared" si="15"/>
        <v>PX: Baja Crit.</v>
      </c>
      <c r="T257">
        <f t="shared" si="16"/>
        <v>0</v>
      </c>
      <c r="U257">
        <f t="shared" si="17"/>
        <v>0</v>
      </c>
      <c r="V257">
        <f t="shared" si="18"/>
        <v>0</v>
      </c>
      <c r="W257">
        <f t="shared" si="19"/>
        <v>1</v>
      </c>
      <c r="X257">
        <v>1</v>
      </c>
      <c r="Y257" s="2">
        <v>45768</v>
      </c>
      <c r="Z257" s="3" t="s">
        <v>47</v>
      </c>
      <c r="AA257" t="s">
        <v>39</v>
      </c>
      <c r="AB257" t="s">
        <v>40</v>
      </c>
      <c r="AC257" t="s">
        <v>40</v>
      </c>
      <c r="AD257" t="s">
        <v>41</v>
      </c>
    </row>
    <row r="258" spans="2:30">
      <c r="B258">
        <v>9</v>
      </c>
      <c r="C258">
        <v>1020</v>
      </c>
      <c r="D258" t="s">
        <v>29</v>
      </c>
      <c r="E258">
        <v>10050633</v>
      </c>
      <c r="F258" t="s">
        <v>336</v>
      </c>
      <c r="G258" t="s">
        <v>31</v>
      </c>
      <c r="H258" t="s">
        <v>32</v>
      </c>
      <c r="I258" t="s">
        <v>33</v>
      </c>
      <c r="J258" t="s">
        <v>45</v>
      </c>
      <c r="K258" t="s">
        <v>35</v>
      </c>
      <c r="L258" t="s">
        <v>36</v>
      </c>
      <c r="M258" t="s">
        <v>55</v>
      </c>
      <c r="N258">
        <v>60</v>
      </c>
      <c r="O258">
        <v>41</v>
      </c>
      <c r="P258">
        <v>5</v>
      </c>
      <c r="Q258">
        <v>180</v>
      </c>
      <c r="R258">
        <v>690.38</v>
      </c>
      <c r="S258" t="str">
        <f t="shared" ref="S258:S321" si="20">+IF(G258="PZ", "PZ: Alta Crit.",IF(G258="PY","PY: Media Crit.", "PX: Baja Crit."))</f>
        <v>PX: Baja Crit.</v>
      </c>
      <c r="T258">
        <f t="shared" ref="T258:T321" si="21">+IF(Q258=0,1,0)</f>
        <v>0</v>
      </c>
      <c r="U258">
        <f t="shared" ref="U258:U321" si="22">+IF(AND(Q258&lt;=P258,Q258&gt;0),1,0)</f>
        <v>0</v>
      </c>
      <c r="V258">
        <f t="shared" ref="V258:V321" si="23">+IF(AND(Q258&gt;P258,Q258&lt;=N258),1,0)</f>
        <v>0</v>
      </c>
      <c r="W258">
        <f t="shared" ref="W258:W321" si="24">+IF(Q258&gt;N258,1,0)</f>
        <v>1</v>
      </c>
      <c r="X258">
        <v>1</v>
      </c>
      <c r="Y258" s="2">
        <v>45768</v>
      </c>
      <c r="Z258" s="3" t="s">
        <v>56</v>
      </c>
      <c r="AA258" t="s">
        <v>39</v>
      </c>
      <c r="AB258" t="s">
        <v>40</v>
      </c>
      <c r="AC258" t="s">
        <v>40</v>
      </c>
      <c r="AD258" t="s">
        <v>41</v>
      </c>
    </row>
    <row r="259" spans="2:30">
      <c r="B259">
        <v>9</v>
      </c>
      <c r="C259">
        <v>1020</v>
      </c>
      <c r="D259" t="s">
        <v>29</v>
      </c>
      <c r="E259">
        <v>10048478</v>
      </c>
      <c r="F259" t="s">
        <v>337</v>
      </c>
      <c r="G259" t="s">
        <v>52</v>
      </c>
      <c r="H259" t="s">
        <v>60</v>
      </c>
      <c r="I259" t="s">
        <v>33</v>
      </c>
      <c r="J259" t="s">
        <v>45</v>
      </c>
      <c r="K259" t="s">
        <v>62</v>
      </c>
      <c r="L259" t="s">
        <v>36</v>
      </c>
      <c r="M259" t="s">
        <v>46</v>
      </c>
      <c r="N259">
        <v>15</v>
      </c>
      <c r="O259">
        <v>8</v>
      </c>
      <c r="P259">
        <v>5</v>
      </c>
      <c r="Q259">
        <v>45</v>
      </c>
      <c r="R259" s="4">
        <v>4370.8</v>
      </c>
      <c r="S259" t="str">
        <f t="shared" si="20"/>
        <v>PZ: Alta Crit.</v>
      </c>
      <c r="T259">
        <f t="shared" si="21"/>
        <v>0</v>
      </c>
      <c r="U259">
        <f t="shared" si="22"/>
        <v>0</v>
      </c>
      <c r="V259">
        <f t="shared" si="23"/>
        <v>0</v>
      </c>
      <c r="W259">
        <f t="shared" si="24"/>
        <v>1</v>
      </c>
      <c r="X259">
        <v>1</v>
      </c>
      <c r="Y259" s="2">
        <v>45768</v>
      </c>
      <c r="Z259" s="3" t="s">
        <v>47</v>
      </c>
      <c r="AA259" t="s">
        <v>39</v>
      </c>
      <c r="AB259" t="s">
        <v>40</v>
      </c>
      <c r="AC259" t="s">
        <v>40</v>
      </c>
      <c r="AD259" t="s">
        <v>41</v>
      </c>
    </row>
    <row r="260" spans="2:30">
      <c r="B260">
        <v>9</v>
      </c>
      <c r="C260">
        <v>1020</v>
      </c>
      <c r="D260" t="s">
        <v>29</v>
      </c>
      <c r="E260">
        <v>10043453</v>
      </c>
      <c r="F260" t="s">
        <v>338</v>
      </c>
      <c r="G260" t="s">
        <v>43</v>
      </c>
      <c r="H260" t="s">
        <v>32</v>
      </c>
      <c r="I260" t="s">
        <v>33</v>
      </c>
      <c r="J260" t="s">
        <v>34</v>
      </c>
      <c r="K260" t="s">
        <v>35</v>
      </c>
      <c r="L260" t="s">
        <v>36</v>
      </c>
      <c r="M260" t="s">
        <v>46</v>
      </c>
      <c r="N260">
        <v>50</v>
      </c>
      <c r="O260">
        <v>31</v>
      </c>
      <c r="P260">
        <v>5</v>
      </c>
      <c r="Q260">
        <v>19</v>
      </c>
      <c r="R260" s="4">
        <v>1036.5899999999999</v>
      </c>
      <c r="S260" t="str">
        <f t="shared" si="20"/>
        <v>PY: Media Crit.</v>
      </c>
      <c r="T260">
        <f t="shared" si="21"/>
        <v>0</v>
      </c>
      <c r="U260">
        <f t="shared" si="22"/>
        <v>0</v>
      </c>
      <c r="V260">
        <f t="shared" si="23"/>
        <v>1</v>
      </c>
      <c r="W260">
        <f t="shared" si="24"/>
        <v>0</v>
      </c>
      <c r="X260">
        <v>1</v>
      </c>
      <c r="Y260" s="2">
        <v>45768</v>
      </c>
      <c r="Z260" s="3" t="s">
        <v>47</v>
      </c>
      <c r="AA260" t="s">
        <v>39</v>
      </c>
      <c r="AB260" t="s">
        <v>49</v>
      </c>
      <c r="AC260" s="5" t="s">
        <v>50</v>
      </c>
      <c r="AD260" t="s">
        <v>41</v>
      </c>
    </row>
    <row r="261" spans="2:30">
      <c r="B261">
        <v>9</v>
      </c>
      <c r="C261">
        <v>1020</v>
      </c>
      <c r="D261" t="s">
        <v>29</v>
      </c>
      <c r="E261">
        <v>10044210</v>
      </c>
      <c r="F261" t="s">
        <v>339</v>
      </c>
      <c r="G261" t="s">
        <v>31</v>
      </c>
      <c r="H261" t="s">
        <v>32</v>
      </c>
      <c r="I261" t="s">
        <v>33</v>
      </c>
      <c r="J261" t="s">
        <v>45</v>
      </c>
      <c r="K261" t="s">
        <v>35</v>
      </c>
      <c r="L261" t="s">
        <v>36</v>
      </c>
      <c r="M261" t="s">
        <v>69</v>
      </c>
      <c r="N261">
        <v>8</v>
      </c>
      <c r="O261">
        <v>6</v>
      </c>
      <c r="P261">
        <v>0</v>
      </c>
      <c r="Q261">
        <v>28</v>
      </c>
      <c r="R261">
        <v>120.54</v>
      </c>
      <c r="S261" t="str">
        <f t="shared" si="20"/>
        <v>PX: Baja Crit.</v>
      </c>
      <c r="T261">
        <f t="shared" si="21"/>
        <v>0</v>
      </c>
      <c r="U261">
        <f t="shared" si="22"/>
        <v>0</v>
      </c>
      <c r="V261">
        <f t="shared" si="23"/>
        <v>0</v>
      </c>
      <c r="W261">
        <f t="shared" si="24"/>
        <v>1</v>
      </c>
      <c r="X261">
        <v>1</v>
      </c>
      <c r="Y261" s="2">
        <v>45768</v>
      </c>
      <c r="Z261" s="3" t="s">
        <v>70</v>
      </c>
      <c r="AA261" t="s">
        <v>39</v>
      </c>
      <c r="AB261" t="s">
        <v>40</v>
      </c>
      <c r="AC261" t="s">
        <v>40</v>
      </c>
      <c r="AD261" t="s">
        <v>41</v>
      </c>
    </row>
    <row r="262" spans="2:30">
      <c r="B262">
        <v>9</v>
      </c>
      <c r="C262">
        <v>1020</v>
      </c>
      <c r="D262" t="s">
        <v>29</v>
      </c>
      <c r="E262">
        <v>10048474</v>
      </c>
      <c r="F262" t="s">
        <v>340</v>
      </c>
      <c r="G262" t="s">
        <v>52</v>
      </c>
      <c r="H262" t="s">
        <v>32</v>
      </c>
      <c r="I262" t="s">
        <v>33</v>
      </c>
      <c r="J262" t="s">
        <v>45</v>
      </c>
      <c r="K262" t="s">
        <v>62</v>
      </c>
      <c r="L262" t="s">
        <v>36</v>
      </c>
      <c r="M262" t="s">
        <v>46</v>
      </c>
      <c r="N262">
        <v>15</v>
      </c>
      <c r="O262">
        <v>3</v>
      </c>
      <c r="P262">
        <v>3</v>
      </c>
      <c r="Q262">
        <v>17</v>
      </c>
      <c r="R262" s="4">
        <v>1632.33</v>
      </c>
      <c r="S262" t="str">
        <f t="shared" si="20"/>
        <v>PZ: Alta Crit.</v>
      </c>
      <c r="T262">
        <f t="shared" si="21"/>
        <v>0</v>
      </c>
      <c r="U262">
        <f t="shared" si="22"/>
        <v>0</v>
      </c>
      <c r="V262">
        <f t="shared" si="23"/>
        <v>0</v>
      </c>
      <c r="W262">
        <f t="shared" si="24"/>
        <v>1</v>
      </c>
      <c r="X262">
        <v>1</v>
      </c>
      <c r="Y262" s="2">
        <v>45768</v>
      </c>
      <c r="Z262" s="3" t="s">
        <v>47</v>
      </c>
      <c r="AA262" t="s">
        <v>39</v>
      </c>
      <c r="AB262" t="s">
        <v>76</v>
      </c>
      <c r="AC262" s="5" t="s">
        <v>77</v>
      </c>
      <c r="AD262" t="s">
        <v>41</v>
      </c>
    </row>
    <row r="263" spans="2:30">
      <c r="B263">
        <v>9</v>
      </c>
      <c r="C263">
        <v>1020</v>
      </c>
      <c r="D263" t="s">
        <v>29</v>
      </c>
      <c r="E263">
        <v>10045686</v>
      </c>
      <c r="F263" t="s">
        <v>341</v>
      </c>
      <c r="G263" t="s">
        <v>31</v>
      </c>
      <c r="H263" t="s">
        <v>32</v>
      </c>
      <c r="I263" t="s">
        <v>33</v>
      </c>
      <c r="J263" t="s">
        <v>34</v>
      </c>
      <c r="K263" t="s">
        <v>35</v>
      </c>
      <c r="L263" t="s">
        <v>36</v>
      </c>
      <c r="M263" t="s">
        <v>55</v>
      </c>
      <c r="N263">
        <v>150</v>
      </c>
      <c r="O263">
        <v>101</v>
      </c>
      <c r="P263">
        <v>10</v>
      </c>
      <c r="Q263">
        <v>113</v>
      </c>
      <c r="R263">
        <v>30.58</v>
      </c>
      <c r="S263" t="str">
        <f t="shared" si="20"/>
        <v>PX: Baja Crit.</v>
      </c>
      <c r="T263">
        <f t="shared" si="21"/>
        <v>0</v>
      </c>
      <c r="U263">
        <f t="shared" si="22"/>
        <v>0</v>
      </c>
      <c r="V263">
        <f t="shared" si="23"/>
        <v>1</v>
      </c>
      <c r="W263">
        <f t="shared" si="24"/>
        <v>0</v>
      </c>
      <c r="X263">
        <v>1</v>
      </c>
      <c r="Y263" s="2">
        <v>45768</v>
      </c>
      <c r="Z263" s="3" t="s">
        <v>56</v>
      </c>
      <c r="AA263" t="s">
        <v>39</v>
      </c>
      <c r="AB263" t="s">
        <v>40</v>
      </c>
      <c r="AC263" t="s">
        <v>40</v>
      </c>
      <c r="AD263" t="s">
        <v>41</v>
      </c>
    </row>
    <row r="264" spans="2:30">
      <c r="B264">
        <v>9</v>
      </c>
      <c r="C264">
        <v>1020</v>
      </c>
      <c r="D264" t="s">
        <v>29</v>
      </c>
      <c r="E264">
        <v>10040659</v>
      </c>
      <c r="F264" t="s">
        <v>342</v>
      </c>
      <c r="G264" t="s">
        <v>31</v>
      </c>
      <c r="H264" t="s">
        <v>60</v>
      </c>
      <c r="I264" t="s">
        <v>33</v>
      </c>
      <c r="J264" t="s">
        <v>45</v>
      </c>
      <c r="K264" t="s">
        <v>35</v>
      </c>
      <c r="L264" t="s">
        <v>36</v>
      </c>
      <c r="M264" t="s">
        <v>37</v>
      </c>
      <c r="N264">
        <v>4</v>
      </c>
      <c r="O264">
        <v>3</v>
      </c>
      <c r="P264">
        <v>0</v>
      </c>
      <c r="Q264">
        <v>4</v>
      </c>
      <c r="R264">
        <v>135.6</v>
      </c>
      <c r="S264" t="str">
        <f t="shared" si="20"/>
        <v>PX: Baja Crit.</v>
      </c>
      <c r="T264">
        <f t="shared" si="21"/>
        <v>0</v>
      </c>
      <c r="U264">
        <f t="shared" si="22"/>
        <v>0</v>
      </c>
      <c r="V264">
        <f t="shared" si="23"/>
        <v>1</v>
      </c>
      <c r="W264">
        <f t="shared" si="24"/>
        <v>0</v>
      </c>
      <c r="X264">
        <v>1</v>
      </c>
      <c r="Y264" s="2">
        <v>45768</v>
      </c>
      <c r="Z264" s="3" t="s">
        <v>38</v>
      </c>
      <c r="AA264" t="s">
        <v>39</v>
      </c>
      <c r="AB264" t="s">
        <v>40</v>
      </c>
      <c r="AC264" t="s">
        <v>40</v>
      </c>
      <c r="AD264" t="s">
        <v>41</v>
      </c>
    </row>
    <row r="265" spans="2:30">
      <c r="B265">
        <v>9</v>
      </c>
      <c r="C265">
        <v>1020</v>
      </c>
      <c r="D265" t="s">
        <v>29</v>
      </c>
      <c r="E265">
        <v>10051850</v>
      </c>
      <c r="F265" t="s">
        <v>343</v>
      </c>
      <c r="G265" t="s">
        <v>52</v>
      </c>
      <c r="H265" t="s">
        <v>32</v>
      </c>
      <c r="I265" t="s">
        <v>33</v>
      </c>
      <c r="J265" t="s">
        <v>45</v>
      </c>
      <c r="K265" t="s">
        <v>35</v>
      </c>
      <c r="L265" t="s">
        <v>36</v>
      </c>
      <c r="M265" t="s">
        <v>37</v>
      </c>
      <c r="N265">
        <v>6</v>
      </c>
      <c r="O265">
        <v>5</v>
      </c>
      <c r="P265">
        <v>1</v>
      </c>
      <c r="Q265">
        <v>6</v>
      </c>
      <c r="R265">
        <v>715.52</v>
      </c>
      <c r="S265" t="str">
        <f t="shared" si="20"/>
        <v>PZ: Alta Crit.</v>
      </c>
      <c r="T265">
        <f t="shared" si="21"/>
        <v>0</v>
      </c>
      <c r="U265">
        <f t="shared" si="22"/>
        <v>0</v>
      </c>
      <c r="V265">
        <f t="shared" si="23"/>
        <v>1</v>
      </c>
      <c r="W265">
        <f t="shared" si="24"/>
        <v>0</v>
      </c>
      <c r="X265">
        <v>1</v>
      </c>
      <c r="Y265" s="2">
        <v>45768</v>
      </c>
      <c r="Z265" s="3" t="s">
        <v>38</v>
      </c>
      <c r="AA265" t="s">
        <v>39</v>
      </c>
      <c r="AB265" t="s">
        <v>40</v>
      </c>
      <c r="AC265" t="s">
        <v>40</v>
      </c>
      <c r="AD265" t="s">
        <v>41</v>
      </c>
    </row>
    <row r="266" spans="2:30">
      <c r="B266">
        <v>9</v>
      </c>
      <c r="C266">
        <v>1020</v>
      </c>
      <c r="D266" t="s">
        <v>29</v>
      </c>
      <c r="E266">
        <v>10051856</v>
      </c>
      <c r="F266" t="s">
        <v>344</v>
      </c>
      <c r="G266" t="s">
        <v>31</v>
      </c>
      <c r="H266" t="s">
        <v>44</v>
      </c>
      <c r="I266" t="s">
        <v>33</v>
      </c>
      <c r="J266" t="s">
        <v>34</v>
      </c>
      <c r="K266" t="s">
        <v>35</v>
      </c>
      <c r="L266" t="s">
        <v>36</v>
      </c>
      <c r="M266" t="s">
        <v>37</v>
      </c>
      <c r="N266">
        <v>25</v>
      </c>
      <c r="O266">
        <v>10</v>
      </c>
      <c r="P266">
        <v>5</v>
      </c>
      <c r="Q266">
        <v>7</v>
      </c>
      <c r="R266" s="4">
        <v>2246.66</v>
      </c>
      <c r="S266" t="str">
        <f t="shared" si="20"/>
        <v>PX: Baja Crit.</v>
      </c>
      <c r="T266">
        <f t="shared" si="21"/>
        <v>0</v>
      </c>
      <c r="U266">
        <f t="shared" si="22"/>
        <v>0</v>
      </c>
      <c r="V266">
        <f t="shared" si="23"/>
        <v>1</v>
      </c>
      <c r="W266">
        <f t="shared" si="24"/>
        <v>0</v>
      </c>
      <c r="X266">
        <v>1</v>
      </c>
      <c r="Y266" s="2">
        <v>45768</v>
      </c>
      <c r="Z266" s="3" t="s">
        <v>38</v>
      </c>
      <c r="AA266" t="s">
        <v>39</v>
      </c>
      <c r="AB266" t="s">
        <v>49</v>
      </c>
      <c r="AC266" s="5" t="s">
        <v>50</v>
      </c>
      <c r="AD266" t="s">
        <v>41</v>
      </c>
    </row>
    <row r="267" spans="2:30">
      <c r="B267">
        <v>9</v>
      </c>
      <c r="C267">
        <v>1020</v>
      </c>
      <c r="D267" t="s">
        <v>29</v>
      </c>
      <c r="E267">
        <v>10044321</v>
      </c>
      <c r="F267" t="s">
        <v>345</v>
      </c>
      <c r="G267" t="s">
        <v>43</v>
      </c>
      <c r="H267" t="s">
        <v>32</v>
      </c>
      <c r="I267" t="s">
        <v>33</v>
      </c>
      <c r="J267" t="s">
        <v>34</v>
      </c>
      <c r="K267" t="s">
        <v>35</v>
      </c>
      <c r="L267" t="s">
        <v>36</v>
      </c>
      <c r="M267" t="s">
        <v>46</v>
      </c>
      <c r="N267">
        <v>7</v>
      </c>
      <c r="O267">
        <v>4</v>
      </c>
      <c r="P267">
        <v>2</v>
      </c>
      <c r="Q267">
        <v>7</v>
      </c>
      <c r="R267" s="4">
        <v>4409.4799999999996</v>
      </c>
      <c r="S267" t="str">
        <f t="shared" si="20"/>
        <v>PY: Media Crit.</v>
      </c>
      <c r="T267">
        <f t="shared" si="21"/>
        <v>0</v>
      </c>
      <c r="U267">
        <f t="shared" si="22"/>
        <v>0</v>
      </c>
      <c r="V267">
        <f t="shared" si="23"/>
        <v>1</v>
      </c>
      <c r="W267">
        <f t="shared" si="24"/>
        <v>0</v>
      </c>
      <c r="X267">
        <v>1</v>
      </c>
      <c r="Y267" s="2">
        <v>45768</v>
      </c>
      <c r="Z267" s="3" t="s">
        <v>47</v>
      </c>
      <c r="AA267" t="s">
        <v>39</v>
      </c>
      <c r="AB267" t="s">
        <v>40</v>
      </c>
      <c r="AC267" t="s">
        <v>40</v>
      </c>
      <c r="AD267" t="s">
        <v>41</v>
      </c>
    </row>
    <row r="268" spans="2:30">
      <c r="B268">
        <v>9</v>
      </c>
      <c r="C268">
        <v>1020</v>
      </c>
      <c r="D268" t="s">
        <v>29</v>
      </c>
      <c r="E268">
        <v>10045431</v>
      </c>
      <c r="F268" t="s">
        <v>346</v>
      </c>
      <c r="G268" t="s">
        <v>31</v>
      </c>
      <c r="H268" t="s">
        <v>32</v>
      </c>
      <c r="I268" t="s">
        <v>33</v>
      </c>
      <c r="J268" t="s">
        <v>45</v>
      </c>
      <c r="K268" t="s">
        <v>35</v>
      </c>
      <c r="L268" t="s">
        <v>36</v>
      </c>
      <c r="M268" t="s">
        <v>55</v>
      </c>
      <c r="N268">
        <v>20</v>
      </c>
      <c r="O268">
        <v>11</v>
      </c>
      <c r="P268">
        <v>5</v>
      </c>
      <c r="Q268">
        <v>23</v>
      </c>
      <c r="R268">
        <v>340.21</v>
      </c>
      <c r="S268" t="str">
        <f t="shared" si="20"/>
        <v>PX: Baja Crit.</v>
      </c>
      <c r="T268">
        <f t="shared" si="21"/>
        <v>0</v>
      </c>
      <c r="U268">
        <f t="shared" si="22"/>
        <v>0</v>
      </c>
      <c r="V268">
        <f t="shared" si="23"/>
        <v>0</v>
      </c>
      <c r="W268">
        <f t="shared" si="24"/>
        <v>1</v>
      </c>
      <c r="X268">
        <v>1</v>
      </c>
      <c r="Y268" s="2">
        <v>45768</v>
      </c>
      <c r="Z268" s="3" t="s">
        <v>56</v>
      </c>
      <c r="AA268" t="s">
        <v>39</v>
      </c>
      <c r="AB268" t="s">
        <v>40</v>
      </c>
      <c r="AC268" t="s">
        <v>40</v>
      </c>
      <c r="AD268" t="s">
        <v>41</v>
      </c>
    </row>
    <row r="269" spans="2:30">
      <c r="B269">
        <v>9</v>
      </c>
      <c r="C269">
        <v>1020</v>
      </c>
      <c r="D269" t="s">
        <v>29</v>
      </c>
      <c r="E269">
        <v>10090556</v>
      </c>
      <c r="F269" t="s">
        <v>347</v>
      </c>
      <c r="G269" t="s">
        <v>52</v>
      </c>
      <c r="H269" t="s">
        <v>44</v>
      </c>
      <c r="I269" t="s">
        <v>33</v>
      </c>
      <c r="J269" t="s">
        <v>34</v>
      </c>
      <c r="K269" t="s">
        <v>35</v>
      </c>
      <c r="L269" t="s">
        <v>36</v>
      </c>
      <c r="M269" t="s">
        <v>46</v>
      </c>
      <c r="N269">
        <v>8</v>
      </c>
      <c r="O269">
        <v>6</v>
      </c>
      <c r="P269">
        <v>3</v>
      </c>
      <c r="Q269">
        <v>9</v>
      </c>
      <c r="R269" s="4">
        <v>21914.28</v>
      </c>
      <c r="S269" t="str">
        <f t="shared" si="20"/>
        <v>PZ: Alta Crit.</v>
      </c>
      <c r="T269">
        <f t="shared" si="21"/>
        <v>0</v>
      </c>
      <c r="U269">
        <f t="shared" si="22"/>
        <v>0</v>
      </c>
      <c r="V269">
        <f t="shared" si="23"/>
        <v>0</v>
      </c>
      <c r="W269">
        <f t="shared" si="24"/>
        <v>1</v>
      </c>
      <c r="X269">
        <v>1</v>
      </c>
      <c r="Y269" s="2">
        <v>45768</v>
      </c>
      <c r="Z269" s="3" t="s">
        <v>47</v>
      </c>
      <c r="AA269" t="s">
        <v>39</v>
      </c>
      <c r="AB269" t="s">
        <v>40</v>
      </c>
      <c r="AC269" t="s">
        <v>40</v>
      </c>
      <c r="AD269" t="s">
        <v>41</v>
      </c>
    </row>
    <row r="270" spans="2:30">
      <c r="B270">
        <v>9</v>
      </c>
      <c r="C270">
        <v>1020</v>
      </c>
      <c r="D270" t="s">
        <v>29</v>
      </c>
      <c r="E270">
        <v>10040490</v>
      </c>
      <c r="F270" t="s">
        <v>348</v>
      </c>
      <c r="G270" t="s">
        <v>31</v>
      </c>
      <c r="H270" t="s">
        <v>32</v>
      </c>
      <c r="I270" t="s">
        <v>33</v>
      </c>
      <c r="J270" t="s">
        <v>34</v>
      </c>
      <c r="K270" t="s">
        <v>35</v>
      </c>
      <c r="L270" t="s">
        <v>36</v>
      </c>
      <c r="M270" t="s">
        <v>88</v>
      </c>
      <c r="N270">
        <v>500</v>
      </c>
      <c r="O270">
        <v>201</v>
      </c>
      <c r="P270">
        <v>100</v>
      </c>
      <c r="Q270">
        <v>500</v>
      </c>
      <c r="R270">
        <v>35</v>
      </c>
      <c r="S270" t="str">
        <f t="shared" si="20"/>
        <v>PX: Baja Crit.</v>
      </c>
      <c r="T270">
        <f t="shared" si="21"/>
        <v>0</v>
      </c>
      <c r="U270">
        <f t="shared" si="22"/>
        <v>0</v>
      </c>
      <c r="V270">
        <f t="shared" si="23"/>
        <v>1</v>
      </c>
      <c r="W270">
        <f t="shared" si="24"/>
        <v>0</v>
      </c>
      <c r="X270">
        <v>1</v>
      </c>
      <c r="Y270" s="2">
        <v>45768</v>
      </c>
      <c r="Z270" s="3" t="s">
        <v>89</v>
      </c>
      <c r="AA270" t="s">
        <v>39</v>
      </c>
      <c r="AB270" t="s">
        <v>40</v>
      </c>
      <c r="AC270" t="s">
        <v>40</v>
      </c>
      <c r="AD270" t="s">
        <v>41</v>
      </c>
    </row>
    <row r="271" spans="2:30">
      <c r="B271">
        <v>9</v>
      </c>
      <c r="C271">
        <v>1020</v>
      </c>
      <c r="D271" t="s">
        <v>29</v>
      </c>
      <c r="E271">
        <v>10056466</v>
      </c>
      <c r="F271" t="s">
        <v>349</v>
      </c>
      <c r="G271" t="s">
        <v>43</v>
      </c>
      <c r="H271" t="s">
        <v>32</v>
      </c>
      <c r="I271" t="s">
        <v>33</v>
      </c>
      <c r="J271" t="s">
        <v>34</v>
      </c>
      <c r="K271" t="s">
        <v>35</v>
      </c>
      <c r="L271" t="s">
        <v>36</v>
      </c>
      <c r="M271" t="s">
        <v>37</v>
      </c>
      <c r="N271">
        <v>91</v>
      </c>
      <c r="O271">
        <v>61</v>
      </c>
      <c r="P271">
        <v>40</v>
      </c>
      <c r="Q271">
        <v>70</v>
      </c>
      <c r="R271" s="4">
        <v>3688.99</v>
      </c>
      <c r="S271" t="str">
        <f t="shared" si="20"/>
        <v>PY: Media Crit.</v>
      </c>
      <c r="T271">
        <f t="shared" si="21"/>
        <v>0</v>
      </c>
      <c r="U271">
        <f t="shared" si="22"/>
        <v>0</v>
      </c>
      <c r="V271">
        <f t="shared" si="23"/>
        <v>1</v>
      </c>
      <c r="W271">
        <f t="shared" si="24"/>
        <v>0</v>
      </c>
      <c r="X271">
        <v>1</v>
      </c>
      <c r="Y271" s="2">
        <v>45768</v>
      </c>
      <c r="Z271" s="3" t="s">
        <v>38</v>
      </c>
      <c r="AA271" t="s">
        <v>39</v>
      </c>
      <c r="AB271" t="s">
        <v>49</v>
      </c>
      <c r="AC271" s="5" t="s">
        <v>50</v>
      </c>
      <c r="AD271" t="s">
        <v>41</v>
      </c>
    </row>
    <row r="272" spans="2:30">
      <c r="B272">
        <v>9</v>
      </c>
      <c r="C272">
        <v>1020</v>
      </c>
      <c r="D272" t="s">
        <v>29</v>
      </c>
      <c r="E272">
        <v>10307384</v>
      </c>
      <c r="F272" t="s">
        <v>350</v>
      </c>
      <c r="G272" t="s">
        <v>52</v>
      </c>
      <c r="H272" t="s">
        <v>60</v>
      </c>
      <c r="I272" t="s">
        <v>33</v>
      </c>
      <c r="J272" t="s">
        <v>45</v>
      </c>
      <c r="K272" t="s">
        <v>35</v>
      </c>
      <c r="L272" t="s">
        <v>36</v>
      </c>
      <c r="M272" t="s">
        <v>46</v>
      </c>
      <c r="N272">
        <v>6</v>
      </c>
      <c r="O272">
        <v>4</v>
      </c>
      <c r="P272">
        <v>2</v>
      </c>
      <c r="Q272">
        <v>32</v>
      </c>
      <c r="R272" s="4">
        <v>3661.54</v>
      </c>
      <c r="S272" t="str">
        <f t="shared" si="20"/>
        <v>PZ: Alta Crit.</v>
      </c>
      <c r="T272">
        <f t="shared" si="21"/>
        <v>0</v>
      </c>
      <c r="U272">
        <f t="shared" si="22"/>
        <v>0</v>
      </c>
      <c r="V272">
        <f t="shared" si="23"/>
        <v>0</v>
      </c>
      <c r="W272">
        <f t="shared" si="24"/>
        <v>1</v>
      </c>
      <c r="X272">
        <v>1</v>
      </c>
      <c r="Y272" s="2">
        <v>45768</v>
      </c>
      <c r="Z272" s="3" t="s">
        <v>47</v>
      </c>
      <c r="AA272" t="s">
        <v>39</v>
      </c>
      <c r="AB272" t="s">
        <v>49</v>
      </c>
      <c r="AC272" s="5" t="s">
        <v>50</v>
      </c>
      <c r="AD272" t="s">
        <v>41</v>
      </c>
    </row>
    <row r="273" spans="2:30">
      <c r="B273">
        <v>9</v>
      </c>
      <c r="C273">
        <v>1020</v>
      </c>
      <c r="D273" t="s">
        <v>29</v>
      </c>
      <c r="E273">
        <v>10050681</v>
      </c>
      <c r="F273" t="s">
        <v>351</v>
      </c>
      <c r="G273" t="s">
        <v>31</v>
      </c>
      <c r="H273" t="s">
        <v>32</v>
      </c>
      <c r="I273" t="s">
        <v>33</v>
      </c>
      <c r="J273" t="s">
        <v>34</v>
      </c>
      <c r="K273" t="s">
        <v>35</v>
      </c>
      <c r="L273" t="s">
        <v>36</v>
      </c>
      <c r="M273" t="s">
        <v>55</v>
      </c>
      <c r="N273">
        <v>100</v>
      </c>
      <c r="O273">
        <v>61</v>
      </c>
      <c r="P273">
        <v>20</v>
      </c>
      <c r="Q273">
        <v>84</v>
      </c>
      <c r="R273">
        <v>8.5500000000000007</v>
      </c>
      <c r="S273" t="str">
        <f t="shared" si="20"/>
        <v>PX: Baja Crit.</v>
      </c>
      <c r="T273">
        <f t="shared" si="21"/>
        <v>0</v>
      </c>
      <c r="U273">
        <f t="shared" si="22"/>
        <v>0</v>
      </c>
      <c r="V273">
        <f t="shared" si="23"/>
        <v>1</v>
      </c>
      <c r="W273">
        <f t="shared" si="24"/>
        <v>0</v>
      </c>
      <c r="X273">
        <v>1</v>
      </c>
      <c r="Y273" s="2">
        <v>45768</v>
      </c>
      <c r="Z273" s="3" t="s">
        <v>56</v>
      </c>
      <c r="AA273" t="s">
        <v>39</v>
      </c>
      <c r="AB273" t="s">
        <v>40</v>
      </c>
      <c r="AC273" t="s">
        <v>40</v>
      </c>
      <c r="AD273" t="s">
        <v>41</v>
      </c>
    </row>
    <row r="274" spans="2:30">
      <c r="B274">
        <v>9</v>
      </c>
      <c r="C274">
        <v>1020</v>
      </c>
      <c r="D274" t="s">
        <v>29</v>
      </c>
      <c r="E274">
        <v>10041704</v>
      </c>
      <c r="F274" t="s">
        <v>352</v>
      </c>
      <c r="G274" t="s">
        <v>43</v>
      </c>
      <c r="H274" t="s">
        <v>32</v>
      </c>
      <c r="I274" t="s">
        <v>33</v>
      </c>
      <c r="J274" t="s">
        <v>34</v>
      </c>
      <c r="K274" t="s">
        <v>35</v>
      </c>
      <c r="L274" t="s">
        <v>36</v>
      </c>
      <c r="M274" t="s">
        <v>37</v>
      </c>
      <c r="N274">
        <v>12</v>
      </c>
      <c r="O274">
        <v>7</v>
      </c>
      <c r="P274">
        <v>3</v>
      </c>
      <c r="Q274">
        <v>0</v>
      </c>
      <c r="R274">
        <v>0</v>
      </c>
      <c r="S274" t="str">
        <f t="shared" si="20"/>
        <v>PY: Media Crit.</v>
      </c>
      <c r="T274">
        <f t="shared" si="21"/>
        <v>1</v>
      </c>
      <c r="U274">
        <f t="shared" si="22"/>
        <v>0</v>
      </c>
      <c r="V274">
        <f t="shared" si="23"/>
        <v>0</v>
      </c>
      <c r="W274">
        <f t="shared" si="24"/>
        <v>0</v>
      </c>
      <c r="X274">
        <v>1</v>
      </c>
      <c r="Y274" s="2">
        <v>45768</v>
      </c>
      <c r="Z274" s="3" t="s">
        <v>38</v>
      </c>
      <c r="AA274" t="s">
        <v>39</v>
      </c>
      <c r="AB274" t="s">
        <v>76</v>
      </c>
      <c r="AC274" s="5" t="s">
        <v>77</v>
      </c>
      <c r="AD274" t="s">
        <v>41</v>
      </c>
    </row>
    <row r="275" spans="2:30">
      <c r="B275">
        <v>9</v>
      </c>
      <c r="C275">
        <v>1020</v>
      </c>
      <c r="D275" t="s">
        <v>29</v>
      </c>
      <c r="E275">
        <v>10013711</v>
      </c>
      <c r="F275" t="s">
        <v>353</v>
      </c>
      <c r="G275" t="s">
        <v>43</v>
      </c>
      <c r="H275" t="s">
        <v>32</v>
      </c>
      <c r="I275" t="s">
        <v>33</v>
      </c>
      <c r="J275" t="s">
        <v>45</v>
      </c>
      <c r="K275" t="s">
        <v>35</v>
      </c>
      <c r="L275" t="s">
        <v>36</v>
      </c>
      <c r="M275" t="s">
        <v>37</v>
      </c>
      <c r="N275">
        <v>13</v>
      </c>
      <c r="O275">
        <v>8</v>
      </c>
      <c r="P275">
        <v>5</v>
      </c>
      <c r="Q275">
        <v>13</v>
      </c>
      <c r="R275">
        <v>555.22</v>
      </c>
      <c r="S275" t="str">
        <f t="shared" si="20"/>
        <v>PY: Media Crit.</v>
      </c>
      <c r="T275">
        <f t="shared" si="21"/>
        <v>0</v>
      </c>
      <c r="U275">
        <f t="shared" si="22"/>
        <v>0</v>
      </c>
      <c r="V275">
        <f t="shared" si="23"/>
        <v>1</v>
      </c>
      <c r="W275">
        <f t="shared" si="24"/>
        <v>0</v>
      </c>
      <c r="X275">
        <v>1</v>
      </c>
      <c r="Y275" s="2">
        <v>45768</v>
      </c>
      <c r="Z275" s="3" t="s">
        <v>38</v>
      </c>
      <c r="AA275" t="s">
        <v>39</v>
      </c>
      <c r="AB275" t="s">
        <v>40</v>
      </c>
      <c r="AC275" t="s">
        <v>40</v>
      </c>
      <c r="AD275" t="s">
        <v>41</v>
      </c>
    </row>
    <row r="276" spans="2:30">
      <c r="B276">
        <v>9</v>
      </c>
      <c r="C276">
        <v>1020</v>
      </c>
      <c r="D276" t="s">
        <v>29</v>
      </c>
      <c r="E276">
        <v>10045655</v>
      </c>
      <c r="F276" t="s">
        <v>354</v>
      </c>
      <c r="G276" t="s">
        <v>31</v>
      </c>
      <c r="H276" t="s">
        <v>32</v>
      </c>
      <c r="I276" t="s">
        <v>33</v>
      </c>
      <c r="J276" t="s">
        <v>45</v>
      </c>
      <c r="K276" t="s">
        <v>35</v>
      </c>
      <c r="L276" t="s">
        <v>36</v>
      </c>
      <c r="M276" t="s">
        <v>55</v>
      </c>
      <c r="N276">
        <v>50</v>
      </c>
      <c r="O276">
        <v>21</v>
      </c>
      <c r="P276">
        <v>5</v>
      </c>
      <c r="Q276">
        <v>50</v>
      </c>
      <c r="R276">
        <v>53.23</v>
      </c>
      <c r="S276" t="str">
        <f t="shared" si="20"/>
        <v>PX: Baja Crit.</v>
      </c>
      <c r="T276">
        <f t="shared" si="21"/>
        <v>0</v>
      </c>
      <c r="U276">
        <f t="shared" si="22"/>
        <v>0</v>
      </c>
      <c r="V276">
        <f t="shared" si="23"/>
        <v>1</v>
      </c>
      <c r="W276">
        <f t="shared" si="24"/>
        <v>0</v>
      </c>
      <c r="X276">
        <v>1</v>
      </c>
      <c r="Y276" s="2">
        <v>45768</v>
      </c>
      <c r="Z276" s="3" t="s">
        <v>56</v>
      </c>
      <c r="AA276" t="s">
        <v>39</v>
      </c>
      <c r="AB276" t="s">
        <v>40</v>
      </c>
      <c r="AC276" t="s">
        <v>40</v>
      </c>
      <c r="AD276" t="s">
        <v>41</v>
      </c>
    </row>
    <row r="277" spans="2:30">
      <c r="B277">
        <v>9</v>
      </c>
      <c r="C277">
        <v>1020</v>
      </c>
      <c r="D277" t="s">
        <v>29</v>
      </c>
      <c r="E277">
        <v>10045976</v>
      </c>
      <c r="F277" t="s">
        <v>355</v>
      </c>
      <c r="G277" t="s">
        <v>52</v>
      </c>
      <c r="H277" t="s">
        <v>44</v>
      </c>
      <c r="I277" t="s">
        <v>33</v>
      </c>
      <c r="J277" t="s">
        <v>34</v>
      </c>
      <c r="K277" t="s">
        <v>35</v>
      </c>
      <c r="L277" t="s">
        <v>36</v>
      </c>
      <c r="M277" t="s">
        <v>46</v>
      </c>
      <c r="N277">
        <v>9</v>
      </c>
      <c r="O277">
        <v>7</v>
      </c>
      <c r="P277">
        <v>4</v>
      </c>
      <c r="Q277">
        <v>3</v>
      </c>
      <c r="R277" s="4">
        <v>4331.1499999999996</v>
      </c>
      <c r="S277" t="str">
        <f t="shared" si="20"/>
        <v>PZ: Alta Crit.</v>
      </c>
      <c r="T277">
        <f t="shared" si="21"/>
        <v>0</v>
      </c>
      <c r="U277">
        <f t="shared" si="22"/>
        <v>1</v>
      </c>
      <c r="V277">
        <f t="shared" si="23"/>
        <v>0</v>
      </c>
      <c r="W277">
        <f t="shared" si="24"/>
        <v>0</v>
      </c>
      <c r="X277">
        <v>1</v>
      </c>
      <c r="Y277" s="2">
        <v>45768</v>
      </c>
      <c r="Z277" s="3" t="s">
        <v>47</v>
      </c>
      <c r="AA277" t="s">
        <v>39</v>
      </c>
      <c r="AB277" t="s">
        <v>49</v>
      </c>
      <c r="AC277" s="5" t="s">
        <v>50</v>
      </c>
      <c r="AD277" t="s">
        <v>41</v>
      </c>
    </row>
    <row r="278" spans="2:30">
      <c r="B278">
        <v>9</v>
      </c>
      <c r="C278">
        <v>1020</v>
      </c>
      <c r="D278" t="s">
        <v>29</v>
      </c>
      <c r="E278">
        <v>10044196</v>
      </c>
      <c r="F278" t="s">
        <v>356</v>
      </c>
      <c r="G278" t="s">
        <v>31</v>
      </c>
      <c r="H278" t="s">
        <v>32</v>
      </c>
      <c r="I278" t="s">
        <v>33</v>
      </c>
      <c r="J278" t="s">
        <v>34</v>
      </c>
      <c r="K278" t="s">
        <v>35</v>
      </c>
      <c r="L278" t="s">
        <v>36</v>
      </c>
      <c r="M278" t="s">
        <v>69</v>
      </c>
      <c r="N278">
        <v>30</v>
      </c>
      <c r="O278">
        <v>14</v>
      </c>
      <c r="P278">
        <v>5</v>
      </c>
      <c r="Q278">
        <v>30</v>
      </c>
      <c r="R278" s="4">
        <v>1596.85</v>
      </c>
      <c r="S278" t="str">
        <f t="shared" si="20"/>
        <v>PX: Baja Crit.</v>
      </c>
      <c r="T278">
        <f t="shared" si="21"/>
        <v>0</v>
      </c>
      <c r="U278">
        <f t="shared" si="22"/>
        <v>0</v>
      </c>
      <c r="V278">
        <f t="shared" si="23"/>
        <v>1</v>
      </c>
      <c r="W278">
        <f t="shared" si="24"/>
        <v>0</v>
      </c>
      <c r="X278">
        <v>1</v>
      </c>
      <c r="Y278" s="2">
        <v>45768</v>
      </c>
      <c r="Z278" s="3" t="s">
        <v>70</v>
      </c>
      <c r="AA278" t="s">
        <v>39</v>
      </c>
      <c r="AB278" t="s">
        <v>40</v>
      </c>
      <c r="AC278" t="s">
        <v>40</v>
      </c>
      <c r="AD278" t="s">
        <v>41</v>
      </c>
    </row>
    <row r="279" spans="2:30">
      <c r="B279">
        <v>9</v>
      </c>
      <c r="C279">
        <v>1020</v>
      </c>
      <c r="D279" t="s">
        <v>29</v>
      </c>
      <c r="E279">
        <v>10047068</v>
      </c>
      <c r="F279" t="s">
        <v>357</v>
      </c>
      <c r="G279" t="s">
        <v>31</v>
      </c>
      <c r="H279" t="s">
        <v>32</v>
      </c>
      <c r="I279" t="s">
        <v>33</v>
      </c>
      <c r="J279" t="s">
        <v>34</v>
      </c>
      <c r="K279" t="s">
        <v>35</v>
      </c>
      <c r="L279" t="s">
        <v>36</v>
      </c>
      <c r="M279" t="s">
        <v>55</v>
      </c>
      <c r="N279">
        <v>60</v>
      </c>
      <c r="O279">
        <v>36</v>
      </c>
      <c r="P279">
        <v>6</v>
      </c>
      <c r="Q279">
        <v>60</v>
      </c>
      <c r="R279">
        <v>109.61</v>
      </c>
      <c r="S279" t="str">
        <f t="shared" si="20"/>
        <v>PX: Baja Crit.</v>
      </c>
      <c r="T279">
        <f t="shared" si="21"/>
        <v>0</v>
      </c>
      <c r="U279">
        <f t="shared" si="22"/>
        <v>0</v>
      </c>
      <c r="V279">
        <f t="shared" si="23"/>
        <v>1</v>
      </c>
      <c r="W279">
        <f t="shared" si="24"/>
        <v>0</v>
      </c>
      <c r="X279">
        <v>1</v>
      </c>
      <c r="Y279" s="2">
        <v>45768</v>
      </c>
      <c r="Z279" s="3" t="s">
        <v>56</v>
      </c>
      <c r="AA279" t="s">
        <v>39</v>
      </c>
      <c r="AB279" t="s">
        <v>40</v>
      </c>
      <c r="AC279" t="s">
        <v>40</v>
      </c>
      <c r="AD279" t="s">
        <v>41</v>
      </c>
    </row>
    <row r="280" spans="2:30">
      <c r="B280">
        <v>9</v>
      </c>
      <c r="C280">
        <v>1020</v>
      </c>
      <c r="D280" t="s">
        <v>29</v>
      </c>
      <c r="E280">
        <v>10057122</v>
      </c>
      <c r="F280" t="s">
        <v>358</v>
      </c>
      <c r="G280" t="s">
        <v>43</v>
      </c>
      <c r="H280" t="s">
        <v>32</v>
      </c>
      <c r="I280" t="s">
        <v>33</v>
      </c>
      <c r="J280" t="s">
        <v>34</v>
      </c>
      <c r="K280" t="s">
        <v>35</v>
      </c>
      <c r="L280" t="s">
        <v>36</v>
      </c>
      <c r="M280" t="s">
        <v>46</v>
      </c>
      <c r="N280">
        <v>15</v>
      </c>
      <c r="O280">
        <v>7</v>
      </c>
      <c r="P280">
        <v>3</v>
      </c>
      <c r="Q280">
        <v>16</v>
      </c>
      <c r="R280" s="4">
        <v>4813.5200000000004</v>
      </c>
      <c r="S280" t="str">
        <f t="shared" si="20"/>
        <v>PY: Media Crit.</v>
      </c>
      <c r="T280">
        <f t="shared" si="21"/>
        <v>0</v>
      </c>
      <c r="U280">
        <f t="shared" si="22"/>
        <v>0</v>
      </c>
      <c r="V280">
        <f t="shared" si="23"/>
        <v>0</v>
      </c>
      <c r="W280">
        <f t="shared" si="24"/>
        <v>1</v>
      </c>
      <c r="X280">
        <v>1</v>
      </c>
      <c r="Y280" s="2">
        <v>45768</v>
      </c>
      <c r="Z280" s="3" t="s">
        <v>47</v>
      </c>
      <c r="AA280" t="s">
        <v>39</v>
      </c>
      <c r="AB280" t="s">
        <v>40</v>
      </c>
      <c r="AC280" t="s">
        <v>40</v>
      </c>
      <c r="AD280" t="s">
        <v>41</v>
      </c>
    </row>
    <row r="281" spans="2:30">
      <c r="B281">
        <v>9</v>
      </c>
      <c r="C281">
        <v>1020</v>
      </c>
      <c r="D281" t="s">
        <v>29</v>
      </c>
      <c r="E281">
        <v>14073480</v>
      </c>
      <c r="F281" t="s">
        <v>359</v>
      </c>
      <c r="G281" t="s">
        <v>31</v>
      </c>
      <c r="H281" t="s">
        <v>32</v>
      </c>
      <c r="I281" t="s">
        <v>33</v>
      </c>
      <c r="J281" t="s">
        <v>34</v>
      </c>
      <c r="K281" t="s">
        <v>35</v>
      </c>
      <c r="L281" t="s">
        <v>36</v>
      </c>
      <c r="M281" t="s">
        <v>37</v>
      </c>
      <c r="N281">
        <v>100</v>
      </c>
      <c r="O281">
        <v>51</v>
      </c>
      <c r="P281">
        <v>10</v>
      </c>
      <c r="Q281">
        <v>90</v>
      </c>
      <c r="R281">
        <v>720</v>
      </c>
      <c r="S281" t="str">
        <f t="shared" si="20"/>
        <v>PX: Baja Crit.</v>
      </c>
      <c r="T281">
        <f t="shared" si="21"/>
        <v>0</v>
      </c>
      <c r="U281">
        <f t="shared" si="22"/>
        <v>0</v>
      </c>
      <c r="V281">
        <f t="shared" si="23"/>
        <v>1</v>
      </c>
      <c r="W281">
        <f t="shared" si="24"/>
        <v>0</v>
      </c>
      <c r="X281">
        <v>1</v>
      </c>
      <c r="Y281" s="2">
        <v>45768</v>
      </c>
      <c r="Z281" s="3" t="s">
        <v>38</v>
      </c>
      <c r="AA281" t="s">
        <v>39</v>
      </c>
      <c r="AB281" t="s">
        <v>40</v>
      </c>
      <c r="AC281" t="s">
        <v>40</v>
      </c>
      <c r="AD281" t="s">
        <v>41</v>
      </c>
    </row>
    <row r="282" spans="2:30">
      <c r="B282">
        <v>9</v>
      </c>
      <c r="C282">
        <v>1020</v>
      </c>
      <c r="D282" t="s">
        <v>29</v>
      </c>
      <c r="E282">
        <v>10041713</v>
      </c>
      <c r="F282" t="s">
        <v>360</v>
      </c>
      <c r="G282" t="s">
        <v>43</v>
      </c>
      <c r="H282" t="s">
        <v>32</v>
      </c>
      <c r="I282" t="s">
        <v>33</v>
      </c>
      <c r="J282" t="s">
        <v>34</v>
      </c>
      <c r="K282" t="s">
        <v>35</v>
      </c>
      <c r="L282" t="s">
        <v>36</v>
      </c>
      <c r="M282" t="s">
        <v>37</v>
      </c>
      <c r="N282">
        <v>10</v>
      </c>
      <c r="O282">
        <v>6</v>
      </c>
      <c r="P282">
        <v>3</v>
      </c>
      <c r="Q282">
        <v>6</v>
      </c>
      <c r="R282">
        <v>302.32</v>
      </c>
      <c r="S282" t="str">
        <f t="shared" si="20"/>
        <v>PY: Media Crit.</v>
      </c>
      <c r="T282">
        <f t="shared" si="21"/>
        <v>0</v>
      </c>
      <c r="U282">
        <f t="shared" si="22"/>
        <v>0</v>
      </c>
      <c r="V282">
        <f t="shared" si="23"/>
        <v>1</v>
      </c>
      <c r="W282">
        <f t="shared" si="24"/>
        <v>0</v>
      </c>
      <c r="X282">
        <v>1</v>
      </c>
      <c r="Y282" s="2">
        <v>45768</v>
      </c>
      <c r="Z282" s="3" t="s">
        <v>38</v>
      </c>
      <c r="AA282" t="s">
        <v>39</v>
      </c>
      <c r="AB282" t="s">
        <v>40</v>
      </c>
      <c r="AC282" t="s">
        <v>40</v>
      </c>
      <c r="AD282" t="s">
        <v>41</v>
      </c>
    </row>
    <row r="283" spans="2:30">
      <c r="B283">
        <v>9</v>
      </c>
      <c r="C283">
        <v>1020</v>
      </c>
      <c r="D283" t="s">
        <v>29</v>
      </c>
      <c r="E283">
        <v>10172189</v>
      </c>
      <c r="F283" t="s">
        <v>361</v>
      </c>
      <c r="G283" t="s">
        <v>43</v>
      </c>
      <c r="H283" t="s">
        <v>32</v>
      </c>
      <c r="I283" t="s">
        <v>33</v>
      </c>
      <c r="J283" t="s">
        <v>34</v>
      </c>
      <c r="K283" t="s">
        <v>35</v>
      </c>
      <c r="L283" t="s">
        <v>36</v>
      </c>
      <c r="M283" t="s">
        <v>46</v>
      </c>
      <c r="N283">
        <v>60</v>
      </c>
      <c r="O283">
        <v>21</v>
      </c>
      <c r="P283">
        <v>10</v>
      </c>
      <c r="Q283">
        <v>60</v>
      </c>
      <c r="R283">
        <v>585</v>
      </c>
      <c r="S283" t="str">
        <f t="shared" si="20"/>
        <v>PY: Media Crit.</v>
      </c>
      <c r="T283">
        <f t="shared" si="21"/>
        <v>0</v>
      </c>
      <c r="U283">
        <f t="shared" si="22"/>
        <v>0</v>
      </c>
      <c r="V283">
        <f t="shared" si="23"/>
        <v>1</v>
      </c>
      <c r="W283">
        <f t="shared" si="24"/>
        <v>0</v>
      </c>
      <c r="X283">
        <v>1</v>
      </c>
      <c r="Y283" s="2">
        <v>45768</v>
      </c>
      <c r="Z283" s="3" t="s">
        <v>47</v>
      </c>
      <c r="AA283" t="s">
        <v>39</v>
      </c>
      <c r="AB283" t="s">
        <v>40</v>
      </c>
      <c r="AC283" t="s">
        <v>40</v>
      </c>
      <c r="AD283" t="s">
        <v>41</v>
      </c>
    </row>
    <row r="284" spans="2:30">
      <c r="B284">
        <v>9</v>
      </c>
      <c r="C284">
        <v>1020</v>
      </c>
      <c r="D284" t="s">
        <v>29</v>
      </c>
      <c r="E284">
        <v>14175443</v>
      </c>
      <c r="F284" t="s">
        <v>362</v>
      </c>
      <c r="G284" t="s">
        <v>43</v>
      </c>
      <c r="H284" t="s">
        <v>60</v>
      </c>
      <c r="I284" t="s">
        <v>33</v>
      </c>
      <c r="J284" t="s">
        <v>45</v>
      </c>
      <c r="K284" t="s">
        <v>35</v>
      </c>
      <c r="L284" t="s">
        <v>36</v>
      </c>
      <c r="M284" t="s">
        <v>46</v>
      </c>
      <c r="N284">
        <v>24</v>
      </c>
      <c r="O284">
        <v>16</v>
      </c>
      <c r="P284">
        <v>5</v>
      </c>
      <c r="Q284">
        <v>18</v>
      </c>
      <c r="R284" s="4">
        <v>22391.67</v>
      </c>
      <c r="S284" t="str">
        <f t="shared" si="20"/>
        <v>PY: Media Crit.</v>
      </c>
      <c r="T284">
        <f t="shared" si="21"/>
        <v>0</v>
      </c>
      <c r="U284">
        <f t="shared" si="22"/>
        <v>0</v>
      </c>
      <c r="V284">
        <f t="shared" si="23"/>
        <v>1</v>
      </c>
      <c r="W284">
        <f t="shared" si="24"/>
        <v>0</v>
      </c>
      <c r="X284">
        <v>1</v>
      </c>
      <c r="Y284" s="2">
        <v>45768</v>
      </c>
      <c r="Z284" s="3" t="s">
        <v>47</v>
      </c>
      <c r="AA284" t="s">
        <v>39</v>
      </c>
      <c r="AB284" t="s">
        <v>40</v>
      </c>
      <c r="AC284" t="s">
        <v>40</v>
      </c>
      <c r="AD284" t="s">
        <v>41</v>
      </c>
    </row>
    <row r="285" spans="2:30">
      <c r="B285">
        <v>9</v>
      </c>
      <c r="C285">
        <v>1020</v>
      </c>
      <c r="D285" t="s">
        <v>29</v>
      </c>
      <c r="E285">
        <v>14280962</v>
      </c>
      <c r="F285" t="s">
        <v>363</v>
      </c>
      <c r="G285" t="s">
        <v>52</v>
      </c>
      <c r="H285" t="s">
        <v>44</v>
      </c>
      <c r="I285" t="s">
        <v>33</v>
      </c>
      <c r="J285" t="s">
        <v>45</v>
      </c>
      <c r="K285" t="s">
        <v>65</v>
      </c>
      <c r="L285" t="s">
        <v>36</v>
      </c>
      <c r="M285" t="s">
        <v>127</v>
      </c>
      <c r="N285">
        <v>80</v>
      </c>
      <c r="O285">
        <v>40</v>
      </c>
      <c r="P285">
        <v>0</v>
      </c>
      <c r="Q285">
        <v>20</v>
      </c>
      <c r="R285">
        <v>696.15</v>
      </c>
      <c r="S285" t="str">
        <f t="shared" si="20"/>
        <v>PZ: Alta Crit.</v>
      </c>
      <c r="T285">
        <f t="shared" si="21"/>
        <v>0</v>
      </c>
      <c r="U285">
        <f t="shared" si="22"/>
        <v>0</v>
      </c>
      <c r="V285">
        <f t="shared" si="23"/>
        <v>1</v>
      </c>
      <c r="W285">
        <f t="shared" si="24"/>
        <v>0</v>
      </c>
      <c r="X285">
        <v>1</v>
      </c>
      <c r="Y285" s="2">
        <v>45768</v>
      </c>
      <c r="Z285" s="3" t="s">
        <v>128</v>
      </c>
      <c r="AA285" t="s">
        <v>39</v>
      </c>
      <c r="AB285" t="s">
        <v>49</v>
      </c>
      <c r="AC285" s="5" t="s">
        <v>50</v>
      </c>
      <c r="AD285" t="s">
        <v>41</v>
      </c>
    </row>
    <row r="286" spans="2:30">
      <c r="B286">
        <v>9</v>
      </c>
      <c r="C286">
        <v>1020</v>
      </c>
      <c r="D286" t="s">
        <v>29</v>
      </c>
      <c r="E286">
        <v>10615569</v>
      </c>
      <c r="F286" t="s">
        <v>364</v>
      </c>
      <c r="G286" t="s">
        <v>43</v>
      </c>
      <c r="H286" t="s">
        <v>32</v>
      </c>
      <c r="I286" t="s">
        <v>33</v>
      </c>
      <c r="J286" t="s">
        <v>45</v>
      </c>
      <c r="K286" t="s">
        <v>35</v>
      </c>
      <c r="L286" t="s">
        <v>36</v>
      </c>
      <c r="M286" t="s">
        <v>46</v>
      </c>
      <c r="N286">
        <v>4</v>
      </c>
      <c r="O286">
        <v>3</v>
      </c>
      <c r="P286">
        <v>1</v>
      </c>
      <c r="Q286">
        <v>10</v>
      </c>
      <c r="R286" s="4">
        <v>2298.9</v>
      </c>
      <c r="S286" t="str">
        <f t="shared" si="20"/>
        <v>PY: Media Crit.</v>
      </c>
      <c r="T286">
        <f t="shared" si="21"/>
        <v>0</v>
      </c>
      <c r="U286">
        <f t="shared" si="22"/>
        <v>0</v>
      </c>
      <c r="V286">
        <f t="shared" si="23"/>
        <v>0</v>
      </c>
      <c r="W286">
        <f t="shared" si="24"/>
        <v>1</v>
      </c>
      <c r="X286">
        <v>1</v>
      </c>
      <c r="Y286" s="2">
        <v>45768</v>
      </c>
      <c r="Z286" s="3" t="s">
        <v>47</v>
      </c>
      <c r="AA286" t="s">
        <v>39</v>
      </c>
      <c r="AB286" t="s">
        <v>40</v>
      </c>
      <c r="AC286" t="s">
        <v>40</v>
      </c>
      <c r="AD286" t="s">
        <v>41</v>
      </c>
    </row>
    <row r="287" spans="2:30">
      <c r="B287">
        <v>9</v>
      </c>
      <c r="C287">
        <v>1020</v>
      </c>
      <c r="D287" t="s">
        <v>29</v>
      </c>
      <c r="E287">
        <v>14084660</v>
      </c>
      <c r="F287" t="s">
        <v>365</v>
      </c>
      <c r="G287" t="s">
        <v>31</v>
      </c>
      <c r="H287" t="s">
        <v>32</v>
      </c>
      <c r="I287" t="s">
        <v>33</v>
      </c>
      <c r="J287" t="s">
        <v>34</v>
      </c>
      <c r="K287" t="s">
        <v>35</v>
      </c>
      <c r="L287" t="s">
        <v>36</v>
      </c>
      <c r="M287" t="s">
        <v>117</v>
      </c>
      <c r="N287">
        <v>50</v>
      </c>
      <c r="O287">
        <v>30</v>
      </c>
      <c r="P287">
        <v>10</v>
      </c>
      <c r="Q287">
        <v>34</v>
      </c>
      <c r="R287" s="4">
        <v>2550</v>
      </c>
      <c r="S287" t="str">
        <f t="shared" si="20"/>
        <v>PX: Baja Crit.</v>
      </c>
      <c r="T287">
        <f t="shared" si="21"/>
        <v>0</v>
      </c>
      <c r="U287">
        <f t="shared" si="22"/>
        <v>0</v>
      </c>
      <c r="V287">
        <f t="shared" si="23"/>
        <v>1</v>
      </c>
      <c r="W287">
        <f t="shared" si="24"/>
        <v>0</v>
      </c>
      <c r="X287">
        <v>1</v>
      </c>
      <c r="Y287" s="2">
        <v>45768</v>
      </c>
      <c r="Z287" s="3" t="s">
        <v>118</v>
      </c>
      <c r="AA287" t="s">
        <v>39</v>
      </c>
      <c r="AB287" t="s">
        <v>40</v>
      </c>
      <c r="AC287" t="s">
        <v>40</v>
      </c>
      <c r="AD287" t="s">
        <v>41</v>
      </c>
    </row>
    <row r="288" spans="2:30">
      <c r="B288">
        <v>9</v>
      </c>
      <c r="C288">
        <v>1020</v>
      </c>
      <c r="D288" t="s">
        <v>29</v>
      </c>
      <c r="E288">
        <v>10050614</v>
      </c>
      <c r="F288" t="s">
        <v>366</v>
      </c>
      <c r="G288" t="s">
        <v>43</v>
      </c>
      <c r="H288" t="s">
        <v>32</v>
      </c>
      <c r="I288" t="s">
        <v>33</v>
      </c>
      <c r="J288" t="s">
        <v>45</v>
      </c>
      <c r="K288" t="s">
        <v>35</v>
      </c>
      <c r="L288" t="s">
        <v>36</v>
      </c>
      <c r="M288" t="s">
        <v>55</v>
      </c>
      <c r="N288">
        <v>200</v>
      </c>
      <c r="O288">
        <v>81</v>
      </c>
      <c r="P288">
        <v>20</v>
      </c>
      <c r="Q288">
        <v>100</v>
      </c>
      <c r="R288">
        <v>44.78</v>
      </c>
      <c r="S288" t="str">
        <f t="shared" si="20"/>
        <v>PY: Media Crit.</v>
      </c>
      <c r="T288">
        <f t="shared" si="21"/>
        <v>0</v>
      </c>
      <c r="U288">
        <f t="shared" si="22"/>
        <v>0</v>
      </c>
      <c r="V288">
        <f t="shared" si="23"/>
        <v>1</v>
      </c>
      <c r="W288">
        <f t="shared" si="24"/>
        <v>0</v>
      </c>
      <c r="X288">
        <v>1</v>
      </c>
      <c r="Y288" s="2">
        <v>45768</v>
      </c>
      <c r="Z288" s="3" t="s">
        <v>56</v>
      </c>
      <c r="AA288" t="s">
        <v>39</v>
      </c>
      <c r="AB288" t="s">
        <v>49</v>
      </c>
      <c r="AC288" s="5" t="s">
        <v>50</v>
      </c>
      <c r="AD288" t="s">
        <v>41</v>
      </c>
    </row>
    <row r="289" spans="2:30">
      <c r="B289">
        <v>9</v>
      </c>
      <c r="C289">
        <v>1020</v>
      </c>
      <c r="D289" t="s">
        <v>29</v>
      </c>
      <c r="E289">
        <v>10056287</v>
      </c>
      <c r="F289" t="s">
        <v>367</v>
      </c>
      <c r="G289" t="s">
        <v>43</v>
      </c>
      <c r="H289" t="s">
        <v>44</v>
      </c>
      <c r="I289" t="s">
        <v>33</v>
      </c>
      <c r="J289" t="s">
        <v>45</v>
      </c>
      <c r="K289" t="s">
        <v>35</v>
      </c>
      <c r="L289" t="s">
        <v>36</v>
      </c>
      <c r="M289" t="s">
        <v>117</v>
      </c>
      <c r="N289">
        <v>500</v>
      </c>
      <c r="O289">
        <v>301</v>
      </c>
      <c r="P289">
        <v>80</v>
      </c>
      <c r="Q289">
        <v>500</v>
      </c>
      <c r="R289" s="4">
        <v>4361.67</v>
      </c>
      <c r="S289" t="str">
        <f t="shared" si="20"/>
        <v>PY: Media Crit.</v>
      </c>
      <c r="T289">
        <f t="shared" si="21"/>
        <v>0</v>
      </c>
      <c r="U289">
        <f t="shared" si="22"/>
        <v>0</v>
      </c>
      <c r="V289">
        <f t="shared" si="23"/>
        <v>1</v>
      </c>
      <c r="W289">
        <f t="shared" si="24"/>
        <v>0</v>
      </c>
      <c r="X289">
        <v>1</v>
      </c>
      <c r="Y289" s="2">
        <v>45768</v>
      </c>
      <c r="Z289" s="3" t="s">
        <v>118</v>
      </c>
      <c r="AA289" t="s">
        <v>39</v>
      </c>
      <c r="AB289" t="s">
        <v>40</v>
      </c>
      <c r="AC289" t="s">
        <v>40</v>
      </c>
      <c r="AD289" t="s">
        <v>41</v>
      </c>
    </row>
    <row r="290" spans="2:30">
      <c r="B290">
        <v>9</v>
      </c>
      <c r="C290">
        <v>1020</v>
      </c>
      <c r="D290" t="s">
        <v>29</v>
      </c>
      <c r="E290">
        <v>14074956</v>
      </c>
      <c r="F290" t="s">
        <v>368</v>
      </c>
      <c r="G290" t="s">
        <v>43</v>
      </c>
      <c r="H290" t="s">
        <v>60</v>
      </c>
      <c r="I290" t="s">
        <v>33</v>
      </c>
      <c r="J290" t="s">
        <v>45</v>
      </c>
      <c r="K290" t="s">
        <v>35</v>
      </c>
      <c r="L290" t="s">
        <v>36</v>
      </c>
      <c r="M290" t="s">
        <v>117</v>
      </c>
      <c r="N290">
        <v>5</v>
      </c>
      <c r="O290">
        <v>3</v>
      </c>
      <c r="P290">
        <v>1</v>
      </c>
      <c r="Q290">
        <v>3</v>
      </c>
      <c r="R290" s="4">
        <v>1950</v>
      </c>
      <c r="S290" t="str">
        <f t="shared" si="20"/>
        <v>PY: Media Crit.</v>
      </c>
      <c r="T290">
        <f t="shared" si="21"/>
        <v>0</v>
      </c>
      <c r="U290">
        <f t="shared" si="22"/>
        <v>0</v>
      </c>
      <c r="V290">
        <f t="shared" si="23"/>
        <v>1</v>
      </c>
      <c r="W290">
        <f t="shared" si="24"/>
        <v>0</v>
      </c>
      <c r="X290">
        <v>1</v>
      </c>
      <c r="Y290" s="2">
        <v>45768</v>
      </c>
      <c r="Z290" s="3" t="s">
        <v>118</v>
      </c>
      <c r="AA290" t="s">
        <v>39</v>
      </c>
      <c r="AB290" t="s">
        <v>40</v>
      </c>
      <c r="AC290" t="s">
        <v>40</v>
      </c>
      <c r="AD290" t="s">
        <v>41</v>
      </c>
    </row>
    <row r="291" spans="2:30">
      <c r="B291">
        <v>9</v>
      </c>
      <c r="C291">
        <v>1020</v>
      </c>
      <c r="D291" t="s">
        <v>29</v>
      </c>
      <c r="E291">
        <v>10050618</v>
      </c>
      <c r="F291" t="s">
        <v>369</v>
      </c>
      <c r="G291" t="s">
        <v>31</v>
      </c>
      <c r="H291" t="s">
        <v>32</v>
      </c>
      <c r="I291" t="s">
        <v>33</v>
      </c>
      <c r="J291" t="s">
        <v>34</v>
      </c>
      <c r="K291" t="s">
        <v>35</v>
      </c>
      <c r="L291" t="s">
        <v>36</v>
      </c>
      <c r="M291" t="s">
        <v>55</v>
      </c>
      <c r="N291">
        <v>120</v>
      </c>
      <c r="O291">
        <v>81</v>
      </c>
      <c r="P291">
        <v>30</v>
      </c>
      <c r="Q291">
        <v>112</v>
      </c>
      <c r="R291">
        <v>278.33999999999997</v>
      </c>
      <c r="S291" t="str">
        <f t="shared" si="20"/>
        <v>PX: Baja Crit.</v>
      </c>
      <c r="T291">
        <f t="shared" si="21"/>
        <v>0</v>
      </c>
      <c r="U291">
        <f t="shared" si="22"/>
        <v>0</v>
      </c>
      <c r="V291">
        <f t="shared" si="23"/>
        <v>1</v>
      </c>
      <c r="W291">
        <f t="shared" si="24"/>
        <v>0</v>
      </c>
      <c r="X291">
        <v>1</v>
      </c>
      <c r="Y291" s="2">
        <v>45768</v>
      </c>
      <c r="Z291" s="3" t="s">
        <v>56</v>
      </c>
      <c r="AA291" t="s">
        <v>39</v>
      </c>
      <c r="AB291" t="s">
        <v>76</v>
      </c>
      <c r="AC291" s="5" t="s">
        <v>77</v>
      </c>
      <c r="AD291" t="s">
        <v>41</v>
      </c>
    </row>
    <row r="292" spans="2:30">
      <c r="B292">
        <v>9</v>
      </c>
      <c r="C292">
        <v>1020</v>
      </c>
      <c r="D292" t="s">
        <v>29</v>
      </c>
      <c r="E292">
        <v>10293930</v>
      </c>
      <c r="F292" t="s">
        <v>370</v>
      </c>
      <c r="G292" t="s">
        <v>43</v>
      </c>
      <c r="H292" t="s">
        <v>32</v>
      </c>
      <c r="I292" t="s">
        <v>33</v>
      </c>
      <c r="J292" t="s">
        <v>34</v>
      </c>
      <c r="K292" t="s">
        <v>53</v>
      </c>
      <c r="L292" t="s">
        <v>36</v>
      </c>
      <c r="M292" t="s">
        <v>37</v>
      </c>
      <c r="N292">
        <v>24</v>
      </c>
      <c r="O292">
        <v>12</v>
      </c>
      <c r="P292">
        <v>10</v>
      </c>
      <c r="Q292">
        <v>35</v>
      </c>
      <c r="R292" s="4">
        <v>10211.51</v>
      </c>
      <c r="S292" t="str">
        <f t="shared" si="20"/>
        <v>PY: Media Crit.</v>
      </c>
      <c r="T292">
        <f t="shared" si="21"/>
        <v>0</v>
      </c>
      <c r="U292">
        <f t="shared" si="22"/>
        <v>0</v>
      </c>
      <c r="V292">
        <f t="shared" si="23"/>
        <v>0</v>
      </c>
      <c r="W292">
        <f t="shared" si="24"/>
        <v>1</v>
      </c>
      <c r="X292">
        <v>1</v>
      </c>
      <c r="Y292" s="2">
        <v>45768</v>
      </c>
      <c r="Z292" s="3" t="s">
        <v>38</v>
      </c>
      <c r="AA292" t="s">
        <v>39</v>
      </c>
      <c r="AB292" t="s">
        <v>76</v>
      </c>
      <c r="AC292" s="5" t="s">
        <v>77</v>
      </c>
      <c r="AD292" t="s">
        <v>41</v>
      </c>
    </row>
    <row r="293" spans="2:30">
      <c r="B293">
        <v>9</v>
      </c>
      <c r="C293">
        <v>1020</v>
      </c>
      <c r="D293" t="s">
        <v>29</v>
      </c>
      <c r="E293">
        <v>14128659</v>
      </c>
      <c r="F293" t="s">
        <v>371</v>
      </c>
      <c r="G293" t="s">
        <v>31</v>
      </c>
      <c r="H293" t="s">
        <v>44</v>
      </c>
      <c r="I293" t="s">
        <v>33</v>
      </c>
      <c r="J293" t="s">
        <v>34</v>
      </c>
      <c r="K293" t="s">
        <v>35</v>
      </c>
      <c r="L293" t="s">
        <v>36</v>
      </c>
      <c r="M293" t="s">
        <v>37</v>
      </c>
      <c r="N293">
        <v>8</v>
      </c>
      <c r="O293">
        <v>4</v>
      </c>
      <c r="P293">
        <v>4</v>
      </c>
      <c r="Q293">
        <v>8</v>
      </c>
      <c r="R293" s="4">
        <v>7607.32</v>
      </c>
      <c r="S293" t="str">
        <f t="shared" si="20"/>
        <v>PX: Baja Crit.</v>
      </c>
      <c r="T293">
        <f t="shared" si="21"/>
        <v>0</v>
      </c>
      <c r="U293">
        <f t="shared" si="22"/>
        <v>0</v>
      </c>
      <c r="V293">
        <f t="shared" si="23"/>
        <v>1</v>
      </c>
      <c r="W293">
        <f t="shared" si="24"/>
        <v>0</v>
      </c>
      <c r="X293">
        <v>1</v>
      </c>
      <c r="Y293" s="2">
        <v>45768</v>
      </c>
      <c r="Z293" s="3" t="s">
        <v>38</v>
      </c>
      <c r="AA293" t="s">
        <v>39</v>
      </c>
      <c r="AB293" t="s">
        <v>40</v>
      </c>
      <c r="AC293" t="s">
        <v>40</v>
      </c>
      <c r="AD293" t="s">
        <v>41</v>
      </c>
    </row>
    <row r="294" spans="2:30">
      <c r="B294">
        <v>9</v>
      </c>
      <c r="C294">
        <v>1020</v>
      </c>
      <c r="D294" t="s">
        <v>29</v>
      </c>
      <c r="E294">
        <v>10642703</v>
      </c>
      <c r="F294" t="s">
        <v>372</v>
      </c>
      <c r="G294" t="s">
        <v>52</v>
      </c>
      <c r="H294" t="s">
        <v>44</v>
      </c>
      <c r="I294" t="s">
        <v>33</v>
      </c>
      <c r="J294" t="s">
        <v>45</v>
      </c>
      <c r="K294" t="s">
        <v>35</v>
      </c>
      <c r="L294" t="s">
        <v>36</v>
      </c>
      <c r="M294" t="s">
        <v>46</v>
      </c>
      <c r="N294">
        <v>12</v>
      </c>
      <c r="O294">
        <v>8</v>
      </c>
      <c r="P294">
        <v>4</v>
      </c>
      <c r="Q294">
        <v>4</v>
      </c>
      <c r="R294" s="4">
        <v>2716.46</v>
      </c>
      <c r="S294" t="str">
        <f t="shared" si="20"/>
        <v>PZ: Alta Crit.</v>
      </c>
      <c r="T294">
        <f t="shared" si="21"/>
        <v>0</v>
      </c>
      <c r="U294">
        <f t="shared" si="22"/>
        <v>1</v>
      </c>
      <c r="V294">
        <f t="shared" si="23"/>
        <v>0</v>
      </c>
      <c r="W294">
        <f t="shared" si="24"/>
        <v>0</v>
      </c>
      <c r="X294">
        <v>1</v>
      </c>
      <c r="Y294" s="2">
        <v>45768</v>
      </c>
      <c r="Z294" s="3" t="s">
        <v>47</v>
      </c>
      <c r="AA294" t="s">
        <v>39</v>
      </c>
      <c r="AB294" t="s">
        <v>76</v>
      </c>
      <c r="AC294" s="5" t="s">
        <v>77</v>
      </c>
      <c r="AD294" t="s">
        <v>41</v>
      </c>
    </row>
    <row r="295" spans="2:30">
      <c r="B295">
        <v>9</v>
      </c>
      <c r="C295">
        <v>1020</v>
      </c>
      <c r="D295" t="s">
        <v>29</v>
      </c>
      <c r="E295">
        <v>14070819</v>
      </c>
      <c r="F295" t="s">
        <v>373</v>
      </c>
      <c r="G295" t="s">
        <v>52</v>
      </c>
      <c r="H295" t="s">
        <v>44</v>
      </c>
      <c r="I295" t="s">
        <v>33</v>
      </c>
      <c r="J295" t="s">
        <v>45</v>
      </c>
      <c r="K295" t="s">
        <v>53</v>
      </c>
      <c r="L295" t="s">
        <v>36</v>
      </c>
      <c r="M295" t="s">
        <v>37</v>
      </c>
      <c r="N295">
        <v>416</v>
      </c>
      <c r="O295">
        <v>416</v>
      </c>
      <c r="P295">
        <v>416</v>
      </c>
      <c r="Q295" s="8">
        <v>2288</v>
      </c>
      <c r="R295" s="4">
        <v>51500.25</v>
      </c>
      <c r="S295" t="str">
        <f t="shared" si="20"/>
        <v>PZ: Alta Crit.</v>
      </c>
      <c r="T295">
        <f t="shared" si="21"/>
        <v>0</v>
      </c>
      <c r="U295">
        <f t="shared" si="22"/>
        <v>0</v>
      </c>
      <c r="V295">
        <f t="shared" si="23"/>
        <v>0</v>
      </c>
      <c r="W295">
        <f t="shared" si="24"/>
        <v>1</v>
      </c>
      <c r="X295">
        <v>1</v>
      </c>
      <c r="Y295" s="2">
        <v>45768</v>
      </c>
      <c r="Z295" s="3" t="s">
        <v>38</v>
      </c>
      <c r="AA295" t="s">
        <v>39</v>
      </c>
      <c r="AB295" t="s">
        <v>40</v>
      </c>
      <c r="AC295" t="s">
        <v>40</v>
      </c>
      <c r="AD295" t="s">
        <v>41</v>
      </c>
    </row>
    <row r="296" spans="2:30">
      <c r="B296">
        <v>9</v>
      </c>
      <c r="C296">
        <v>1020</v>
      </c>
      <c r="D296" t="s">
        <v>29</v>
      </c>
      <c r="E296">
        <v>14207999</v>
      </c>
      <c r="F296" s="6" t="s">
        <v>374</v>
      </c>
      <c r="G296" t="s">
        <v>52</v>
      </c>
      <c r="H296" t="s">
        <v>32</v>
      </c>
      <c r="I296" t="s">
        <v>33</v>
      </c>
      <c r="J296" t="s">
        <v>45</v>
      </c>
      <c r="K296" t="s">
        <v>65</v>
      </c>
      <c r="L296" t="s">
        <v>36</v>
      </c>
      <c r="M296" t="s">
        <v>37</v>
      </c>
      <c r="N296">
        <v>102</v>
      </c>
      <c r="O296">
        <v>52</v>
      </c>
      <c r="P296">
        <v>0</v>
      </c>
      <c r="Q296">
        <v>1</v>
      </c>
      <c r="R296">
        <v>0</v>
      </c>
      <c r="S296" t="str">
        <f t="shared" si="20"/>
        <v>PZ: Alta Crit.</v>
      </c>
      <c r="T296">
        <f t="shared" si="21"/>
        <v>0</v>
      </c>
      <c r="U296">
        <f t="shared" si="22"/>
        <v>0</v>
      </c>
      <c r="V296">
        <f t="shared" si="23"/>
        <v>1</v>
      </c>
      <c r="W296">
        <f t="shared" si="24"/>
        <v>0</v>
      </c>
      <c r="X296">
        <v>1</v>
      </c>
      <c r="Y296" s="2">
        <v>45768</v>
      </c>
      <c r="Z296" s="3" t="s">
        <v>38</v>
      </c>
      <c r="AA296" t="s">
        <v>39</v>
      </c>
      <c r="AB296" t="s">
        <v>49</v>
      </c>
      <c r="AC296" s="5" t="s">
        <v>50</v>
      </c>
      <c r="AD296" t="s">
        <v>41</v>
      </c>
    </row>
    <row r="297" spans="2:30">
      <c r="B297">
        <v>9</v>
      </c>
      <c r="C297">
        <v>1020</v>
      </c>
      <c r="D297" t="s">
        <v>29</v>
      </c>
      <c r="E297">
        <v>10057136</v>
      </c>
      <c r="F297" t="s">
        <v>375</v>
      </c>
      <c r="G297" t="s">
        <v>43</v>
      </c>
      <c r="H297" t="s">
        <v>44</v>
      </c>
      <c r="I297" t="s">
        <v>33</v>
      </c>
      <c r="J297" t="s">
        <v>45</v>
      </c>
      <c r="K297" t="s">
        <v>35</v>
      </c>
      <c r="L297" t="s">
        <v>36</v>
      </c>
      <c r="M297" t="s">
        <v>37</v>
      </c>
      <c r="N297">
        <v>30</v>
      </c>
      <c r="O297">
        <v>21</v>
      </c>
      <c r="P297">
        <v>10</v>
      </c>
      <c r="Q297">
        <v>13</v>
      </c>
      <c r="R297" s="4">
        <v>3054.55</v>
      </c>
      <c r="S297" t="str">
        <f t="shared" si="20"/>
        <v>PY: Media Crit.</v>
      </c>
      <c r="T297">
        <f t="shared" si="21"/>
        <v>0</v>
      </c>
      <c r="U297">
        <f t="shared" si="22"/>
        <v>0</v>
      </c>
      <c r="V297">
        <f t="shared" si="23"/>
        <v>1</v>
      </c>
      <c r="W297">
        <f t="shared" si="24"/>
        <v>0</v>
      </c>
      <c r="X297">
        <v>1</v>
      </c>
      <c r="Y297" s="2">
        <v>45768</v>
      </c>
      <c r="Z297" s="3" t="s">
        <v>38</v>
      </c>
      <c r="AA297" t="s">
        <v>39</v>
      </c>
      <c r="AB297" t="s">
        <v>49</v>
      </c>
      <c r="AC297" s="5" t="s">
        <v>50</v>
      </c>
      <c r="AD297" t="s">
        <v>41</v>
      </c>
    </row>
    <row r="298" spans="2:30">
      <c r="B298">
        <v>9</v>
      </c>
      <c r="C298">
        <v>1020</v>
      </c>
      <c r="D298" t="s">
        <v>29</v>
      </c>
      <c r="E298">
        <v>14280983</v>
      </c>
      <c r="F298" t="s">
        <v>376</v>
      </c>
      <c r="G298" t="s">
        <v>52</v>
      </c>
      <c r="H298" t="s">
        <v>44</v>
      </c>
      <c r="I298" t="s">
        <v>33</v>
      </c>
      <c r="J298" t="s">
        <v>45</v>
      </c>
      <c r="K298" t="s">
        <v>65</v>
      </c>
      <c r="L298" t="s">
        <v>36</v>
      </c>
      <c r="M298" t="s">
        <v>127</v>
      </c>
      <c r="N298" s="8">
        <v>1000</v>
      </c>
      <c r="O298" s="8">
        <v>1000</v>
      </c>
      <c r="P298">
        <v>0</v>
      </c>
      <c r="Q298" s="8">
        <v>1000</v>
      </c>
      <c r="R298" s="4">
        <v>2020.16</v>
      </c>
      <c r="S298" t="str">
        <f t="shared" si="20"/>
        <v>PZ: Alta Crit.</v>
      </c>
      <c r="T298">
        <f t="shared" si="21"/>
        <v>0</v>
      </c>
      <c r="U298">
        <f t="shared" si="22"/>
        <v>0</v>
      </c>
      <c r="V298">
        <f t="shared" si="23"/>
        <v>1</v>
      </c>
      <c r="W298">
        <f t="shared" si="24"/>
        <v>0</v>
      </c>
      <c r="X298">
        <v>1</v>
      </c>
      <c r="Y298" s="2">
        <v>45768</v>
      </c>
      <c r="Z298" s="3" t="s">
        <v>128</v>
      </c>
      <c r="AA298" t="s">
        <v>39</v>
      </c>
      <c r="AB298" t="s">
        <v>76</v>
      </c>
      <c r="AC298" s="5" t="s">
        <v>77</v>
      </c>
      <c r="AD298" t="s">
        <v>41</v>
      </c>
    </row>
    <row r="299" spans="2:30">
      <c r="B299">
        <v>9</v>
      </c>
      <c r="C299">
        <v>1020</v>
      </c>
      <c r="D299" t="s">
        <v>29</v>
      </c>
      <c r="E299">
        <v>10043121</v>
      </c>
      <c r="F299" t="s">
        <v>377</v>
      </c>
      <c r="G299" t="s">
        <v>52</v>
      </c>
      <c r="H299" t="s">
        <v>32</v>
      </c>
      <c r="I299" t="s">
        <v>33</v>
      </c>
      <c r="J299" t="s">
        <v>45</v>
      </c>
      <c r="K299" t="s">
        <v>35</v>
      </c>
      <c r="L299" t="s">
        <v>36</v>
      </c>
      <c r="M299" t="s">
        <v>117</v>
      </c>
      <c r="N299">
        <v>200</v>
      </c>
      <c r="O299">
        <v>100</v>
      </c>
      <c r="P299">
        <v>20</v>
      </c>
      <c r="Q299">
        <v>170</v>
      </c>
      <c r="R299" s="4">
        <v>28554.75</v>
      </c>
      <c r="S299" t="str">
        <f t="shared" si="20"/>
        <v>PZ: Alta Crit.</v>
      </c>
      <c r="T299">
        <f t="shared" si="21"/>
        <v>0</v>
      </c>
      <c r="U299">
        <f t="shared" si="22"/>
        <v>0</v>
      </c>
      <c r="V299">
        <f t="shared" si="23"/>
        <v>1</v>
      </c>
      <c r="W299">
        <f t="shared" si="24"/>
        <v>0</v>
      </c>
      <c r="X299">
        <v>1</v>
      </c>
      <c r="Y299" s="2">
        <v>45768</v>
      </c>
      <c r="Z299" s="3" t="s">
        <v>118</v>
      </c>
      <c r="AA299" t="s">
        <v>39</v>
      </c>
      <c r="AB299" t="s">
        <v>40</v>
      </c>
      <c r="AC299" t="s">
        <v>40</v>
      </c>
      <c r="AD299" t="s">
        <v>41</v>
      </c>
    </row>
    <row r="300" spans="2:30">
      <c r="B300">
        <v>9</v>
      </c>
      <c r="C300">
        <v>1020</v>
      </c>
      <c r="D300" t="s">
        <v>29</v>
      </c>
      <c r="E300">
        <v>10615597</v>
      </c>
      <c r="F300" t="s">
        <v>378</v>
      </c>
      <c r="G300" t="s">
        <v>52</v>
      </c>
      <c r="H300" t="s">
        <v>44</v>
      </c>
      <c r="I300" t="s">
        <v>33</v>
      </c>
      <c r="J300" t="s">
        <v>34</v>
      </c>
      <c r="K300" t="s">
        <v>35</v>
      </c>
      <c r="L300" t="s">
        <v>36</v>
      </c>
      <c r="M300" t="s">
        <v>46</v>
      </c>
      <c r="N300">
        <v>16</v>
      </c>
      <c r="O300">
        <v>11</v>
      </c>
      <c r="P300">
        <v>5</v>
      </c>
      <c r="Q300">
        <v>12</v>
      </c>
      <c r="R300" s="4">
        <v>12381.83</v>
      </c>
      <c r="S300" t="str">
        <f t="shared" si="20"/>
        <v>PZ: Alta Crit.</v>
      </c>
      <c r="T300">
        <f t="shared" si="21"/>
        <v>0</v>
      </c>
      <c r="U300">
        <f t="shared" si="22"/>
        <v>0</v>
      </c>
      <c r="V300">
        <f t="shared" si="23"/>
        <v>1</v>
      </c>
      <c r="W300">
        <f t="shared" si="24"/>
        <v>0</v>
      </c>
      <c r="X300">
        <v>1</v>
      </c>
      <c r="Y300" s="2">
        <v>45768</v>
      </c>
      <c r="Z300" s="3" t="s">
        <v>47</v>
      </c>
      <c r="AA300" t="s">
        <v>39</v>
      </c>
      <c r="AB300" t="s">
        <v>40</v>
      </c>
      <c r="AC300" t="s">
        <v>40</v>
      </c>
      <c r="AD300" t="s">
        <v>41</v>
      </c>
    </row>
    <row r="301" spans="2:30">
      <c r="B301">
        <v>9</v>
      </c>
      <c r="C301">
        <v>1020</v>
      </c>
      <c r="D301" t="s">
        <v>29</v>
      </c>
      <c r="E301">
        <v>10047120</v>
      </c>
      <c r="F301" t="s">
        <v>379</v>
      </c>
      <c r="G301" t="s">
        <v>52</v>
      </c>
      <c r="H301" t="s">
        <v>32</v>
      </c>
      <c r="I301" t="s">
        <v>33</v>
      </c>
      <c r="J301" t="s">
        <v>45</v>
      </c>
      <c r="K301" t="s">
        <v>35</v>
      </c>
      <c r="L301" t="s">
        <v>36</v>
      </c>
      <c r="M301" t="s">
        <v>37</v>
      </c>
      <c r="N301">
        <v>9</v>
      </c>
      <c r="O301">
        <v>6</v>
      </c>
      <c r="P301">
        <v>2</v>
      </c>
      <c r="Q301">
        <v>6</v>
      </c>
      <c r="R301" s="4">
        <v>3594.93</v>
      </c>
      <c r="S301" t="str">
        <f t="shared" si="20"/>
        <v>PZ: Alta Crit.</v>
      </c>
      <c r="T301">
        <f t="shared" si="21"/>
        <v>0</v>
      </c>
      <c r="U301">
        <f t="shared" si="22"/>
        <v>0</v>
      </c>
      <c r="V301">
        <f t="shared" si="23"/>
        <v>1</v>
      </c>
      <c r="W301">
        <f t="shared" si="24"/>
        <v>0</v>
      </c>
      <c r="X301">
        <v>1</v>
      </c>
      <c r="Y301" s="2">
        <v>45768</v>
      </c>
      <c r="Z301" s="3" t="s">
        <v>38</v>
      </c>
      <c r="AA301" t="s">
        <v>39</v>
      </c>
      <c r="AB301" t="s">
        <v>40</v>
      </c>
      <c r="AC301" t="s">
        <v>40</v>
      </c>
      <c r="AD301" t="s">
        <v>41</v>
      </c>
    </row>
    <row r="302" spans="2:30">
      <c r="B302">
        <v>9</v>
      </c>
      <c r="C302">
        <v>1020</v>
      </c>
      <c r="D302" t="s">
        <v>29</v>
      </c>
      <c r="E302">
        <v>10042033</v>
      </c>
      <c r="F302" t="s">
        <v>380</v>
      </c>
      <c r="G302" t="s">
        <v>52</v>
      </c>
      <c r="H302" t="s">
        <v>32</v>
      </c>
      <c r="I302" t="s">
        <v>33</v>
      </c>
      <c r="J302" t="s">
        <v>45</v>
      </c>
      <c r="K302" t="s">
        <v>35</v>
      </c>
      <c r="L302" t="s">
        <v>36</v>
      </c>
      <c r="M302" t="s">
        <v>117</v>
      </c>
      <c r="N302">
        <v>12</v>
      </c>
      <c r="O302">
        <v>6</v>
      </c>
      <c r="P302">
        <v>3</v>
      </c>
      <c r="Q302">
        <v>8</v>
      </c>
      <c r="R302" s="4">
        <v>5056.2700000000004</v>
      </c>
      <c r="S302" t="str">
        <f t="shared" si="20"/>
        <v>PZ: Alta Crit.</v>
      </c>
      <c r="T302">
        <f t="shared" si="21"/>
        <v>0</v>
      </c>
      <c r="U302">
        <f t="shared" si="22"/>
        <v>0</v>
      </c>
      <c r="V302">
        <f t="shared" si="23"/>
        <v>1</v>
      </c>
      <c r="W302">
        <f t="shared" si="24"/>
        <v>0</v>
      </c>
      <c r="X302">
        <v>1</v>
      </c>
      <c r="Y302" s="2">
        <v>45768</v>
      </c>
      <c r="Z302" s="3" t="s">
        <v>118</v>
      </c>
      <c r="AA302" t="s">
        <v>39</v>
      </c>
      <c r="AB302" t="s">
        <v>49</v>
      </c>
      <c r="AC302" s="5" t="s">
        <v>50</v>
      </c>
      <c r="AD302" t="s">
        <v>41</v>
      </c>
    </row>
    <row r="303" spans="2:30">
      <c r="B303">
        <v>9</v>
      </c>
      <c r="C303">
        <v>1020</v>
      </c>
      <c r="D303" t="s">
        <v>29</v>
      </c>
      <c r="E303">
        <v>10166757</v>
      </c>
      <c r="F303" t="s">
        <v>381</v>
      </c>
      <c r="G303" t="s">
        <v>43</v>
      </c>
      <c r="H303" t="s">
        <v>32</v>
      </c>
      <c r="I303" t="s">
        <v>33</v>
      </c>
      <c r="J303" t="s">
        <v>45</v>
      </c>
      <c r="K303" t="s">
        <v>35</v>
      </c>
      <c r="L303" t="s">
        <v>36</v>
      </c>
      <c r="M303" t="s">
        <v>46</v>
      </c>
      <c r="N303">
        <v>10</v>
      </c>
      <c r="O303">
        <v>10</v>
      </c>
      <c r="P303">
        <v>3</v>
      </c>
      <c r="Q303">
        <v>5</v>
      </c>
      <c r="R303">
        <v>704.02</v>
      </c>
      <c r="S303" t="str">
        <f t="shared" si="20"/>
        <v>PY: Media Crit.</v>
      </c>
      <c r="T303">
        <f t="shared" si="21"/>
        <v>0</v>
      </c>
      <c r="U303">
        <f t="shared" si="22"/>
        <v>0</v>
      </c>
      <c r="V303">
        <f t="shared" si="23"/>
        <v>1</v>
      </c>
      <c r="W303">
        <f t="shared" si="24"/>
        <v>0</v>
      </c>
      <c r="X303">
        <v>1</v>
      </c>
      <c r="Y303" s="2">
        <v>45768</v>
      </c>
      <c r="Z303" s="3" t="s">
        <v>47</v>
      </c>
      <c r="AA303" t="s">
        <v>39</v>
      </c>
      <c r="AB303" t="s">
        <v>76</v>
      </c>
      <c r="AC303" s="5" t="s">
        <v>77</v>
      </c>
      <c r="AD303" t="s">
        <v>41</v>
      </c>
    </row>
    <row r="304" spans="2:30">
      <c r="B304">
        <v>9</v>
      </c>
      <c r="C304">
        <v>1020</v>
      </c>
      <c r="D304" t="s">
        <v>29</v>
      </c>
      <c r="E304">
        <v>10044397</v>
      </c>
      <c r="F304" t="s">
        <v>382</v>
      </c>
      <c r="G304" t="s">
        <v>43</v>
      </c>
      <c r="H304" t="s">
        <v>32</v>
      </c>
      <c r="I304" t="s">
        <v>33</v>
      </c>
      <c r="J304" t="s">
        <v>45</v>
      </c>
      <c r="K304" t="s">
        <v>35</v>
      </c>
      <c r="L304" t="s">
        <v>36</v>
      </c>
      <c r="M304" t="s">
        <v>46</v>
      </c>
      <c r="N304">
        <v>10</v>
      </c>
      <c r="O304">
        <v>6</v>
      </c>
      <c r="P304">
        <v>2</v>
      </c>
      <c r="Q304">
        <v>11</v>
      </c>
      <c r="R304">
        <v>537.95000000000005</v>
      </c>
      <c r="S304" t="str">
        <f t="shared" si="20"/>
        <v>PY: Media Crit.</v>
      </c>
      <c r="T304">
        <f t="shared" si="21"/>
        <v>0</v>
      </c>
      <c r="U304">
        <f t="shared" si="22"/>
        <v>0</v>
      </c>
      <c r="V304">
        <f t="shared" si="23"/>
        <v>0</v>
      </c>
      <c r="W304">
        <f t="shared" si="24"/>
        <v>1</v>
      </c>
      <c r="X304">
        <v>1</v>
      </c>
      <c r="Y304" s="2">
        <v>45768</v>
      </c>
      <c r="Z304" s="3" t="s">
        <v>47</v>
      </c>
      <c r="AA304" t="s">
        <v>39</v>
      </c>
      <c r="AB304" t="s">
        <v>40</v>
      </c>
      <c r="AC304" t="s">
        <v>40</v>
      </c>
      <c r="AD304" t="s">
        <v>41</v>
      </c>
    </row>
    <row r="305" spans="2:30">
      <c r="B305">
        <v>9</v>
      </c>
      <c r="C305">
        <v>1020</v>
      </c>
      <c r="D305" t="s">
        <v>29</v>
      </c>
      <c r="E305">
        <v>10639718</v>
      </c>
      <c r="F305" t="s">
        <v>383</v>
      </c>
      <c r="G305" t="s">
        <v>52</v>
      </c>
      <c r="H305" t="s">
        <v>44</v>
      </c>
      <c r="I305" t="s">
        <v>33</v>
      </c>
      <c r="J305" t="s">
        <v>45</v>
      </c>
      <c r="K305" t="s">
        <v>35</v>
      </c>
      <c r="L305" t="s">
        <v>36</v>
      </c>
      <c r="M305" t="s">
        <v>117</v>
      </c>
      <c r="N305">
        <v>30</v>
      </c>
      <c r="O305">
        <v>24</v>
      </c>
      <c r="P305">
        <v>7</v>
      </c>
      <c r="Q305">
        <v>56</v>
      </c>
      <c r="R305" s="4">
        <v>135967.04999999999</v>
      </c>
      <c r="S305" t="str">
        <f t="shared" si="20"/>
        <v>PZ: Alta Crit.</v>
      </c>
      <c r="T305">
        <f t="shared" si="21"/>
        <v>0</v>
      </c>
      <c r="U305">
        <f t="shared" si="22"/>
        <v>0</v>
      </c>
      <c r="V305">
        <f t="shared" si="23"/>
        <v>0</v>
      </c>
      <c r="W305">
        <f t="shared" si="24"/>
        <v>1</v>
      </c>
      <c r="X305">
        <v>1</v>
      </c>
      <c r="Y305" s="2">
        <v>45768</v>
      </c>
      <c r="Z305" s="3" t="s">
        <v>118</v>
      </c>
      <c r="AA305" t="s">
        <v>39</v>
      </c>
      <c r="AB305" t="s">
        <v>40</v>
      </c>
      <c r="AC305" t="s">
        <v>40</v>
      </c>
      <c r="AD305" t="s">
        <v>41</v>
      </c>
    </row>
    <row r="306" spans="2:30">
      <c r="B306">
        <v>9</v>
      </c>
      <c r="C306">
        <v>1020</v>
      </c>
      <c r="D306" t="s">
        <v>384</v>
      </c>
      <c r="E306">
        <v>10043262</v>
      </c>
      <c r="F306" t="s">
        <v>385</v>
      </c>
      <c r="G306" t="s">
        <v>43</v>
      </c>
      <c r="H306" t="s">
        <v>44</v>
      </c>
      <c r="I306" t="s">
        <v>386</v>
      </c>
      <c r="J306" t="s">
        <v>45</v>
      </c>
      <c r="K306" t="s">
        <v>35</v>
      </c>
      <c r="L306" t="s">
        <v>175</v>
      </c>
      <c r="M306" t="s">
        <v>117</v>
      </c>
      <c r="N306">
        <v>0</v>
      </c>
      <c r="O306">
        <v>0</v>
      </c>
      <c r="P306">
        <v>0</v>
      </c>
      <c r="Q306">
        <v>66</v>
      </c>
      <c r="R306" s="4">
        <v>9308.7800000000007</v>
      </c>
      <c r="S306" t="str">
        <f t="shared" si="20"/>
        <v>PY: Media Crit.</v>
      </c>
      <c r="T306">
        <f t="shared" si="21"/>
        <v>0</v>
      </c>
      <c r="U306">
        <f t="shared" si="22"/>
        <v>0</v>
      </c>
      <c r="V306">
        <f t="shared" si="23"/>
        <v>0</v>
      </c>
      <c r="W306">
        <f t="shared" si="24"/>
        <v>1</v>
      </c>
      <c r="X306">
        <v>1</v>
      </c>
      <c r="Y306" s="2">
        <v>45768</v>
      </c>
      <c r="Z306" s="3" t="s">
        <v>118</v>
      </c>
      <c r="AA306" t="s">
        <v>39</v>
      </c>
      <c r="AB306" t="s">
        <v>40</v>
      </c>
      <c r="AC306" t="s">
        <v>40</v>
      </c>
      <c r="AD306" t="s">
        <v>387</v>
      </c>
    </row>
    <row r="307" spans="2:30">
      <c r="B307">
        <v>9</v>
      </c>
      <c r="C307">
        <v>1020</v>
      </c>
      <c r="D307" t="s">
        <v>388</v>
      </c>
      <c r="E307">
        <v>10048349</v>
      </c>
      <c r="F307" t="s">
        <v>389</v>
      </c>
      <c r="G307" t="s">
        <v>52</v>
      </c>
      <c r="H307" t="s">
        <v>32</v>
      </c>
      <c r="I307" t="s">
        <v>390</v>
      </c>
      <c r="J307" t="s">
        <v>45</v>
      </c>
      <c r="K307" t="s">
        <v>35</v>
      </c>
      <c r="L307" t="s">
        <v>175</v>
      </c>
      <c r="M307" t="s">
        <v>46</v>
      </c>
      <c r="N307">
        <v>0</v>
      </c>
      <c r="O307">
        <v>0</v>
      </c>
      <c r="P307">
        <v>3</v>
      </c>
      <c r="Q307">
        <v>3</v>
      </c>
      <c r="R307" s="4">
        <v>10056.61</v>
      </c>
      <c r="S307" t="str">
        <f t="shared" si="20"/>
        <v>PZ: Alta Crit.</v>
      </c>
      <c r="T307">
        <f t="shared" si="21"/>
        <v>0</v>
      </c>
      <c r="U307">
        <f t="shared" si="22"/>
        <v>1</v>
      </c>
      <c r="V307">
        <f t="shared" si="23"/>
        <v>0</v>
      </c>
      <c r="W307">
        <f t="shared" si="24"/>
        <v>1</v>
      </c>
      <c r="X307">
        <v>1</v>
      </c>
      <c r="Y307" s="2">
        <v>45768</v>
      </c>
      <c r="Z307" s="3" t="s">
        <v>47</v>
      </c>
      <c r="AA307" t="s">
        <v>39</v>
      </c>
      <c r="AB307" t="s">
        <v>40</v>
      </c>
      <c r="AC307" t="s">
        <v>40</v>
      </c>
      <c r="AD307" t="s">
        <v>391</v>
      </c>
    </row>
    <row r="308" spans="2:30">
      <c r="B308">
        <v>9</v>
      </c>
      <c r="C308">
        <v>1020</v>
      </c>
      <c r="D308" t="s">
        <v>384</v>
      </c>
      <c r="E308">
        <v>10050568</v>
      </c>
      <c r="F308" t="s">
        <v>392</v>
      </c>
      <c r="G308" t="s">
        <v>31</v>
      </c>
      <c r="H308" t="s">
        <v>32</v>
      </c>
      <c r="I308" t="s">
        <v>386</v>
      </c>
      <c r="J308" t="s">
        <v>45</v>
      </c>
      <c r="K308" t="s">
        <v>35</v>
      </c>
      <c r="L308" t="s">
        <v>175</v>
      </c>
      <c r="M308" t="s">
        <v>55</v>
      </c>
      <c r="N308">
        <v>0</v>
      </c>
      <c r="O308">
        <v>0</v>
      </c>
      <c r="P308">
        <v>0</v>
      </c>
      <c r="Q308">
        <v>120</v>
      </c>
      <c r="R308">
        <v>34.950000000000003</v>
      </c>
      <c r="S308" t="str">
        <f t="shared" si="20"/>
        <v>PX: Baja Crit.</v>
      </c>
      <c r="T308">
        <f t="shared" si="21"/>
        <v>0</v>
      </c>
      <c r="U308">
        <f t="shared" si="22"/>
        <v>0</v>
      </c>
      <c r="V308">
        <f t="shared" si="23"/>
        <v>0</v>
      </c>
      <c r="W308">
        <f t="shared" si="24"/>
        <v>1</v>
      </c>
      <c r="X308">
        <v>1</v>
      </c>
      <c r="Y308" s="2">
        <v>45768</v>
      </c>
      <c r="Z308" s="3" t="s">
        <v>56</v>
      </c>
      <c r="AA308" t="s">
        <v>39</v>
      </c>
      <c r="AB308" t="s">
        <v>40</v>
      </c>
      <c r="AC308" t="s">
        <v>40</v>
      </c>
      <c r="AD308" t="s">
        <v>387</v>
      </c>
    </row>
    <row r="309" spans="2:30">
      <c r="B309">
        <v>9</v>
      </c>
      <c r="C309">
        <v>1020</v>
      </c>
      <c r="D309" t="s">
        <v>384</v>
      </c>
      <c r="E309">
        <v>10051644</v>
      </c>
      <c r="F309" t="s">
        <v>393</v>
      </c>
      <c r="G309" t="s">
        <v>43</v>
      </c>
      <c r="H309" t="s">
        <v>32</v>
      </c>
      <c r="I309" t="s">
        <v>386</v>
      </c>
      <c r="J309" t="s">
        <v>45</v>
      </c>
      <c r="K309" t="s">
        <v>35</v>
      </c>
      <c r="L309" t="s">
        <v>175</v>
      </c>
      <c r="M309" t="s">
        <v>55</v>
      </c>
      <c r="N309">
        <v>0</v>
      </c>
      <c r="O309">
        <v>0</v>
      </c>
      <c r="P309">
        <v>0</v>
      </c>
      <c r="Q309">
        <v>100</v>
      </c>
      <c r="R309" s="4">
        <v>1061.68</v>
      </c>
      <c r="S309" t="str">
        <f t="shared" si="20"/>
        <v>PY: Media Crit.</v>
      </c>
      <c r="T309">
        <f t="shared" si="21"/>
        <v>0</v>
      </c>
      <c r="U309">
        <f t="shared" si="22"/>
        <v>0</v>
      </c>
      <c r="V309">
        <f t="shared" si="23"/>
        <v>0</v>
      </c>
      <c r="W309">
        <f t="shared" si="24"/>
        <v>1</v>
      </c>
      <c r="X309">
        <v>1</v>
      </c>
      <c r="Y309" s="2">
        <v>45768</v>
      </c>
      <c r="Z309" s="3" t="s">
        <v>56</v>
      </c>
      <c r="AA309" t="s">
        <v>39</v>
      </c>
      <c r="AB309" t="s">
        <v>40</v>
      </c>
      <c r="AC309" t="s">
        <v>40</v>
      </c>
      <c r="AD309" t="s">
        <v>387</v>
      </c>
    </row>
    <row r="310" spans="2:30">
      <c r="B310">
        <v>8</v>
      </c>
      <c r="C310">
        <v>1020</v>
      </c>
      <c r="D310" t="s">
        <v>29</v>
      </c>
      <c r="E310">
        <v>10045472</v>
      </c>
      <c r="F310" t="s">
        <v>394</v>
      </c>
      <c r="G310" t="s">
        <v>52</v>
      </c>
      <c r="H310" t="s">
        <v>32</v>
      </c>
      <c r="I310" t="s">
        <v>33</v>
      </c>
      <c r="J310" t="s">
        <v>45</v>
      </c>
      <c r="K310" t="s">
        <v>35</v>
      </c>
      <c r="L310" t="s">
        <v>36</v>
      </c>
      <c r="M310" t="s">
        <v>55</v>
      </c>
      <c r="N310">
        <v>100</v>
      </c>
      <c r="O310">
        <v>61</v>
      </c>
      <c r="P310">
        <v>10</v>
      </c>
      <c r="Q310">
        <v>83</v>
      </c>
      <c r="R310">
        <v>101.95</v>
      </c>
      <c r="S310" t="str">
        <f t="shared" si="20"/>
        <v>PZ: Alta Crit.</v>
      </c>
      <c r="T310">
        <f t="shared" si="21"/>
        <v>0</v>
      </c>
      <c r="U310">
        <f t="shared" si="22"/>
        <v>0</v>
      </c>
      <c r="V310">
        <f t="shared" si="23"/>
        <v>1</v>
      </c>
      <c r="W310">
        <f t="shared" si="24"/>
        <v>0</v>
      </c>
      <c r="X310">
        <v>1</v>
      </c>
      <c r="Y310" s="2">
        <v>45768</v>
      </c>
      <c r="Z310" s="3" t="s">
        <v>56</v>
      </c>
      <c r="AA310" t="s">
        <v>39</v>
      </c>
      <c r="AB310" t="s">
        <v>40</v>
      </c>
      <c r="AC310" t="s">
        <v>40</v>
      </c>
      <c r="AD310" t="s">
        <v>41</v>
      </c>
    </row>
    <row r="311" spans="2:30">
      <c r="B311">
        <v>8</v>
      </c>
      <c r="C311">
        <v>1020</v>
      </c>
      <c r="D311" t="s">
        <v>29</v>
      </c>
      <c r="E311">
        <v>10045314</v>
      </c>
      <c r="F311" t="s">
        <v>395</v>
      </c>
      <c r="G311" t="s">
        <v>31</v>
      </c>
      <c r="H311" t="s">
        <v>32</v>
      </c>
      <c r="I311" t="s">
        <v>33</v>
      </c>
      <c r="J311" t="s">
        <v>45</v>
      </c>
      <c r="K311" t="s">
        <v>35</v>
      </c>
      <c r="L311" t="s">
        <v>36</v>
      </c>
      <c r="M311" t="s">
        <v>55</v>
      </c>
      <c r="N311">
        <v>100</v>
      </c>
      <c r="O311">
        <v>61</v>
      </c>
      <c r="P311">
        <v>20</v>
      </c>
      <c r="Q311">
        <v>140</v>
      </c>
      <c r="R311">
        <v>445.5</v>
      </c>
      <c r="S311" t="str">
        <f t="shared" si="20"/>
        <v>PX: Baja Crit.</v>
      </c>
      <c r="T311">
        <f t="shared" si="21"/>
        <v>0</v>
      </c>
      <c r="U311">
        <f t="shared" si="22"/>
        <v>0</v>
      </c>
      <c r="V311">
        <f t="shared" si="23"/>
        <v>0</v>
      </c>
      <c r="W311">
        <f t="shared" si="24"/>
        <v>1</v>
      </c>
      <c r="X311">
        <v>1</v>
      </c>
      <c r="Y311" s="2">
        <v>45768</v>
      </c>
      <c r="Z311" s="3" t="s">
        <v>56</v>
      </c>
      <c r="AA311" t="s">
        <v>39</v>
      </c>
      <c r="AB311" t="s">
        <v>40</v>
      </c>
      <c r="AC311" t="s">
        <v>40</v>
      </c>
      <c r="AD311" t="s">
        <v>41</v>
      </c>
    </row>
    <row r="312" spans="2:30">
      <c r="B312">
        <v>8</v>
      </c>
      <c r="C312">
        <v>1020</v>
      </c>
      <c r="D312" t="s">
        <v>29</v>
      </c>
      <c r="E312">
        <v>10056319</v>
      </c>
      <c r="F312" t="s">
        <v>396</v>
      </c>
      <c r="G312" t="s">
        <v>31</v>
      </c>
      <c r="H312" t="s">
        <v>32</v>
      </c>
      <c r="I312" t="s">
        <v>33</v>
      </c>
      <c r="J312" t="s">
        <v>45</v>
      </c>
      <c r="K312" t="s">
        <v>35</v>
      </c>
      <c r="L312" t="s">
        <v>36</v>
      </c>
      <c r="M312" t="s">
        <v>88</v>
      </c>
      <c r="N312">
        <v>5</v>
      </c>
      <c r="O312">
        <v>3</v>
      </c>
      <c r="P312">
        <v>0</v>
      </c>
      <c r="Q312">
        <v>5</v>
      </c>
      <c r="R312">
        <v>140.01</v>
      </c>
      <c r="S312" t="str">
        <f t="shared" si="20"/>
        <v>PX: Baja Crit.</v>
      </c>
      <c r="T312">
        <f t="shared" si="21"/>
        <v>0</v>
      </c>
      <c r="U312">
        <f t="shared" si="22"/>
        <v>0</v>
      </c>
      <c r="V312">
        <f t="shared" si="23"/>
        <v>1</v>
      </c>
      <c r="W312">
        <f t="shared" si="24"/>
        <v>0</v>
      </c>
      <c r="X312">
        <v>1</v>
      </c>
      <c r="Y312" s="2">
        <v>45768</v>
      </c>
      <c r="Z312" s="3" t="s">
        <v>89</v>
      </c>
      <c r="AA312" t="s">
        <v>39</v>
      </c>
      <c r="AB312" t="s">
        <v>40</v>
      </c>
      <c r="AC312" t="s">
        <v>40</v>
      </c>
      <c r="AD312" t="s">
        <v>41</v>
      </c>
    </row>
    <row r="313" spans="2:30">
      <c r="B313">
        <v>8</v>
      </c>
      <c r="C313">
        <v>1020</v>
      </c>
      <c r="D313" t="s">
        <v>29</v>
      </c>
      <c r="E313">
        <v>10044349</v>
      </c>
      <c r="F313" t="s">
        <v>397</v>
      </c>
      <c r="G313" t="s">
        <v>43</v>
      </c>
      <c r="H313" t="s">
        <v>32</v>
      </c>
      <c r="I313" t="s">
        <v>33</v>
      </c>
      <c r="J313" t="s">
        <v>45</v>
      </c>
      <c r="K313" t="s">
        <v>35</v>
      </c>
      <c r="L313" t="s">
        <v>36</v>
      </c>
      <c r="M313" t="s">
        <v>46</v>
      </c>
      <c r="N313">
        <v>6</v>
      </c>
      <c r="O313">
        <v>5</v>
      </c>
      <c r="P313">
        <v>1</v>
      </c>
      <c r="Q313">
        <v>6</v>
      </c>
      <c r="R313">
        <v>810.33</v>
      </c>
      <c r="S313" t="str">
        <f t="shared" si="20"/>
        <v>PY: Media Crit.</v>
      </c>
      <c r="T313">
        <f t="shared" si="21"/>
        <v>0</v>
      </c>
      <c r="U313">
        <f t="shared" si="22"/>
        <v>0</v>
      </c>
      <c r="V313">
        <f t="shared" si="23"/>
        <v>1</v>
      </c>
      <c r="W313">
        <f t="shared" si="24"/>
        <v>0</v>
      </c>
      <c r="X313">
        <v>1</v>
      </c>
      <c r="Y313" s="2">
        <v>45768</v>
      </c>
      <c r="Z313" s="3" t="s">
        <v>47</v>
      </c>
      <c r="AA313" t="s">
        <v>39</v>
      </c>
      <c r="AB313" t="s">
        <v>40</v>
      </c>
      <c r="AC313" t="s">
        <v>40</v>
      </c>
      <c r="AD313" t="s">
        <v>41</v>
      </c>
    </row>
    <row r="314" spans="2:30">
      <c r="B314">
        <v>8</v>
      </c>
      <c r="C314">
        <v>1020</v>
      </c>
      <c r="D314" t="s">
        <v>29</v>
      </c>
      <c r="E314">
        <v>10037406</v>
      </c>
      <c r="F314" t="s">
        <v>398</v>
      </c>
      <c r="G314" t="s">
        <v>31</v>
      </c>
      <c r="H314" t="s">
        <v>32</v>
      </c>
      <c r="I314" t="s">
        <v>33</v>
      </c>
      <c r="J314" t="s">
        <v>45</v>
      </c>
      <c r="K314" t="s">
        <v>35</v>
      </c>
      <c r="L314" t="s">
        <v>36</v>
      </c>
      <c r="M314" t="s">
        <v>88</v>
      </c>
      <c r="N314">
        <v>10</v>
      </c>
      <c r="O314">
        <v>6</v>
      </c>
      <c r="P314">
        <v>2</v>
      </c>
      <c r="Q314">
        <v>10</v>
      </c>
      <c r="R314">
        <v>142.19</v>
      </c>
      <c r="S314" t="str">
        <f t="shared" si="20"/>
        <v>PX: Baja Crit.</v>
      </c>
      <c r="T314">
        <f t="shared" si="21"/>
        <v>0</v>
      </c>
      <c r="U314">
        <f t="shared" si="22"/>
        <v>0</v>
      </c>
      <c r="V314">
        <f t="shared" si="23"/>
        <v>1</v>
      </c>
      <c r="W314">
        <f t="shared" si="24"/>
        <v>0</v>
      </c>
      <c r="X314">
        <v>1</v>
      </c>
      <c r="Y314" s="2">
        <v>45768</v>
      </c>
      <c r="Z314" s="3" t="s">
        <v>89</v>
      </c>
      <c r="AA314" t="s">
        <v>39</v>
      </c>
      <c r="AB314" t="s">
        <v>40</v>
      </c>
      <c r="AC314" t="s">
        <v>40</v>
      </c>
      <c r="AD314" t="s">
        <v>41</v>
      </c>
    </row>
    <row r="315" spans="2:30">
      <c r="B315">
        <v>8</v>
      </c>
      <c r="C315">
        <v>1020</v>
      </c>
      <c r="D315" t="s">
        <v>29</v>
      </c>
      <c r="E315">
        <v>10296211</v>
      </c>
      <c r="F315" t="s">
        <v>399</v>
      </c>
      <c r="G315" t="s">
        <v>43</v>
      </c>
      <c r="H315" t="s">
        <v>32</v>
      </c>
      <c r="I315" t="s">
        <v>33</v>
      </c>
      <c r="J315" t="s">
        <v>45</v>
      </c>
      <c r="K315" t="s">
        <v>35</v>
      </c>
      <c r="L315" t="s">
        <v>36</v>
      </c>
      <c r="M315" t="s">
        <v>69</v>
      </c>
      <c r="N315">
        <v>5</v>
      </c>
      <c r="O315">
        <v>5</v>
      </c>
      <c r="P315">
        <v>0</v>
      </c>
      <c r="Q315">
        <v>5</v>
      </c>
      <c r="R315">
        <v>918.31</v>
      </c>
      <c r="S315" t="str">
        <f t="shared" si="20"/>
        <v>PY: Media Crit.</v>
      </c>
      <c r="T315">
        <f t="shared" si="21"/>
        <v>0</v>
      </c>
      <c r="U315">
        <f t="shared" si="22"/>
        <v>0</v>
      </c>
      <c r="V315">
        <f t="shared" si="23"/>
        <v>1</v>
      </c>
      <c r="W315">
        <f t="shared" si="24"/>
        <v>0</v>
      </c>
      <c r="X315">
        <v>1</v>
      </c>
      <c r="Y315" s="2">
        <v>45768</v>
      </c>
      <c r="Z315" s="3" t="s">
        <v>70</v>
      </c>
      <c r="AA315" t="s">
        <v>39</v>
      </c>
      <c r="AB315" t="s">
        <v>40</v>
      </c>
      <c r="AC315" t="s">
        <v>40</v>
      </c>
      <c r="AD315" t="s">
        <v>41</v>
      </c>
    </row>
    <row r="316" spans="2:30">
      <c r="B316">
        <v>8</v>
      </c>
      <c r="C316">
        <v>1020</v>
      </c>
      <c r="D316" t="s">
        <v>29</v>
      </c>
      <c r="E316">
        <v>10041229</v>
      </c>
      <c r="F316" t="s">
        <v>400</v>
      </c>
      <c r="G316" t="s">
        <v>31</v>
      </c>
      <c r="H316" t="s">
        <v>32</v>
      </c>
      <c r="I316" t="s">
        <v>33</v>
      </c>
      <c r="J316" t="s">
        <v>45</v>
      </c>
      <c r="K316" t="s">
        <v>252</v>
      </c>
      <c r="L316" t="s">
        <v>36</v>
      </c>
      <c r="M316" t="s">
        <v>69</v>
      </c>
      <c r="N316">
        <v>200</v>
      </c>
      <c r="O316">
        <v>100</v>
      </c>
      <c r="P316">
        <v>0</v>
      </c>
      <c r="Q316">
        <v>400</v>
      </c>
      <c r="R316">
        <v>398.03</v>
      </c>
      <c r="S316" t="str">
        <f t="shared" si="20"/>
        <v>PX: Baja Crit.</v>
      </c>
      <c r="T316">
        <f t="shared" si="21"/>
        <v>0</v>
      </c>
      <c r="U316">
        <f t="shared" si="22"/>
        <v>0</v>
      </c>
      <c r="V316">
        <f t="shared" si="23"/>
        <v>0</v>
      </c>
      <c r="W316">
        <f t="shared" si="24"/>
        <v>1</v>
      </c>
      <c r="X316">
        <v>1</v>
      </c>
      <c r="Y316" s="2">
        <v>45768</v>
      </c>
      <c r="Z316" s="3" t="s">
        <v>70</v>
      </c>
      <c r="AA316" t="s">
        <v>39</v>
      </c>
      <c r="AB316" t="s">
        <v>40</v>
      </c>
      <c r="AC316" t="s">
        <v>40</v>
      </c>
      <c r="AD316" t="s">
        <v>41</v>
      </c>
    </row>
    <row r="317" spans="2:30">
      <c r="B317">
        <v>8</v>
      </c>
      <c r="C317">
        <v>1020</v>
      </c>
      <c r="D317" t="s">
        <v>29</v>
      </c>
      <c r="E317">
        <v>10050559</v>
      </c>
      <c r="F317" t="s">
        <v>401</v>
      </c>
      <c r="G317" t="s">
        <v>31</v>
      </c>
      <c r="H317" t="s">
        <v>32</v>
      </c>
      <c r="I317" t="s">
        <v>33</v>
      </c>
      <c r="J317" t="s">
        <v>34</v>
      </c>
      <c r="K317" t="s">
        <v>35</v>
      </c>
      <c r="L317" t="s">
        <v>36</v>
      </c>
      <c r="M317" t="s">
        <v>55</v>
      </c>
      <c r="N317">
        <v>90</v>
      </c>
      <c r="O317">
        <v>51</v>
      </c>
      <c r="P317">
        <v>10</v>
      </c>
      <c r="Q317">
        <v>72</v>
      </c>
      <c r="R317">
        <v>219.55</v>
      </c>
      <c r="S317" t="str">
        <f t="shared" si="20"/>
        <v>PX: Baja Crit.</v>
      </c>
      <c r="T317">
        <f t="shared" si="21"/>
        <v>0</v>
      </c>
      <c r="U317">
        <f t="shared" si="22"/>
        <v>0</v>
      </c>
      <c r="V317">
        <f t="shared" si="23"/>
        <v>1</v>
      </c>
      <c r="W317">
        <f t="shared" si="24"/>
        <v>0</v>
      </c>
      <c r="X317">
        <v>1</v>
      </c>
      <c r="Y317" s="2">
        <v>45768</v>
      </c>
      <c r="Z317" s="3" t="s">
        <v>56</v>
      </c>
      <c r="AA317" t="s">
        <v>39</v>
      </c>
      <c r="AB317" t="s">
        <v>40</v>
      </c>
      <c r="AC317" t="s">
        <v>40</v>
      </c>
      <c r="AD317" t="s">
        <v>41</v>
      </c>
    </row>
    <row r="318" spans="2:30">
      <c r="B318">
        <v>8</v>
      </c>
      <c r="C318">
        <v>1020</v>
      </c>
      <c r="D318" t="s">
        <v>29</v>
      </c>
      <c r="E318">
        <v>10056928</v>
      </c>
      <c r="F318" t="s">
        <v>402</v>
      </c>
      <c r="G318" t="s">
        <v>43</v>
      </c>
      <c r="H318" t="s">
        <v>32</v>
      </c>
      <c r="I318" t="s">
        <v>33</v>
      </c>
      <c r="J318" t="s">
        <v>45</v>
      </c>
      <c r="K318" t="s">
        <v>35</v>
      </c>
      <c r="L318" t="s">
        <v>36</v>
      </c>
      <c r="M318" t="s">
        <v>37</v>
      </c>
      <c r="N318">
        <v>10</v>
      </c>
      <c r="O318">
        <v>6</v>
      </c>
      <c r="P318">
        <v>2</v>
      </c>
      <c r="Q318">
        <v>7</v>
      </c>
      <c r="R318">
        <v>317.08999999999997</v>
      </c>
      <c r="S318" t="str">
        <f t="shared" si="20"/>
        <v>PY: Media Crit.</v>
      </c>
      <c r="T318">
        <f t="shared" si="21"/>
        <v>0</v>
      </c>
      <c r="U318">
        <f t="shared" si="22"/>
        <v>0</v>
      </c>
      <c r="V318">
        <f t="shared" si="23"/>
        <v>1</v>
      </c>
      <c r="W318">
        <f t="shared" si="24"/>
        <v>0</v>
      </c>
      <c r="X318">
        <v>1</v>
      </c>
      <c r="Y318" s="2">
        <v>45768</v>
      </c>
      <c r="Z318" s="3" t="s">
        <v>38</v>
      </c>
      <c r="AA318" t="s">
        <v>39</v>
      </c>
      <c r="AB318" t="s">
        <v>40</v>
      </c>
      <c r="AC318" t="s">
        <v>40</v>
      </c>
      <c r="AD318" t="s">
        <v>41</v>
      </c>
    </row>
    <row r="319" spans="2:30">
      <c r="B319">
        <v>8</v>
      </c>
      <c r="C319">
        <v>1020</v>
      </c>
      <c r="D319" t="s">
        <v>29</v>
      </c>
      <c r="E319">
        <v>10048328</v>
      </c>
      <c r="F319" t="s">
        <v>403</v>
      </c>
      <c r="G319" t="s">
        <v>52</v>
      </c>
      <c r="H319" t="s">
        <v>44</v>
      </c>
      <c r="I319" t="s">
        <v>33</v>
      </c>
      <c r="J319" t="s">
        <v>45</v>
      </c>
      <c r="K319" t="s">
        <v>35</v>
      </c>
      <c r="L319" t="s">
        <v>36</v>
      </c>
      <c r="M319" t="s">
        <v>46</v>
      </c>
      <c r="N319">
        <v>15</v>
      </c>
      <c r="O319">
        <v>10</v>
      </c>
      <c r="P319">
        <v>3</v>
      </c>
      <c r="Q319">
        <v>15</v>
      </c>
      <c r="R319" s="4">
        <v>1232.56</v>
      </c>
      <c r="S319" t="str">
        <f t="shared" si="20"/>
        <v>PZ: Alta Crit.</v>
      </c>
      <c r="T319">
        <f t="shared" si="21"/>
        <v>0</v>
      </c>
      <c r="U319">
        <f t="shared" si="22"/>
        <v>0</v>
      </c>
      <c r="V319">
        <f t="shared" si="23"/>
        <v>1</v>
      </c>
      <c r="W319">
        <f t="shared" si="24"/>
        <v>0</v>
      </c>
      <c r="X319">
        <v>1</v>
      </c>
      <c r="Y319" s="2">
        <v>45768</v>
      </c>
      <c r="Z319" s="3" t="s">
        <v>47</v>
      </c>
      <c r="AA319" t="s">
        <v>39</v>
      </c>
      <c r="AB319" t="s">
        <v>76</v>
      </c>
      <c r="AC319" s="5" t="s">
        <v>77</v>
      </c>
      <c r="AD319" t="s">
        <v>41</v>
      </c>
    </row>
    <row r="320" spans="2:30">
      <c r="B320">
        <v>8</v>
      </c>
      <c r="C320">
        <v>1020</v>
      </c>
      <c r="D320" t="s">
        <v>29</v>
      </c>
      <c r="E320">
        <v>10049916</v>
      </c>
      <c r="F320" t="s">
        <v>404</v>
      </c>
      <c r="G320" t="s">
        <v>31</v>
      </c>
      <c r="H320" t="s">
        <v>32</v>
      </c>
      <c r="I320" t="s">
        <v>33</v>
      </c>
      <c r="J320" t="s">
        <v>34</v>
      </c>
      <c r="K320" t="s">
        <v>35</v>
      </c>
      <c r="L320" t="s">
        <v>36</v>
      </c>
      <c r="M320" t="s">
        <v>55</v>
      </c>
      <c r="N320">
        <v>150</v>
      </c>
      <c r="O320">
        <v>91</v>
      </c>
      <c r="P320">
        <v>20</v>
      </c>
      <c r="Q320">
        <v>233</v>
      </c>
      <c r="R320">
        <v>34.25</v>
      </c>
      <c r="S320" t="str">
        <f t="shared" si="20"/>
        <v>PX: Baja Crit.</v>
      </c>
      <c r="T320">
        <f t="shared" si="21"/>
        <v>0</v>
      </c>
      <c r="U320">
        <f t="shared" si="22"/>
        <v>0</v>
      </c>
      <c r="V320">
        <f t="shared" si="23"/>
        <v>0</v>
      </c>
      <c r="W320">
        <f t="shared" si="24"/>
        <v>1</v>
      </c>
      <c r="X320">
        <v>1</v>
      </c>
      <c r="Y320" s="2">
        <v>45768</v>
      </c>
      <c r="Z320" s="3" t="s">
        <v>56</v>
      </c>
      <c r="AA320" t="s">
        <v>39</v>
      </c>
      <c r="AB320" t="s">
        <v>40</v>
      </c>
      <c r="AC320" t="s">
        <v>40</v>
      </c>
      <c r="AD320" t="s">
        <v>41</v>
      </c>
    </row>
    <row r="321" spans="2:30">
      <c r="B321">
        <v>8</v>
      </c>
      <c r="C321">
        <v>1020</v>
      </c>
      <c r="D321" t="s">
        <v>29</v>
      </c>
      <c r="E321">
        <v>10045689</v>
      </c>
      <c r="F321" t="s">
        <v>405</v>
      </c>
      <c r="G321" t="s">
        <v>31</v>
      </c>
      <c r="H321" t="s">
        <v>32</v>
      </c>
      <c r="I321" t="s">
        <v>33</v>
      </c>
      <c r="J321" t="s">
        <v>34</v>
      </c>
      <c r="K321" t="s">
        <v>35</v>
      </c>
      <c r="L321" t="s">
        <v>36</v>
      </c>
      <c r="M321" t="s">
        <v>55</v>
      </c>
      <c r="N321">
        <v>50</v>
      </c>
      <c r="O321">
        <v>21</v>
      </c>
      <c r="P321">
        <v>10</v>
      </c>
      <c r="Q321">
        <v>10</v>
      </c>
      <c r="R321">
        <v>1.19</v>
      </c>
      <c r="S321" t="str">
        <f t="shared" si="20"/>
        <v>PX: Baja Crit.</v>
      </c>
      <c r="T321">
        <f t="shared" si="21"/>
        <v>0</v>
      </c>
      <c r="U321">
        <f t="shared" si="22"/>
        <v>1</v>
      </c>
      <c r="V321">
        <f t="shared" si="23"/>
        <v>0</v>
      </c>
      <c r="W321">
        <f t="shared" si="24"/>
        <v>0</v>
      </c>
      <c r="X321">
        <v>1</v>
      </c>
      <c r="Y321" s="2">
        <v>45768</v>
      </c>
      <c r="Z321" s="3" t="s">
        <v>56</v>
      </c>
      <c r="AA321" t="s">
        <v>39</v>
      </c>
      <c r="AB321" t="s">
        <v>40</v>
      </c>
      <c r="AC321" t="s">
        <v>40</v>
      </c>
      <c r="AD321" t="s">
        <v>41</v>
      </c>
    </row>
    <row r="322" spans="2:30">
      <c r="B322">
        <v>8</v>
      </c>
      <c r="C322">
        <v>1020</v>
      </c>
      <c r="D322" t="s">
        <v>29</v>
      </c>
      <c r="E322">
        <v>10049906</v>
      </c>
      <c r="F322" t="s">
        <v>406</v>
      </c>
      <c r="G322" t="s">
        <v>31</v>
      </c>
      <c r="H322" t="s">
        <v>32</v>
      </c>
      <c r="I322" t="s">
        <v>33</v>
      </c>
      <c r="J322" t="s">
        <v>34</v>
      </c>
      <c r="K322" t="s">
        <v>35</v>
      </c>
      <c r="L322" t="s">
        <v>36</v>
      </c>
      <c r="M322" t="s">
        <v>55</v>
      </c>
      <c r="N322">
        <v>200</v>
      </c>
      <c r="O322">
        <v>101</v>
      </c>
      <c r="P322">
        <v>20</v>
      </c>
      <c r="Q322">
        <v>33</v>
      </c>
      <c r="R322">
        <v>16.079999999999998</v>
      </c>
      <c r="S322" t="str">
        <f t="shared" ref="S322:S385" si="25">+IF(G322="PZ", "PZ: Alta Crit.",IF(G322="PY","PY: Media Crit.", "PX: Baja Crit."))</f>
        <v>PX: Baja Crit.</v>
      </c>
      <c r="T322">
        <f t="shared" ref="T322:T385" si="26">+IF(Q322=0,1,0)</f>
        <v>0</v>
      </c>
      <c r="U322">
        <f t="shared" ref="U322:U385" si="27">+IF(AND(Q322&lt;=P322,Q322&gt;0),1,0)</f>
        <v>0</v>
      </c>
      <c r="V322">
        <f t="shared" ref="V322:V385" si="28">+IF(AND(Q322&gt;P322,Q322&lt;=N322),1,0)</f>
        <v>1</v>
      </c>
      <c r="W322">
        <f t="shared" ref="W322:W385" si="29">+IF(Q322&gt;N322,1,0)</f>
        <v>0</v>
      </c>
      <c r="X322">
        <v>1</v>
      </c>
      <c r="Y322" s="2">
        <v>45768</v>
      </c>
      <c r="Z322" s="3" t="s">
        <v>56</v>
      </c>
      <c r="AA322" t="s">
        <v>39</v>
      </c>
      <c r="AB322" t="s">
        <v>76</v>
      </c>
      <c r="AC322" s="5" t="s">
        <v>77</v>
      </c>
      <c r="AD322" t="s">
        <v>41</v>
      </c>
    </row>
    <row r="323" spans="2:30">
      <c r="B323">
        <v>8</v>
      </c>
      <c r="C323">
        <v>1020</v>
      </c>
      <c r="D323" t="s">
        <v>29</v>
      </c>
      <c r="E323">
        <v>10014013</v>
      </c>
      <c r="F323" t="s">
        <v>407</v>
      </c>
      <c r="G323" t="s">
        <v>31</v>
      </c>
      <c r="H323" t="s">
        <v>32</v>
      </c>
      <c r="I323" t="s">
        <v>33</v>
      </c>
      <c r="J323" t="s">
        <v>45</v>
      </c>
      <c r="K323" t="s">
        <v>35</v>
      </c>
      <c r="L323" t="s">
        <v>36</v>
      </c>
      <c r="M323" t="s">
        <v>37</v>
      </c>
      <c r="N323">
        <v>8</v>
      </c>
      <c r="O323">
        <v>5</v>
      </c>
      <c r="P323">
        <v>1</v>
      </c>
      <c r="Q323">
        <v>7</v>
      </c>
      <c r="R323">
        <v>298.83999999999997</v>
      </c>
      <c r="S323" t="str">
        <f t="shared" si="25"/>
        <v>PX: Baja Crit.</v>
      </c>
      <c r="T323">
        <f t="shared" si="26"/>
        <v>0</v>
      </c>
      <c r="U323">
        <f t="shared" si="27"/>
        <v>0</v>
      </c>
      <c r="V323">
        <f t="shared" si="28"/>
        <v>1</v>
      </c>
      <c r="W323">
        <f t="shared" si="29"/>
        <v>0</v>
      </c>
      <c r="X323">
        <v>1</v>
      </c>
      <c r="Y323" s="2">
        <v>45768</v>
      </c>
      <c r="Z323" s="3" t="s">
        <v>38</v>
      </c>
      <c r="AA323" t="s">
        <v>39</v>
      </c>
      <c r="AB323" t="s">
        <v>40</v>
      </c>
      <c r="AC323" t="s">
        <v>40</v>
      </c>
      <c r="AD323" t="s">
        <v>41</v>
      </c>
    </row>
    <row r="324" spans="2:30">
      <c r="B324">
        <v>8</v>
      </c>
      <c r="C324">
        <v>1020</v>
      </c>
      <c r="D324" t="s">
        <v>29</v>
      </c>
      <c r="E324">
        <v>10056546</v>
      </c>
      <c r="F324" t="s">
        <v>408</v>
      </c>
      <c r="G324" t="s">
        <v>31</v>
      </c>
      <c r="H324" t="s">
        <v>32</v>
      </c>
      <c r="I324" t="s">
        <v>33</v>
      </c>
      <c r="J324" t="s">
        <v>45</v>
      </c>
      <c r="K324" t="s">
        <v>35</v>
      </c>
      <c r="L324" t="s">
        <v>36</v>
      </c>
      <c r="M324" t="s">
        <v>88</v>
      </c>
      <c r="N324">
        <v>30</v>
      </c>
      <c r="O324">
        <v>12</v>
      </c>
      <c r="P324">
        <v>5</v>
      </c>
      <c r="Q324">
        <v>60</v>
      </c>
      <c r="R324">
        <v>185.53</v>
      </c>
      <c r="S324" t="str">
        <f t="shared" si="25"/>
        <v>PX: Baja Crit.</v>
      </c>
      <c r="T324">
        <f t="shared" si="26"/>
        <v>0</v>
      </c>
      <c r="U324">
        <f t="shared" si="27"/>
        <v>0</v>
      </c>
      <c r="V324">
        <f t="shared" si="28"/>
        <v>0</v>
      </c>
      <c r="W324">
        <f t="shared" si="29"/>
        <v>1</v>
      </c>
      <c r="X324">
        <v>1</v>
      </c>
      <c r="Y324" s="2">
        <v>45768</v>
      </c>
      <c r="Z324" s="3" t="s">
        <v>89</v>
      </c>
      <c r="AA324" t="s">
        <v>39</v>
      </c>
      <c r="AB324" t="s">
        <v>40</v>
      </c>
      <c r="AC324" t="s">
        <v>40</v>
      </c>
      <c r="AD324" t="s">
        <v>41</v>
      </c>
    </row>
    <row r="325" spans="2:30">
      <c r="B325">
        <v>8</v>
      </c>
      <c r="C325">
        <v>1020</v>
      </c>
      <c r="D325" t="s">
        <v>29</v>
      </c>
      <c r="E325">
        <v>10049908</v>
      </c>
      <c r="F325" t="s">
        <v>409</v>
      </c>
      <c r="G325" t="s">
        <v>31</v>
      </c>
      <c r="H325" t="s">
        <v>32</v>
      </c>
      <c r="I325" t="s">
        <v>33</v>
      </c>
      <c r="J325" t="s">
        <v>34</v>
      </c>
      <c r="K325" t="s">
        <v>35</v>
      </c>
      <c r="L325" t="s">
        <v>36</v>
      </c>
      <c r="M325" t="s">
        <v>55</v>
      </c>
      <c r="N325">
        <v>200</v>
      </c>
      <c r="O325">
        <v>81</v>
      </c>
      <c r="P325">
        <v>28</v>
      </c>
      <c r="Q325">
        <v>95</v>
      </c>
      <c r="R325">
        <v>34.700000000000003</v>
      </c>
      <c r="S325" t="str">
        <f t="shared" si="25"/>
        <v>PX: Baja Crit.</v>
      </c>
      <c r="T325">
        <f t="shared" si="26"/>
        <v>0</v>
      </c>
      <c r="U325">
        <f t="shared" si="27"/>
        <v>0</v>
      </c>
      <c r="V325">
        <f t="shared" si="28"/>
        <v>1</v>
      </c>
      <c r="W325">
        <f t="shared" si="29"/>
        <v>0</v>
      </c>
      <c r="X325">
        <v>1</v>
      </c>
      <c r="Y325" s="2">
        <v>45768</v>
      </c>
      <c r="Z325" s="3" t="s">
        <v>56</v>
      </c>
      <c r="AA325" t="s">
        <v>39</v>
      </c>
      <c r="AB325" t="s">
        <v>40</v>
      </c>
      <c r="AC325" t="s">
        <v>40</v>
      </c>
      <c r="AD325" t="s">
        <v>41</v>
      </c>
    </row>
    <row r="326" spans="2:30">
      <c r="B326">
        <v>8</v>
      </c>
      <c r="C326">
        <v>1020</v>
      </c>
      <c r="D326" t="s">
        <v>29</v>
      </c>
      <c r="E326">
        <v>10351767</v>
      </c>
      <c r="F326" t="s">
        <v>410</v>
      </c>
      <c r="G326" t="s">
        <v>31</v>
      </c>
      <c r="H326" t="s">
        <v>32</v>
      </c>
      <c r="I326" t="s">
        <v>33</v>
      </c>
      <c r="J326" t="s">
        <v>34</v>
      </c>
      <c r="K326" t="s">
        <v>35</v>
      </c>
      <c r="L326" t="s">
        <v>36</v>
      </c>
      <c r="M326" t="s">
        <v>37</v>
      </c>
      <c r="N326">
        <v>100</v>
      </c>
      <c r="O326">
        <v>41</v>
      </c>
      <c r="P326">
        <v>22</v>
      </c>
      <c r="Q326">
        <v>0</v>
      </c>
      <c r="R326">
        <v>0</v>
      </c>
      <c r="S326" t="str">
        <f t="shared" si="25"/>
        <v>PX: Baja Crit.</v>
      </c>
      <c r="T326">
        <f t="shared" si="26"/>
        <v>1</v>
      </c>
      <c r="U326">
        <f t="shared" si="27"/>
        <v>0</v>
      </c>
      <c r="V326">
        <f t="shared" si="28"/>
        <v>0</v>
      </c>
      <c r="W326">
        <f t="shared" si="29"/>
        <v>0</v>
      </c>
      <c r="X326">
        <v>1</v>
      </c>
      <c r="Y326" s="2">
        <v>45768</v>
      </c>
      <c r="Z326" s="3" t="s">
        <v>38</v>
      </c>
      <c r="AA326" t="s">
        <v>39</v>
      </c>
      <c r="AB326" t="s">
        <v>49</v>
      </c>
      <c r="AC326" s="5" t="s">
        <v>50</v>
      </c>
      <c r="AD326" t="s">
        <v>41</v>
      </c>
    </row>
    <row r="327" spans="2:30">
      <c r="B327">
        <v>8</v>
      </c>
      <c r="C327">
        <v>1020</v>
      </c>
      <c r="D327" t="s">
        <v>29</v>
      </c>
      <c r="E327">
        <v>10040863</v>
      </c>
      <c r="F327" t="s">
        <v>411</v>
      </c>
      <c r="G327" t="s">
        <v>43</v>
      </c>
      <c r="H327" t="s">
        <v>32</v>
      </c>
      <c r="I327" t="s">
        <v>33</v>
      </c>
      <c r="J327" t="s">
        <v>45</v>
      </c>
      <c r="K327" t="s">
        <v>35</v>
      </c>
      <c r="L327" t="s">
        <v>36</v>
      </c>
      <c r="M327" t="s">
        <v>55</v>
      </c>
      <c r="N327">
        <v>100</v>
      </c>
      <c r="O327">
        <v>61</v>
      </c>
      <c r="P327">
        <v>20</v>
      </c>
      <c r="Q327">
        <v>258</v>
      </c>
      <c r="R327">
        <v>198.07</v>
      </c>
      <c r="S327" t="str">
        <f t="shared" si="25"/>
        <v>PY: Media Crit.</v>
      </c>
      <c r="T327">
        <f t="shared" si="26"/>
        <v>0</v>
      </c>
      <c r="U327">
        <f t="shared" si="27"/>
        <v>0</v>
      </c>
      <c r="V327">
        <f t="shared" si="28"/>
        <v>0</v>
      </c>
      <c r="W327">
        <f t="shared" si="29"/>
        <v>1</v>
      </c>
      <c r="X327">
        <v>1</v>
      </c>
      <c r="Y327" s="2">
        <v>45768</v>
      </c>
      <c r="Z327" s="3" t="s">
        <v>56</v>
      </c>
      <c r="AA327" t="s">
        <v>39</v>
      </c>
      <c r="AB327" t="s">
        <v>40</v>
      </c>
      <c r="AC327" t="s">
        <v>40</v>
      </c>
      <c r="AD327" t="s">
        <v>41</v>
      </c>
    </row>
    <row r="328" spans="2:30">
      <c r="B328">
        <v>8</v>
      </c>
      <c r="C328">
        <v>1020</v>
      </c>
      <c r="D328" t="s">
        <v>29</v>
      </c>
      <c r="E328">
        <v>10048484</v>
      </c>
      <c r="F328" t="s">
        <v>412</v>
      </c>
      <c r="G328" t="s">
        <v>52</v>
      </c>
      <c r="H328" t="s">
        <v>44</v>
      </c>
      <c r="I328" t="s">
        <v>33</v>
      </c>
      <c r="J328" t="s">
        <v>45</v>
      </c>
      <c r="K328" t="s">
        <v>62</v>
      </c>
      <c r="L328" t="s">
        <v>36</v>
      </c>
      <c r="M328" t="s">
        <v>46</v>
      </c>
      <c r="N328">
        <v>6</v>
      </c>
      <c r="O328">
        <v>3</v>
      </c>
      <c r="P328">
        <v>2</v>
      </c>
      <c r="Q328">
        <v>39</v>
      </c>
      <c r="R328" s="4">
        <v>3763.79</v>
      </c>
      <c r="S328" t="str">
        <f t="shared" si="25"/>
        <v>PZ: Alta Crit.</v>
      </c>
      <c r="T328">
        <f t="shared" si="26"/>
        <v>0</v>
      </c>
      <c r="U328">
        <f t="shared" si="27"/>
        <v>0</v>
      </c>
      <c r="V328">
        <f t="shared" si="28"/>
        <v>0</v>
      </c>
      <c r="W328">
        <f t="shared" si="29"/>
        <v>1</v>
      </c>
      <c r="X328">
        <v>1</v>
      </c>
      <c r="Y328" s="2">
        <v>45768</v>
      </c>
      <c r="Z328" s="3" t="s">
        <v>47</v>
      </c>
      <c r="AA328" t="s">
        <v>39</v>
      </c>
      <c r="AB328" t="s">
        <v>40</v>
      </c>
      <c r="AC328" t="s">
        <v>40</v>
      </c>
      <c r="AD328" t="s">
        <v>41</v>
      </c>
    </row>
    <row r="329" spans="2:30">
      <c r="B329">
        <v>8</v>
      </c>
      <c r="C329">
        <v>1020</v>
      </c>
      <c r="D329" t="s">
        <v>29</v>
      </c>
      <c r="E329">
        <v>14074170</v>
      </c>
      <c r="F329" t="s">
        <v>413</v>
      </c>
      <c r="G329" t="s">
        <v>43</v>
      </c>
      <c r="H329" t="s">
        <v>32</v>
      </c>
      <c r="I329" t="s">
        <v>33</v>
      </c>
      <c r="J329" t="s">
        <v>45</v>
      </c>
      <c r="K329" t="s">
        <v>35</v>
      </c>
      <c r="L329" t="s">
        <v>36</v>
      </c>
      <c r="M329" t="s">
        <v>37</v>
      </c>
      <c r="N329">
        <v>4</v>
      </c>
      <c r="O329">
        <v>3</v>
      </c>
      <c r="P329">
        <v>1</v>
      </c>
      <c r="Q329">
        <v>4</v>
      </c>
      <c r="R329">
        <v>172.87</v>
      </c>
      <c r="S329" t="str">
        <f t="shared" si="25"/>
        <v>PY: Media Crit.</v>
      </c>
      <c r="T329">
        <f t="shared" si="26"/>
        <v>0</v>
      </c>
      <c r="U329">
        <f t="shared" si="27"/>
        <v>0</v>
      </c>
      <c r="V329">
        <f t="shared" si="28"/>
        <v>1</v>
      </c>
      <c r="W329">
        <f t="shared" si="29"/>
        <v>0</v>
      </c>
      <c r="X329">
        <v>1</v>
      </c>
      <c r="Y329" s="2">
        <v>45768</v>
      </c>
      <c r="Z329" s="3" t="s">
        <v>38</v>
      </c>
      <c r="AA329" t="s">
        <v>39</v>
      </c>
      <c r="AB329" t="s">
        <v>40</v>
      </c>
      <c r="AC329" t="s">
        <v>40</v>
      </c>
      <c r="AD329" t="s">
        <v>41</v>
      </c>
    </row>
    <row r="330" spans="2:30">
      <c r="B330">
        <v>8</v>
      </c>
      <c r="C330">
        <v>1020</v>
      </c>
      <c r="D330" t="s">
        <v>29</v>
      </c>
      <c r="E330">
        <v>10044115</v>
      </c>
      <c r="F330" t="s">
        <v>414</v>
      </c>
      <c r="G330" t="s">
        <v>43</v>
      </c>
      <c r="H330" t="s">
        <v>32</v>
      </c>
      <c r="I330" t="s">
        <v>33</v>
      </c>
      <c r="J330" t="s">
        <v>34</v>
      </c>
      <c r="K330" t="s">
        <v>35</v>
      </c>
      <c r="L330" t="s">
        <v>36</v>
      </c>
      <c r="M330" t="s">
        <v>69</v>
      </c>
      <c r="N330">
        <v>20</v>
      </c>
      <c r="O330">
        <v>11</v>
      </c>
      <c r="P330">
        <v>10</v>
      </c>
      <c r="Q330">
        <v>19</v>
      </c>
      <c r="R330" s="4">
        <v>12615.19</v>
      </c>
      <c r="S330" t="str">
        <f t="shared" si="25"/>
        <v>PY: Media Crit.</v>
      </c>
      <c r="T330">
        <f t="shared" si="26"/>
        <v>0</v>
      </c>
      <c r="U330">
        <f t="shared" si="27"/>
        <v>0</v>
      </c>
      <c r="V330">
        <f t="shared" si="28"/>
        <v>1</v>
      </c>
      <c r="W330">
        <f t="shared" si="29"/>
        <v>0</v>
      </c>
      <c r="X330">
        <v>1</v>
      </c>
      <c r="Y330" s="2">
        <v>45768</v>
      </c>
      <c r="Z330" s="3" t="s">
        <v>70</v>
      </c>
      <c r="AA330" t="s">
        <v>39</v>
      </c>
      <c r="AB330" t="s">
        <v>40</v>
      </c>
      <c r="AC330" t="s">
        <v>40</v>
      </c>
      <c r="AD330" t="s">
        <v>41</v>
      </c>
    </row>
    <row r="331" spans="2:30">
      <c r="B331">
        <v>8</v>
      </c>
      <c r="C331">
        <v>1020</v>
      </c>
      <c r="D331" t="s">
        <v>29</v>
      </c>
      <c r="E331">
        <v>10043082</v>
      </c>
      <c r="F331" t="s">
        <v>415</v>
      </c>
      <c r="G331" t="s">
        <v>43</v>
      </c>
      <c r="H331" t="s">
        <v>32</v>
      </c>
      <c r="I331" t="s">
        <v>33</v>
      </c>
      <c r="J331" t="s">
        <v>34</v>
      </c>
      <c r="K331" t="s">
        <v>35</v>
      </c>
      <c r="L331" t="s">
        <v>36</v>
      </c>
      <c r="M331" t="s">
        <v>37</v>
      </c>
      <c r="N331">
        <v>100</v>
      </c>
      <c r="O331">
        <v>61</v>
      </c>
      <c r="P331">
        <v>20</v>
      </c>
      <c r="Q331">
        <v>100</v>
      </c>
      <c r="R331">
        <v>489.99</v>
      </c>
      <c r="S331" t="str">
        <f t="shared" si="25"/>
        <v>PY: Media Crit.</v>
      </c>
      <c r="T331">
        <f t="shared" si="26"/>
        <v>0</v>
      </c>
      <c r="U331">
        <f t="shared" si="27"/>
        <v>0</v>
      </c>
      <c r="V331">
        <f t="shared" si="28"/>
        <v>1</v>
      </c>
      <c r="W331">
        <f t="shared" si="29"/>
        <v>0</v>
      </c>
      <c r="X331">
        <v>1</v>
      </c>
      <c r="Y331" s="2">
        <v>45768</v>
      </c>
      <c r="Z331" s="3" t="s">
        <v>38</v>
      </c>
      <c r="AA331" t="s">
        <v>39</v>
      </c>
      <c r="AB331" t="s">
        <v>40</v>
      </c>
      <c r="AC331" t="s">
        <v>40</v>
      </c>
      <c r="AD331" t="s">
        <v>41</v>
      </c>
    </row>
    <row r="332" spans="2:30">
      <c r="B332">
        <v>8</v>
      </c>
      <c r="C332">
        <v>1020</v>
      </c>
      <c r="D332" t="s">
        <v>29</v>
      </c>
      <c r="E332">
        <v>10049898</v>
      </c>
      <c r="F332" t="s">
        <v>416</v>
      </c>
      <c r="G332" t="s">
        <v>31</v>
      </c>
      <c r="H332" t="s">
        <v>32</v>
      </c>
      <c r="I332" t="s">
        <v>33</v>
      </c>
      <c r="J332" t="s">
        <v>34</v>
      </c>
      <c r="K332" t="s">
        <v>35</v>
      </c>
      <c r="L332" t="s">
        <v>36</v>
      </c>
      <c r="M332" t="s">
        <v>55</v>
      </c>
      <c r="N332">
        <v>60</v>
      </c>
      <c r="O332">
        <v>41</v>
      </c>
      <c r="P332">
        <v>5</v>
      </c>
      <c r="Q332">
        <v>37</v>
      </c>
      <c r="R332">
        <v>18.920000000000002</v>
      </c>
      <c r="S332" t="str">
        <f t="shared" si="25"/>
        <v>PX: Baja Crit.</v>
      </c>
      <c r="T332">
        <f t="shared" si="26"/>
        <v>0</v>
      </c>
      <c r="U332">
        <f t="shared" si="27"/>
        <v>0</v>
      </c>
      <c r="V332">
        <f t="shared" si="28"/>
        <v>1</v>
      </c>
      <c r="W332">
        <f t="shared" si="29"/>
        <v>0</v>
      </c>
      <c r="X332">
        <v>1</v>
      </c>
      <c r="Y332" s="2">
        <v>45768</v>
      </c>
      <c r="Z332" s="3" t="s">
        <v>56</v>
      </c>
      <c r="AA332" t="s">
        <v>39</v>
      </c>
      <c r="AB332" t="s">
        <v>49</v>
      </c>
      <c r="AC332" s="5" t="s">
        <v>50</v>
      </c>
      <c r="AD332" t="s">
        <v>41</v>
      </c>
    </row>
    <row r="333" spans="2:30">
      <c r="B333">
        <v>8</v>
      </c>
      <c r="C333">
        <v>1020</v>
      </c>
      <c r="D333" t="s">
        <v>29</v>
      </c>
      <c r="E333">
        <v>10158018</v>
      </c>
      <c r="F333" t="s">
        <v>417</v>
      </c>
      <c r="G333" t="s">
        <v>31</v>
      </c>
      <c r="H333" t="s">
        <v>32</v>
      </c>
      <c r="I333" t="s">
        <v>33</v>
      </c>
      <c r="J333" t="s">
        <v>45</v>
      </c>
      <c r="K333" t="s">
        <v>35</v>
      </c>
      <c r="L333" t="s">
        <v>36</v>
      </c>
      <c r="M333" t="s">
        <v>37</v>
      </c>
      <c r="N333">
        <v>6</v>
      </c>
      <c r="O333">
        <v>3</v>
      </c>
      <c r="P333">
        <v>1</v>
      </c>
      <c r="Q333">
        <v>5</v>
      </c>
      <c r="R333">
        <v>296.25</v>
      </c>
      <c r="S333" t="str">
        <f t="shared" si="25"/>
        <v>PX: Baja Crit.</v>
      </c>
      <c r="T333">
        <f t="shared" si="26"/>
        <v>0</v>
      </c>
      <c r="U333">
        <f t="shared" si="27"/>
        <v>0</v>
      </c>
      <c r="V333">
        <f t="shared" si="28"/>
        <v>1</v>
      </c>
      <c r="W333">
        <f t="shared" si="29"/>
        <v>0</v>
      </c>
      <c r="X333">
        <v>1</v>
      </c>
      <c r="Y333" s="2">
        <v>45768</v>
      </c>
      <c r="Z333" s="3" t="s">
        <v>38</v>
      </c>
      <c r="AA333" t="s">
        <v>39</v>
      </c>
      <c r="AB333" t="s">
        <v>40</v>
      </c>
      <c r="AC333" t="s">
        <v>40</v>
      </c>
      <c r="AD333" t="s">
        <v>41</v>
      </c>
    </row>
    <row r="334" spans="2:30">
      <c r="B334">
        <v>8</v>
      </c>
      <c r="C334">
        <v>1020</v>
      </c>
      <c r="D334" t="s">
        <v>29</v>
      </c>
      <c r="E334">
        <v>14065207</v>
      </c>
      <c r="F334" t="s">
        <v>418</v>
      </c>
      <c r="G334" t="s">
        <v>31</v>
      </c>
      <c r="H334" t="s">
        <v>32</v>
      </c>
      <c r="I334" t="s">
        <v>33</v>
      </c>
      <c r="J334" t="s">
        <v>34</v>
      </c>
      <c r="K334" t="s">
        <v>419</v>
      </c>
      <c r="L334" t="s">
        <v>36</v>
      </c>
      <c r="M334" t="s">
        <v>37</v>
      </c>
      <c r="N334">
        <v>12</v>
      </c>
      <c r="O334">
        <v>7</v>
      </c>
      <c r="P334">
        <v>3</v>
      </c>
      <c r="Q334">
        <v>0</v>
      </c>
      <c r="R334">
        <v>0</v>
      </c>
      <c r="S334" t="str">
        <f t="shared" si="25"/>
        <v>PX: Baja Crit.</v>
      </c>
      <c r="T334">
        <f t="shared" si="26"/>
        <v>1</v>
      </c>
      <c r="U334">
        <f t="shared" si="27"/>
        <v>0</v>
      </c>
      <c r="V334">
        <f t="shared" si="28"/>
        <v>0</v>
      </c>
      <c r="W334">
        <f t="shared" si="29"/>
        <v>0</v>
      </c>
      <c r="X334">
        <v>1</v>
      </c>
      <c r="Y334" s="2">
        <v>45768</v>
      </c>
      <c r="Z334" s="3" t="s">
        <v>38</v>
      </c>
      <c r="AA334" t="s">
        <v>39</v>
      </c>
      <c r="AB334" t="s">
        <v>49</v>
      </c>
      <c r="AC334" s="5" t="s">
        <v>50</v>
      </c>
      <c r="AD334" t="s">
        <v>41</v>
      </c>
    </row>
    <row r="335" spans="2:30">
      <c r="B335">
        <v>8</v>
      </c>
      <c r="C335">
        <v>1020</v>
      </c>
      <c r="D335" t="s">
        <v>29</v>
      </c>
      <c r="E335">
        <v>14267169</v>
      </c>
      <c r="F335" t="s">
        <v>420</v>
      </c>
      <c r="G335" t="s">
        <v>43</v>
      </c>
      <c r="H335" t="s">
        <v>44</v>
      </c>
      <c r="I335" t="s">
        <v>33</v>
      </c>
      <c r="J335" t="s">
        <v>45</v>
      </c>
      <c r="K335" t="s">
        <v>35</v>
      </c>
      <c r="L335" t="s">
        <v>36</v>
      </c>
      <c r="M335" t="s">
        <v>46</v>
      </c>
      <c r="N335">
        <v>30</v>
      </c>
      <c r="O335">
        <v>15</v>
      </c>
      <c r="P335">
        <v>0</v>
      </c>
      <c r="Q335">
        <v>19</v>
      </c>
      <c r="R335" s="4">
        <v>3497.93</v>
      </c>
      <c r="S335" t="str">
        <f t="shared" si="25"/>
        <v>PY: Media Crit.</v>
      </c>
      <c r="T335">
        <f t="shared" si="26"/>
        <v>0</v>
      </c>
      <c r="U335">
        <f t="shared" si="27"/>
        <v>0</v>
      </c>
      <c r="V335">
        <f t="shared" si="28"/>
        <v>1</v>
      </c>
      <c r="W335">
        <f t="shared" si="29"/>
        <v>0</v>
      </c>
      <c r="X335">
        <v>1</v>
      </c>
      <c r="Y335" s="2">
        <v>45768</v>
      </c>
      <c r="Z335" s="3" t="s">
        <v>47</v>
      </c>
      <c r="AA335" t="s">
        <v>39</v>
      </c>
      <c r="AB335" t="s">
        <v>40</v>
      </c>
      <c r="AC335" t="s">
        <v>40</v>
      </c>
      <c r="AD335" t="s">
        <v>41</v>
      </c>
    </row>
    <row r="336" spans="2:30">
      <c r="B336">
        <v>8</v>
      </c>
      <c r="C336">
        <v>1020</v>
      </c>
      <c r="D336" t="s">
        <v>29</v>
      </c>
      <c r="E336">
        <v>10054478</v>
      </c>
      <c r="F336" t="s">
        <v>421</v>
      </c>
      <c r="G336" t="s">
        <v>43</v>
      </c>
      <c r="H336" t="s">
        <v>60</v>
      </c>
      <c r="I336" t="s">
        <v>33</v>
      </c>
      <c r="J336" t="s">
        <v>45</v>
      </c>
      <c r="K336" t="s">
        <v>35</v>
      </c>
      <c r="L336" t="s">
        <v>36</v>
      </c>
      <c r="M336" t="s">
        <v>46</v>
      </c>
      <c r="N336">
        <v>15</v>
      </c>
      <c r="O336">
        <v>9</v>
      </c>
      <c r="P336">
        <v>4</v>
      </c>
      <c r="Q336">
        <v>3</v>
      </c>
      <c r="R336" s="4">
        <v>1336.96</v>
      </c>
      <c r="S336" t="str">
        <f t="shared" si="25"/>
        <v>PY: Media Crit.</v>
      </c>
      <c r="T336">
        <f t="shared" si="26"/>
        <v>0</v>
      </c>
      <c r="U336">
        <f t="shared" si="27"/>
        <v>1</v>
      </c>
      <c r="V336">
        <f t="shared" si="28"/>
        <v>0</v>
      </c>
      <c r="W336">
        <f t="shared" si="29"/>
        <v>0</v>
      </c>
      <c r="X336">
        <v>1</v>
      </c>
      <c r="Y336" s="2">
        <v>45768</v>
      </c>
      <c r="Z336" s="3" t="s">
        <v>47</v>
      </c>
      <c r="AA336" t="s">
        <v>39</v>
      </c>
      <c r="AB336" t="s">
        <v>76</v>
      </c>
      <c r="AC336" s="5" t="s">
        <v>77</v>
      </c>
      <c r="AD336" t="s">
        <v>41</v>
      </c>
    </row>
    <row r="337" spans="2:30">
      <c r="B337">
        <v>8</v>
      </c>
      <c r="C337">
        <v>1020</v>
      </c>
      <c r="D337" t="s">
        <v>29</v>
      </c>
      <c r="E337">
        <v>10041715</v>
      </c>
      <c r="F337" t="s">
        <v>422</v>
      </c>
      <c r="G337" t="s">
        <v>52</v>
      </c>
      <c r="H337" t="s">
        <v>32</v>
      </c>
      <c r="I337" t="s">
        <v>33</v>
      </c>
      <c r="J337" t="s">
        <v>34</v>
      </c>
      <c r="K337" t="s">
        <v>35</v>
      </c>
      <c r="L337" t="s">
        <v>36</v>
      </c>
      <c r="M337" t="s">
        <v>46</v>
      </c>
      <c r="N337">
        <v>8</v>
      </c>
      <c r="O337">
        <v>6</v>
      </c>
      <c r="P337">
        <v>2</v>
      </c>
      <c r="Q337">
        <v>8</v>
      </c>
      <c r="R337" s="4">
        <v>2082.52</v>
      </c>
      <c r="S337" t="str">
        <f t="shared" si="25"/>
        <v>PZ: Alta Crit.</v>
      </c>
      <c r="T337">
        <f t="shared" si="26"/>
        <v>0</v>
      </c>
      <c r="U337">
        <f t="shared" si="27"/>
        <v>0</v>
      </c>
      <c r="V337">
        <f t="shared" si="28"/>
        <v>1</v>
      </c>
      <c r="W337">
        <f t="shared" si="29"/>
        <v>0</v>
      </c>
      <c r="X337">
        <v>1</v>
      </c>
      <c r="Y337" s="2">
        <v>45768</v>
      </c>
      <c r="Z337" s="3" t="s">
        <v>47</v>
      </c>
      <c r="AA337" t="s">
        <v>39</v>
      </c>
      <c r="AB337" t="s">
        <v>40</v>
      </c>
      <c r="AC337" t="s">
        <v>40</v>
      </c>
      <c r="AD337" t="s">
        <v>41</v>
      </c>
    </row>
    <row r="338" spans="2:30">
      <c r="B338">
        <v>8</v>
      </c>
      <c r="C338">
        <v>1020</v>
      </c>
      <c r="D338" t="s">
        <v>29</v>
      </c>
      <c r="E338">
        <v>10045676</v>
      </c>
      <c r="F338" t="s">
        <v>423</v>
      </c>
      <c r="G338" t="s">
        <v>31</v>
      </c>
      <c r="H338" t="s">
        <v>32</v>
      </c>
      <c r="I338" t="s">
        <v>33</v>
      </c>
      <c r="J338" t="s">
        <v>45</v>
      </c>
      <c r="K338" t="s">
        <v>35</v>
      </c>
      <c r="L338" t="s">
        <v>36</v>
      </c>
      <c r="M338" t="s">
        <v>55</v>
      </c>
      <c r="N338">
        <v>80</v>
      </c>
      <c r="O338">
        <v>41</v>
      </c>
      <c r="P338">
        <v>17</v>
      </c>
      <c r="Q338">
        <v>58</v>
      </c>
      <c r="R338">
        <v>12.93</v>
      </c>
      <c r="S338" t="str">
        <f t="shared" si="25"/>
        <v>PX: Baja Crit.</v>
      </c>
      <c r="T338">
        <f t="shared" si="26"/>
        <v>0</v>
      </c>
      <c r="U338">
        <f t="shared" si="27"/>
        <v>0</v>
      </c>
      <c r="V338">
        <f t="shared" si="28"/>
        <v>1</v>
      </c>
      <c r="W338">
        <f t="shared" si="29"/>
        <v>0</v>
      </c>
      <c r="X338">
        <v>1</v>
      </c>
      <c r="Y338" s="2">
        <v>45768</v>
      </c>
      <c r="Z338" s="3" t="s">
        <v>56</v>
      </c>
      <c r="AA338" t="s">
        <v>39</v>
      </c>
      <c r="AB338" t="s">
        <v>40</v>
      </c>
      <c r="AC338" t="s">
        <v>40</v>
      </c>
      <c r="AD338" t="s">
        <v>41</v>
      </c>
    </row>
    <row r="339" spans="2:30">
      <c r="B339">
        <v>8</v>
      </c>
      <c r="C339">
        <v>1020</v>
      </c>
      <c r="D339" t="s">
        <v>29</v>
      </c>
      <c r="E339">
        <v>10050417</v>
      </c>
      <c r="F339" t="s">
        <v>424</v>
      </c>
      <c r="G339" t="s">
        <v>31</v>
      </c>
      <c r="H339" t="s">
        <v>32</v>
      </c>
      <c r="I339" t="s">
        <v>33</v>
      </c>
      <c r="J339" t="s">
        <v>34</v>
      </c>
      <c r="K339" t="s">
        <v>35</v>
      </c>
      <c r="L339" t="s">
        <v>36</v>
      </c>
      <c r="M339" t="s">
        <v>37</v>
      </c>
      <c r="N339">
        <v>150</v>
      </c>
      <c r="O339">
        <v>76</v>
      </c>
      <c r="P339">
        <v>25</v>
      </c>
      <c r="Q339">
        <v>128</v>
      </c>
      <c r="R339">
        <v>422.4</v>
      </c>
      <c r="S339" t="str">
        <f t="shared" si="25"/>
        <v>PX: Baja Crit.</v>
      </c>
      <c r="T339">
        <f t="shared" si="26"/>
        <v>0</v>
      </c>
      <c r="U339">
        <f t="shared" si="27"/>
        <v>0</v>
      </c>
      <c r="V339">
        <f t="shared" si="28"/>
        <v>1</v>
      </c>
      <c r="W339">
        <f t="shared" si="29"/>
        <v>0</v>
      </c>
      <c r="X339">
        <v>1</v>
      </c>
      <c r="Y339" s="2">
        <v>45768</v>
      </c>
      <c r="Z339" s="3" t="s">
        <v>38</v>
      </c>
      <c r="AA339" t="s">
        <v>39</v>
      </c>
      <c r="AB339" t="s">
        <v>40</v>
      </c>
      <c r="AC339" t="s">
        <v>40</v>
      </c>
      <c r="AD339" t="s">
        <v>41</v>
      </c>
    </row>
    <row r="340" spans="2:30">
      <c r="B340">
        <v>8</v>
      </c>
      <c r="C340">
        <v>1020</v>
      </c>
      <c r="D340" t="s">
        <v>29</v>
      </c>
      <c r="E340">
        <v>10054045</v>
      </c>
      <c r="F340" t="s">
        <v>425</v>
      </c>
      <c r="G340" t="s">
        <v>43</v>
      </c>
      <c r="H340" t="s">
        <v>60</v>
      </c>
      <c r="I340" t="s">
        <v>33</v>
      </c>
      <c r="J340" t="s">
        <v>45</v>
      </c>
      <c r="K340" t="s">
        <v>35</v>
      </c>
      <c r="L340" t="s">
        <v>36</v>
      </c>
      <c r="M340" t="s">
        <v>117</v>
      </c>
      <c r="N340">
        <v>15</v>
      </c>
      <c r="O340">
        <v>8</v>
      </c>
      <c r="P340">
        <v>2</v>
      </c>
      <c r="Q340">
        <v>15</v>
      </c>
      <c r="R340" s="4">
        <v>2499</v>
      </c>
      <c r="S340" t="str">
        <f t="shared" si="25"/>
        <v>PY: Media Crit.</v>
      </c>
      <c r="T340">
        <f t="shared" si="26"/>
        <v>0</v>
      </c>
      <c r="U340">
        <f t="shared" si="27"/>
        <v>0</v>
      </c>
      <c r="V340">
        <f t="shared" si="28"/>
        <v>1</v>
      </c>
      <c r="W340">
        <f t="shared" si="29"/>
        <v>0</v>
      </c>
      <c r="X340">
        <v>1</v>
      </c>
      <c r="Y340" s="2">
        <v>45768</v>
      </c>
      <c r="Z340" s="3" t="s">
        <v>118</v>
      </c>
      <c r="AA340" t="s">
        <v>39</v>
      </c>
      <c r="AB340" t="s">
        <v>40</v>
      </c>
      <c r="AC340" t="s">
        <v>40</v>
      </c>
      <c r="AD340" t="s">
        <v>41</v>
      </c>
    </row>
    <row r="341" spans="2:30">
      <c r="B341">
        <v>8</v>
      </c>
      <c r="C341">
        <v>1020</v>
      </c>
      <c r="D341" t="s">
        <v>29</v>
      </c>
      <c r="E341">
        <v>10306562</v>
      </c>
      <c r="F341" t="s">
        <v>426</v>
      </c>
      <c r="G341" t="s">
        <v>52</v>
      </c>
      <c r="H341" t="s">
        <v>44</v>
      </c>
      <c r="I341" t="s">
        <v>33</v>
      </c>
      <c r="J341" t="s">
        <v>45</v>
      </c>
      <c r="K341" t="s">
        <v>35</v>
      </c>
      <c r="L341" t="s">
        <v>36</v>
      </c>
      <c r="M341" t="s">
        <v>46</v>
      </c>
      <c r="N341">
        <v>20</v>
      </c>
      <c r="O341">
        <v>10</v>
      </c>
      <c r="P341">
        <v>8</v>
      </c>
      <c r="Q341">
        <v>85</v>
      </c>
      <c r="R341" s="4">
        <v>10523.94</v>
      </c>
      <c r="S341" t="str">
        <f t="shared" si="25"/>
        <v>PZ: Alta Crit.</v>
      </c>
      <c r="T341">
        <f t="shared" si="26"/>
        <v>0</v>
      </c>
      <c r="U341">
        <f t="shared" si="27"/>
        <v>0</v>
      </c>
      <c r="V341">
        <f t="shared" si="28"/>
        <v>0</v>
      </c>
      <c r="W341">
        <f t="shared" si="29"/>
        <v>1</v>
      </c>
      <c r="X341">
        <v>1</v>
      </c>
      <c r="Y341" s="2">
        <v>45768</v>
      </c>
      <c r="Z341" s="3" t="s">
        <v>47</v>
      </c>
      <c r="AA341" t="s">
        <v>39</v>
      </c>
      <c r="AB341" t="s">
        <v>49</v>
      </c>
      <c r="AC341" s="5" t="s">
        <v>50</v>
      </c>
      <c r="AD341" t="s">
        <v>41</v>
      </c>
    </row>
    <row r="342" spans="2:30">
      <c r="B342">
        <v>8</v>
      </c>
      <c r="C342">
        <v>1020</v>
      </c>
      <c r="D342" t="s">
        <v>29</v>
      </c>
      <c r="E342">
        <v>10047168</v>
      </c>
      <c r="F342" t="s">
        <v>427</v>
      </c>
      <c r="G342" t="s">
        <v>43</v>
      </c>
      <c r="H342" t="s">
        <v>32</v>
      </c>
      <c r="I342" t="s">
        <v>33</v>
      </c>
      <c r="J342" t="s">
        <v>34</v>
      </c>
      <c r="K342" t="s">
        <v>35</v>
      </c>
      <c r="L342" t="s">
        <v>36</v>
      </c>
      <c r="M342" t="s">
        <v>37</v>
      </c>
      <c r="N342">
        <v>6</v>
      </c>
      <c r="O342">
        <v>4</v>
      </c>
      <c r="P342">
        <v>1</v>
      </c>
      <c r="Q342">
        <v>4</v>
      </c>
      <c r="R342" s="4">
        <v>1552.51</v>
      </c>
      <c r="S342" t="str">
        <f t="shared" si="25"/>
        <v>PY: Media Crit.</v>
      </c>
      <c r="T342">
        <f t="shared" si="26"/>
        <v>0</v>
      </c>
      <c r="U342">
        <f t="shared" si="27"/>
        <v>0</v>
      </c>
      <c r="V342">
        <f t="shared" si="28"/>
        <v>1</v>
      </c>
      <c r="W342">
        <f t="shared" si="29"/>
        <v>0</v>
      </c>
      <c r="X342">
        <v>1</v>
      </c>
      <c r="Y342" s="2">
        <v>45768</v>
      </c>
      <c r="Z342" s="3" t="s">
        <v>38</v>
      </c>
      <c r="AA342" t="s">
        <v>39</v>
      </c>
      <c r="AB342" t="s">
        <v>40</v>
      </c>
      <c r="AC342" t="s">
        <v>40</v>
      </c>
      <c r="AD342" t="s">
        <v>41</v>
      </c>
    </row>
    <row r="343" spans="2:30">
      <c r="B343">
        <v>8</v>
      </c>
      <c r="C343">
        <v>1020</v>
      </c>
      <c r="D343" t="s">
        <v>29</v>
      </c>
      <c r="E343">
        <v>10055237</v>
      </c>
      <c r="F343" t="s">
        <v>428</v>
      </c>
      <c r="G343" t="s">
        <v>43</v>
      </c>
      <c r="H343" t="s">
        <v>32</v>
      </c>
      <c r="I343" t="s">
        <v>33</v>
      </c>
      <c r="J343" t="s">
        <v>34</v>
      </c>
      <c r="K343" t="s">
        <v>35</v>
      </c>
      <c r="L343" t="s">
        <v>36</v>
      </c>
      <c r="M343" t="s">
        <v>55</v>
      </c>
      <c r="N343">
        <v>80</v>
      </c>
      <c r="O343">
        <v>41</v>
      </c>
      <c r="P343">
        <v>20</v>
      </c>
      <c r="Q343">
        <v>124</v>
      </c>
      <c r="R343">
        <v>339.89</v>
      </c>
      <c r="S343" t="str">
        <f t="shared" si="25"/>
        <v>PY: Media Crit.</v>
      </c>
      <c r="T343">
        <f t="shared" si="26"/>
        <v>0</v>
      </c>
      <c r="U343">
        <f t="shared" si="27"/>
        <v>0</v>
      </c>
      <c r="V343">
        <f t="shared" si="28"/>
        <v>0</v>
      </c>
      <c r="W343">
        <f t="shared" si="29"/>
        <v>1</v>
      </c>
      <c r="X343">
        <v>1</v>
      </c>
      <c r="Y343" s="2">
        <v>45768</v>
      </c>
      <c r="Z343" s="3" t="s">
        <v>56</v>
      </c>
      <c r="AA343" t="s">
        <v>39</v>
      </c>
      <c r="AB343" t="s">
        <v>40</v>
      </c>
      <c r="AC343" t="s">
        <v>40</v>
      </c>
      <c r="AD343" t="s">
        <v>41</v>
      </c>
    </row>
    <row r="344" spans="2:30">
      <c r="B344">
        <v>8</v>
      </c>
      <c r="C344">
        <v>1020</v>
      </c>
      <c r="D344" t="s">
        <v>29</v>
      </c>
      <c r="E344">
        <v>10306533</v>
      </c>
      <c r="F344" t="s">
        <v>429</v>
      </c>
      <c r="G344" t="s">
        <v>52</v>
      </c>
      <c r="H344" t="s">
        <v>32</v>
      </c>
      <c r="I344" t="s">
        <v>33</v>
      </c>
      <c r="J344" t="s">
        <v>45</v>
      </c>
      <c r="K344" t="s">
        <v>35</v>
      </c>
      <c r="L344" t="s">
        <v>36</v>
      </c>
      <c r="M344" t="s">
        <v>46</v>
      </c>
      <c r="N344">
        <v>8</v>
      </c>
      <c r="O344">
        <v>5</v>
      </c>
      <c r="P344">
        <v>2</v>
      </c>
      <c r="Q344">
        <v>40</v>
      </c>
      <c r="R344" s="4">
        <v>5093.88</v>
      </c>
      <c r="S344" t="str">
        <f t="shared" si="25"/>
        <v>PZ: Alta Crit.</v>
      </c>
      <c r="T344">
        <f t="shared" si="26"/>
        <v>0</v>
      </c>
      <c r="U344">
        <f t="shared" si="27"/>
        <v>0</v>
      </c>
      <c r="V344">
        <f t="shared" si="28"/>
        <v>0</v>
      </c>
      <c r="W344">
        <f t="shared" si="29"/>
        <v>1</v>
      </c>
      <c r="X344">
        <v>1</v>
      </c>
      <c r="Y344" s="2">
        <v>45768</v>
      </c>
      <c r="Z344" s="3" t="s">
        <v>47</v>
      </c>
      <c r="AA344" t="s">
        <v>39</v>
      </c>
      <c r="AB344" t="s">
        <v>49</v>
      </c>
      <c r="AC344" s="5" t="s">
        <v>50</v>
      </c>
      <c r="AD344" t="s">
        <v>41</v>
      </c>
    </row>
    <row r="345" spans="2:30">
      <c r="B345">
        <v>8</v>
      </c>
      <c r="C345">
        <v>1020</v>
      </c>
      <c r="D345" t="s">
        <v>29</v>
      </c>
      <c r="E345">
        <v>14090110</v>
      </c>
      <c r="F345" t="s">
        <v>430</v>
      </c>
      <c r="G345" t="s">
        <v>43</v>
      </c>
      <c r="H345" t="s">
        <v>60</v>
      </c>
      <c r="I345" t="s">
        <v>33</v>
      </c>
      <c r="J345" t="s">
        <v>34</v>
      </c>
      <c r="K345" t="s">
        <v>80</v>
      </c>
      <c r="L345" t="s">
        <v>36</v>
      </c>
      <c r="M345" t="s">
        <v>37</v>
      </c>
      <c r="N345">
        <v>12</v>
      </c>
      <c r="O345">
        <v>7</v>
      </c>
      <c r="P345">
        <v>2</v>
      </c>
      <c r="Q345">
        <v>9</v>
      </c>
      <c r="R345">
        <v>450</v>
      </c>
      <c r="S345" t="str">
        <f t="shared" si="25"/>
        <v>PY: Media Crit.</v>
      </c>
      <c r="T345">
        <f t="shared" si="26"/>
        <v>0</v>
      </c>
      <c r="U345">
        <f t="shared" si="27"/>
        <v>0</v>
      </c>
      <c r="V345">
        <f t="shared" si="28"/>
        <v>1</v>
      </c>
      <c r="W345">
        <f t="shared" si="29"/>
        <v>0</v>
      </c>
      <c r="X345">
        <v>1</v>
      </c>
      <c r="Y345" s="2">
        <v>45768</v>
      </c>
      <c r="Z345" s="3" t="s">
        <v>38</v>
      </c>
      <c r="AA345" t="s">
        <v>39</v>
      </c>
      <c r="AB345" t="s">
        <v>40</v>
      </c>
      <c r="AC345" t="s">
        <v>40</v>
      </c>
      <c r="AD345" t="s">
        <v>41</v>
      </c>
    </row>
    <row r="346" spans="2:30">
      <c r="B346">
        <v>8</v>
      </c>
      <c r="C346">
        <v>1020</v>
      </c>
      <c r="D346" t="s">
        <v>29</v>
      </c>
      <c r="E346">
        <v>10056549</v>
      </c>
      <c r="F346" t="s">
        <v>431</v>
      </c>
      <c r="G346" t="s">
        <v>31</v>
      </c>
      <c r="H346" t="s">
        <v>32</v>
      </c>
      <c r="I346" t="s">
        <v>33</v>
      </c>
      <c r="J346" t="s">
        <v>34</v>
      </c>
      <c r="K346" t="s">
        <v>35</v>
      </c>
      <c r="L346" t="s">
        <v>36</v>
      </c>
      <c r="M346" t="s">
        <v>88</v>
      </c>
      <c r="N346">
        <v>80</v>
      </c>
      <c r="O346">
        <v>31</v>
      </c>
      <c r="P346">
        <v>14</v>
      </c>
      <c r="Q346">
        <v>81</v>
      </c>
      <c r="R346">
        <v>94.16</v>
      </c>
      <c r="S346" t="str">
        <f t="shared" si="25"/>
        <v>PX: Baja Crit.</v>
      </c>
      <c r="T346">
        <f t="shared" si="26"/>
        <v>0</v>
      </c>
      <c r="U346">
        <f t="shared" si="27"/>
        <v>0</v>
      </c>
      <c r="V346">
        <f t="shared" si="28"/>
        <v>0</v>
      </c>
      <c r="W346">
        <f t="shared" si="29"/>
        <v>1</v>
      </c>
      <c r="X346">
        <v>1</v>
      </c>
      <c r="Y346" s="2">
        <v>45768</v>
      </c>
      <c r="Z346" s="3" t="s">
        <v>89</v>
      </c>
      <c r="AA346" t="s">
        <v>39</v>
      </c>
      <c r="AB346" t="s">
        <v>40</v>
      </c>
      <c r="AC346" t="s">
        <v>40</v>
      </c>
      <c r="AD346" t="s">
        <v>41</v>
      </c>
    </row>
    <row r="347" spans="2:30">
      <c r="B347">
        <v>8</v>
      </c>
      <c r="C347">
        <v>1020</v>
      </c>
      <c r="D347" t="s">
        <v>29</v>
      </c>
      <c r="E347">
        <v>14313007</v>
      </c>
      <c r="F347" t="s">
        <v>432</v>
      </c>
      <c r="G347" t="s">
        <v>31</v>
      </c>
      <c r="H347" t="s">
        <v>44</v>
      </c>
      <c r="I347" t="s">
        <v>33</v>
      </c>
      <c r="J347" t="s">
        <v>45</v>
      </c>
      <c r="K347" t="s">
        <v>35</v>
      </c>
      <c r="L347" t="s">
        <v>36</v>
      </c>
      <c r="M347" t="s">
        <v>117</v>
      </c>
      <c r="N347">
        <v>400</v>
      </c>
      <c r="O347">
        <v>201</v>
      </c>
      <c r="P347">
        <v>0</v>
      </c>
      <c r="Q347">
        <v>300</v>
      </c>
      <c r="R347" s="4">
        <v>1584.25</v>
      </c>
      <c r="S347" t="str">
        <f t="shared" si="25"/>
        <v>PX: Baja Crit.</v>
      </c>
      <c r="T347">
        <f t="shared" si="26"/>
        <v>0</v>
      </c>
      <c r="U347">
        <f t="shared" si="27"/>
        <v>0</v>
      </c>
      <c r="V347">
        <f t="shared" si="28"/>
        <v>1</v>
      </c>
      <c r="W347">
        <f t="shared" si="29"/>
        <v>0</v>
      </c>
      <c r="X347">
        <v>1</v>
      </c>
      <c r="Y347" s="2">
        <v>45768</v>
      </c>
      <c r="Z347" s="3" t="s">
        <v>118</v>
      </c>
      <c r="AA347" t="s">
        <v>39</v>
      </c>
      <c r="AB347" t="s">
        <v>76</v>
      </c>
      <c r="AC347" s="5" t="s">
        <v>77</v>
      </c>
      <c r="AD347" t="s">
        <v>41</v>
      </c>
    </row>
    <row r="348" spans="2:30">
      <c r="B348">
        <v>8</v>
      </c>
      <c r="C348">
        <v>1020</v>
      </c>
      <c r="D348" t="s">
        <v>29</v>
      </c>
      <c r="E348">
        <v>10045409</v>
      </c>
      <c r="F348" t="s">
        <v>433</v>
      </c>
      <c r="G348" t="s">
        <v>31</v>
      </c>
      <c r="H348" t="s">
        <v>32</v>
      </c>
      <c r="I348" t="s">
        <v>33</v>
      </c>
      <c r="J348" t="s">
        <v>45</v>
      </c>
      <c r="K348" t="s">
        <v>35</v>
      </c>
      <c r="L348" t="s">
        <v>36</v>
      </c>
      <c r="M348" t="s">
        <v>55</v>
      </c>
      <c r="N348">
        <v>200</v>
      </c>
      <c r="O348">
        <v>101</v>
      </c>
      <c r="P348">
        <v>20</v>
      </c>
      <c r="Q348">
        <v>119</v>
      </c>
      <c r="R348">
        <v>83.59</v>
      </c>
      <c r="S348" t="str">
        <f t="shared" si="25"/>
        <v>PX: Baja Crit.</v>
      </c>
      <c r="T348">
        <f t="shared" si="26"/>
        <v>0</v>
      </c>
      <c r="U348">
        <f t="shared" si="27"/>
        <v>0</v>
      </c>
      <c r="V348">
        <f t="shared" si="28"/>
        <v>1</v>
      </c>
      <c r="W348">
        <f t="shared" si="29"/>
        <v>0</v>
      </c>
      <c r="X348">
        <v>1</v>
      </c>
      <c r="Y348" s="2">
        <v>45768</v>
      </c>
      <c r="Z348" s="3" t="s">
        <v>56</v>
      </c>
      <c r="AA348" t="s">
        <v>39</v>
      </c>
      <c r="AB348" t="s">
        <v>40</v>
      </c>
      <c r="AC348" t="s">
        <v>40</v>
      </c>
      <c r="AD348" t="s">
        <v>41</v>
      </c>
    </row>
    <row r="349" spans="2:30">
      <c r="B349">
        <v>8</v>
      </c>
      <c r="C349">
        <v>1020</v>
      </c>
      <c r="D349" t="s">
        <v>29</v>
      </c>
      <c r="E349">
        <v>10054041</v>
      </c>
      <c r="F349" t="s">
        <v>434</v>
      </c>
      <c r="G349" t="s">
        <v>43</v>
      </c>
      <c r="H349" t="s">
        <v>32</v>
      </c>
      <c r="I349" t="s">
        <v>33</v>
      </c>
      <c r="J349" t="s">
        <v>45</v>
      </c>
      <c r="K349" t="s">
        <v>35</v>
      </c>
      <c r="L349" t="s">
        <v>36</v>
      </c>
      <c r="M349" t="s">
        <v>117</v>
      </c>
      <c r="N349">
        <v>20</v>
      </c>
      <c r="O349">
        <v>11</v>
      </c>
      <c r="P349">
        <v>5</v>
      </c>
      <c r="Q349">
        <v>20</v>
      </c>
      <c r="R349">
        <v>882</v>
      </c>
      <c r="S349" t="str">
        <f t="shared" si="25"/>
        <v>PY: Media Crit.</v>
      </c>
      <c r="T349">
        <f t="shared" si="26"/>
        <v>0</v>
      </c>
      <c r="U349">
        <f t="shared" si="27"/>
        <v>0</v>
      </c>
      <c r="V349">
        <f t="shared" si="28"/>
        <v>1</v>
      </c>
      <c r="W349">
        <f t="shared" si="29"/>
        <v>0</v>
      </c>
      <c r="X349">
        <v>1</v>
      </c>
      <c r="Y349" s="2">
        <v>45768</v>
      </c>
      <c r="Z349" s="3" t="s">
        <v>118</v>
      </c>
      <c r="AA349" t="s">
        <v>39</v>
      </c>
      <c r="AB349" t="s">
        <v>40</v>
      </c>
      <c r="AC349" t="s">
        <v>40</v>
      </c>
      <c r="AD349" t="s">
        <v>41</v>
      </c>
    </row>
    <row r="350" spans="2:30">
      <c r="B350">
        <v>8</v>
      </c>
      <c r="C350">
        <v>1020</v>
      </c>
      <c r="D350" t="s">
        <v>29</v>
      </c>
      <c r="E350">
        <v>10004680</v>
      </c>
      <c r="F350" t="s">
        <v>435</v>
      </c>
      <c r="G350" t="s">
        <v>43</v>
      </c>
      <c r="H350" t="s">
        <v>32</v>
      </c>
      <c r="I350" t="s">
        <v>33</v>
      </c>
      <c r="J350" t="s">
        <v>34</v>
      </c>
      <c r="K350" t="s">
        <v>35</v>
      </c>
      <c r="L350" t="s">
        <v>36</v>
      </c>
      <c r="M350" t="s">
        <v>37</v>
      </c>
      <c r="N350">
        <v>10</v>
      </c>
      <c r="O350">
        <v>6</v>
      </c>
      <c r="P350">
        <v>3</v>
      </c>
      <c r="Q350">
        <v>0</v>
      </c>
      <c r="R350">
        <v>0</v>
      </c>
      <c r="S350" t="str">
        <f t="shared" si="25"/>
        <v>PY: Media Crit.</v>
      </c>
      <c r="T350">
        <f t="shared" si="26"/>
        <v>1</v>
      </c>
      <c r="U350">
        <f t="shared" si="27"/>
        <v>0</v>
      </c>
      <c r="V350">
        <f t="shared" si="28"/>
        <v>0</v>
      </c>
      <c r="W350">
        <f t="shared" si="29"/>
        <v>0</v>
      </c>
      <c r="X350">
        <v>1</v>
      </c>
      <c r="Y350" s="2">
        <v>45768</v>
      </c>
      <c r="Z350" s="3" t="s">
        <v>38</v>
      </c>
      <c r="AA350" t="s">
        <v>39</v>
      </c>
      <c r="AB350" t="s">
        <v>49</v>
      </c>
      <c r="AC350" s="5" t="s">
        <v>50</v>
      </c>
      <c r="AD350" t="s">
        <v>41</v>
      </c>
    </row>
    <row r="351" spans="2:30">
      <c r="B351">
        <v>8</v>
      </c>
      <c r="C351">
        <v>1020</v>
      </c>
      <c r="D351" t="s">
        <v>29</v>
      </c>
      <c r="E351">
        <v>10048473</v>
      </c>
      <c r="F351" t="s">
        <v>436</v>
      </c>
      <c r="G351" t="s">
        <v>52</v>
      </c>
      <c r="H351" t="s">
        <v>32</v>
      </c>
      <c r="I351" t="s">
        <v>33</v>
      </c>
      <c r="J351" t="s">
        <v>45</v>
      </c>
      <c r="K351" t="s">
        <v>62</v>
      </c>
      <c r="L351" t="s">
        <v>36</v>
      </c>
      <c r="M351" t="s">
        <v>46</v>
      </c>
      <c r="N351">
        <v>10</v>
      </c>
      <c r="O351">
        <v>3</v>
      </c>
      <c r="P351">
        <v>2</v>
      </c>
      <c r="Q351">
        <v>26</v>
      </c>
      <c r="R351" s="4">
        <v>2519.3200000000002</v>
      </c>
      <c r="S351" t="str">
        <f t="shared" si="25"/>
        <v>PZ: Alta Crit.</v>
      </c>
      <c r="T351">
        <f t="shared" si="26"/>
        <v>0</v>
      </c>
      <c r="U351">
        <f t="shared" si="27"/>
        <v>0</v>
      </c>
      <c r="V351">
        <f t="shared" si="28"/>
        <v>0</v>
      </c>
      <c r="W351">
        <f t="shared" si="29"/>
        <v>1</v>
      </c>
      <c r="X351">
        <v>1</v>
      </c>
      <c r="Y351" s="2">
        <v>45768</v>
      </c>
      <c r="Z351" s="3" t="s">
        <v>47</v>
      </c>
      <c r="AA351" t="s">
        <v>39</v>
      </c>
      <c r="AB351" t="s">
        <v>76</v>
      </c>
      <c r="AC351" s="5" t="s">
        <v>77</v>
      </c>
      <c r="AD351" t="s">
        <v>41</v>
      </c>
    </row>
    <row r="352" spans="2:30">
      <c r="B352">
        <v>8</v>
      </c>
      <c r="C352">
        <v>1020</v>
      </c>
      <c r="D352" t="s">
        <v>29</v>
      </c>
      <c r="E352">
        <v>10044366</v>
      </c>
      <c r="F352" t="s">
        <v>437</v>
      </c>
      <c r="G352" t="s">
        <v>52</v>
      </c>
      <c r="H352" t="s">
        <v>32</v>
      </c>
      <c r="I352" t="s">
        <v>33</v>
      </c>
      <c r="J352" t="s">
        <v>45</v>
      </c>
      <c r="K352" t="s">
        <v>35</v>
      </c>
      <c r="L352" t="s">
        <v>36</v>
      </c>
      <c r="M352" t="s">
        <v>46</v>
      </c>
      <c r="N352">
        <v>8</v>
      </c>
      <c r="O352">
        <v>5</v>
      </c>
      <c r="P352">
        <v>2</v>
      </c>
      <c r="Q352">
        <v>5</v>
      </c>
      <c r="R352" s="4">
        <v>3270.02</v>
      </c>
      <c r="S352" t="str">
        <f t="shared" si="25"/>
        <v>PZ: Alta Crit.</v>
      </c>
      <c r="T352">
        <f t="shared" si="26"/>
        <v>0</v>
      </c>
      <c r="U352">
        <f t="shared" si="27"/>
        <v>0</v>
      </c>
      <c r="V352">
        <f t="shared" si="28"/>
        <v>1</v>
      </c>
      <c r="W352">
        <f t="shared" si="29"/>
        <v>0</v>
      </c>
      <c r="X352">
        <v>1</v>
      </c>
      <c r="Y352" s="2">
        <v>45768</v>
      </c>
      <c r="Z352" s="3" t="s">
        <v>47</v>
      </c>
      <c r="AA352" t="s">
        <v>39</v>
      </c>
      <c r="AB352" t="s">
        <v>40</v>
      </c>
      <c r="AC352" t="s">
        <v>40</v>
      </c>
      <c r="AD352" t="s">
        <v>41</v>
      </c>
    </row>
    <row r="353" spans="2:30">
      <c r="B353">
        <v>8</v>
      </c>
      <c r="C353">
        <v>1020</v>
      </c>
      <c r="D353" t="s">
        <v>29</v>
      </c>
      <c r="E353">
        <v>10056339</v>
      </c>
      <c r="F353" t="s">
        <v>438</v>
      </c>
      <c r="G353" t="s">
        <v>31</v>
      </c>
      <c r="H353" t="s">
        <v>32</v>
      </c>
      <c r="I353" t="s">
        <v>33</v>
      </c>
      <c r="J353" t="s">
        <v>45</v>
      </c>
      <c r="K353" t="s">
        <v>252</v>
      </c>
      <c r="L353" t="s">
        <v>36</v>
      </c>
      <c r="M353" t="s">
        <v>46</v>
      </c>
      <c r="N353">
        <v>100</v>
      </c>
      <c r="O353">
        <v>51</v>
      </c>
      <c r="P353">
        <v>10</v>
      </c>
      <c r="Q353">
        <v>92</v>
      </c>
      <c r="R353">
        <v>611.55999999999995</v>
      </c>
      <c r="S353" t="str">
        <f t="shared" si="25"/>
        <v>PX: Baja Crit.</v>
      </c>
      <c r="T353">
        <f t="shared" si="26"/>
        <v>0</v>
      </c>
      <c r="U353">
        <f t="shared" si="27"/>
        <v>0</v>
      </c>
      <c r="V353">
        <f t="shared" si="28"/>
        <v>1</v>
      </c>
      <c r="W353">
        <f t="shared" si="29"/>
        <v>0</v>
      </c>
      <c r="X353">
        <v>1</v>
      </c>
      <c r="Y353" s="2">
        <v>45768</v>
      </c>
      <c r="Z353" s="3" t="s">
        <v>47</v>
      </c>
      <c r="AA353" t="s">
        <v>39</v>
      </c>
      <c r="AB353" t="s">
        <v>40</v>
      </c>
      <c r="AC353" t="s">
        <v>40</v>
      </c>
      <c r="AD353" t="s">
        <v>41</v>
      </c>
    </row>
    <row r="354" spans="2:30">
      <c r="B354">
        <v>8</v>
      </c>
      <c r="C354">
        <v>1020</v>
      </c>
      <c r="D354" t="s">
        <v>29</v>
      </c>
      <c r="E354">
        <v>14158108</v>
      </c>
      <c r="F354" t="s">
        <v>439</v>
      </c>
      <c r="G354" t="s">
        <v>43</v>
      </c>
      <c r="H354" t="s">
        <v>60</v>
      </c>
      <c r="I354" t="s">
        <v>33</v>
      </c>
      <c r="J354" t="s">
        <v>45</v>
      </c>
      <c r="K354" t="s">
        <v>35</v>
      </c>
      <c r="L354" t="s">
        <v>36</v>
      </c>
      <c r="M354" t="s">
        <v>46</v>
      </c>
      <c r="N354">
        <v>20</v>
      </c>
      <c r="O354">
        <v>13</v>
      </c>
      <c r="P354">
        <v>10</v>
      </c>
      <c r="Q354">
        <v>15</v>
      </c>
      <c r="R354">
        <v>875.17</v>
      </c>
      <c r="S354" t="str">
        <f t="shared" si="25"/>
        <v>PY: Media Crit.</v>
      </c>
      <c r="T354">
        <f t="shared" si="26"/>
        <v>0</v>
      </c>
      <c r="U354">
        <f t="shared" si="27"/>
        <v>0</v>
      </c>
      <c r="V354">
        <f t="shared" si="28"/>
        <v>1</v>
      </c>
      <c r="W354">
        <f t="shared" si="29"/>
        <v>0</v>
      </c>
      <c r="X354">
        <v>1</v>
      </c>
      <c r="Y354" s="2">
        <v>45768</v>
      </c>
      <c r="Z354" s="3" t="s">
        <v>47</v>
      </c>
      <c r="AA354" t="s">
        <v>39</v>
      </c>
      <c r="AB354" t="s">
        <v>49</v>
      </c>
      <c r="AC354" s="5" t="s">
        <v>50</v>
      </c>
      <c r="AD354" t="s">
        <v>41</v>
      </c>
    </row>
    <row r="355" spans="2:30">
      <c r="B355">
        <v>8</v>
      </c>
      <c r="C355">
        <v>1020</v>
      </c>
      <c r="D355" t="s">
        <v>29</v>
      </c>
      <c r="E355">
        <v>10052318</v>
      </c>
      <c r="F355" t="s">
        <v>440</v>
      </c>
      <c r="G355" t="s">
        <v>31</v>
      </c>
      <c r="H355" t="s">
        <v>32</v>
      </c>
      <c r="I355" t="s">
        <v>33</v>
      </c>
      <c r="J355" t="s">
        <v>45</v>
      </c>
      <c r="K355" t="s">
        <v>35</v>
      </c>
      <c r="L355" t="s">
        <v>36</v>
      </c>
      <c r="M355" t="s">
        <v>46</v>
      </c>
      <c r="N355">
        <v>20</v>
      </c>
      <c r="O355">
        <v>12</v>
      </c>
      <c r="P355">
        <v>7</v>
      </c>
      <c r="Q355">
        <v>21</v>
      </c>
      <c r="R355">
        <v>195.72</v>
      </c>
      <c r="S355" t="str">
        <f t="shared" si="25"/>
        <v>PX: Baja Crit.</v>
      </c>
      <c r="T355">
        <f t="shared" si="26"/>
        <v>0</v>
      </c>
      <c r="U355">
        <f t="shared" si="27"/>
        <v>0</v>
      </c>
      <c r="V355">
        <f t="shared" si="28"/>
        <v>0</v>
      </c>
      <c r="W355">
        <f t="shared" si="29"/>
        <v>1</v>
      </c>
      <c r="X355">
        <v>1</v>
      </c>
      <c r="Y355" s="2">
        <v>45768</v>
      </c>
      <c r="Z355" s="3" t="s">
        <v>47</v>
      </c>
      <c r="AA355" t="s">
        <v>39</v>
      </c>
      <c r="AB355" t="s">
        <v>40</v>
      </c>
      <c r="AC355" t="s">
        <v>40</v>
      </c>
      <c r="AD355" t="s">
        <v>41</v>
      </c>
    </row>
    <row r="356" spans="2:30">
      <c r="B356">
        <v>8</v>
      </c>
      <c r="C356">
        <v>1020</v>
      </c>
      <c r="D356" t="s">
        <v>29</v>
      </c>
      <c r="E356">
        <v>10192130</v>
      </c>
      <c r="F356" t="s">
        <v>441</v>
      </c>
      <c r="G356" t="s">
        <v>43</v>
      </c>
      <c r="H356" t="s">
        <v>32</v>
      </c>
      <c r="I356" t="s">
        <v>33</v>
      </c>
      <c r="J356" t="s">
        <v>34</v>
      </c>
      <c r="K356" t="s">
        <v>35</v>
      </c>
      <c r="L356" t="s">
        <v>36</v>
      </c>
      <c r="M356" t="s">
        <v>46</v>
      </c>
      <c r="N356">
        <v>30</v>
      </c>
      <c r="O356">
        <v>21</v>
      </c>
      <c r="P356">
        <v>6</v>
      </c>
      <c r="Q356">
        <v>26</v>
      </c>
      <c r="R356" s="4">
        <v>1166.32</v>
      </c>
      <c r="S356" t="str">
        <f t="shared" si="25"/>
        <v>PY: Media Crit.</v>
      </c>
      <c r="T356">
        <f t="shared" si="26"/>
        <v>0</v>
      </c>
      <c r="U356">
        <f t="shared" si="27"/>
        <v>0</v>
      </c>
      <c r="V356">
        <f t="shared" si="28"/>
        <v>1</v>
      </c>
      <c r="W356">
        <f t="shared" si="29"/>
        <v>0</v>
      </c>
      <c r="X356">
        <v>1</v>
      </c>
      <c r="Y356" s="2">
        <v>45768</v>
      </c>
      <c r="Z356" s="3" t="s">
        <v>47</v>
      </c>
      <c r="AA356" t="s">
        <v>39</v>
      </c>
      <c r="AB356" t="s">
        <v>76</v>
      </c>
      <c r="AC356" s="5" t="s">
        <v>77</v>
      </c>
      <c r="AD356" t="s">
        <v>41</v>
      </c>
    </row>
    <row r="357" spans="2:30">
      <c r="B357">
        <v>8</v>
      </c>
      <c r="C357">
        <v>1020</v>
      </c>
      <c r="D357" t="s">
        <v>29</v>
      </c>
      <c r="E357">
        <v>14158109</v>
      </c>
      <c r="F357" t="s">
        <v>442</v>
      </c>
      <c r="G357" t="s">
        <v>43</v>
      </c>
      <c r="H357" t="s">
        <v>32</v>
      </c>
      <c r="I357" t="s">
        <v>33</v>
      </c>
      <c r="J357" t="s">
        <v>45</v>
      </c>
      <c r="K357" t="s">
        <v>35</v>
      </c>
      <c r="L357" t="s">
        <v>36</v>
      </c>
      <c r="M357" t="s">
        <v>46</v>
      </c>
      <c r="N357">
        <v>10</v>
      </c>
      <c r="O357">
        <v>5</v>
      </c>
      <c r="P357">
        <v>2</v>
      </c>
      <c r="Q357">
        <v>8</v>
      </c>
      <c r="R357">
        <v>464.25</v>
      </c>
      <c r="S357" t="str">
        <f t="shared" si="25"/>
        <v>PY: Media Crit.</v>
      </c>
      <c r="T357">
        <f t="shared" si="26"/>
        <v>0</v>
      </c>
      <c r="U357">
        <f t="shared" si="27"/>
        <v>0</v>
      </c>
      <c r="V357">
        <f t="shared" si="28"/>
        <v>1</v>
      </c>
      <c r="W357">
        <f t="shared" si="29"/>
        <v>0</v>
      </c>
      <c r="X357">
        <v>1</v>
      </c>
      <c r="Y357" s="2">
        <v>45768</v>
      </c>
      <c r="Z357" s="3" t="s">
        <v>47</v>
      </c>
      <c r="AA357" t="s">
        <v>39</v>
      </c>
      <c r="AB357" t="s">
        <v>49</v>
      </c>
      <c r="AC357" s="5" t="s">
        <v>50</v>
      </c>
      <c r="AD357" t="s">
        <v>41</v>
      </c>
    </row>
    <row r="358" spans="2:30">
      <c r="B358">
        <v>8</v>
      </c>
      <c r="C358">
        <v>1020</v>
      </c>
      <c r="D358" t="s">
        <v>29</v>
      </c>
      <c r="E358">
        <v>10045379</v>
      </c>
      <c r="F358" t="s">
        <v>443</v>
      </c>
      <c r="G358" t="s">
        <v>31</v>
      </c>
      <c r="H358" t="s">
        <v>32</v>
      </c>
      <c r="I358" t="s">
        <v>33</v>
      </c>
      <c r="J358" t="s">
        <v>45</v>
      </c>
      <c r="K358" t="s">
        <v>35</v>
      </c>
      <c r="L358" t="s">
        <v>36</v>
      </c>
      <c r="M358" t="s">
        <v>88</v>
      </c>
      <c r="N358">
        <v>150</v>
      </c>
      <c r="O358">
        <v>101</v>
      </c>
      <c r="P358">
        <v>20</v>
      </c>
      <c r="Q358">
        <v>150</v>
      </c>
      <c r="R358">
        <v>387.86</v>
      </c>
      <c r="S358" t="str">
        <f t="shared" si="25"/>
        <v>PX: Baja Crit.</v>
      </c>
      <c r="T358">
        <f t="shared" si="26"/>
        <v>0</v>
      </c>
      <c r="U358">
        <f t="shared" si="27"/>
        <v>0</v>
      </c>
      <c r="V358">
        <f t="shared" si="28"/>
        <v>1</v>
      </c>
      <c r="W358">
        <f t="shared" si="29"/>
        <v>0</v>
      </c>
      <c r="X358">
        <v>1</v>
      </c>
      <c r="Y358" s="2">
        <v>45768</v>
      </c>
      <c r="Z358" s="3" t="s">
        <v>89</v>
      </c>
      <c r="AA358" t="s">
        <v>39</v>
      </c>
      <c r="AB358" t="s">
        <v>40</v>
      </c>
      <c r="AC358" t="s">
        <v>40</v>
      </c>
      <c r="AD358" t="s">
        <v>41</v>
      </c>
    </row>
    <row r="359" spans="2:30">
      <c r="B359">
        <v>8</v>
      </c>
      <c r="C359">
        <v>1020</v>
      </c>
      <c r="D359" t="s">
        <v>29</v>
      </c>
      <c r="E359">
        <v>10050860</v>
      </c>
      <c r="F359" t="s">
        <v>444</v>
      </c>
      <c r="G359" t="s">
        <v>43</v>
      </c>
      <c r="H359" t="s">
        <v>32</v>
      </c>
      <c r="I359" t="s">
        <v>33</v>
      </c>
      <c r="J359" t="s">
        <v>45</v>
      </c>
      <c r="K359" t="s">
        <v>35</v>
      </c>
      <c r="L359" t="s">
        <v>36</v>
      </c>
      <c r="M359" t="s">
        <v>88</v>
      </c>
      <c r="N359">
        <v>5</v>
      </c>
      <c r="O359">
        <v>3</v>
      </c>
      <c r="P359">
        <v>1</v>
      </c>
      <c r="Q359">
        <v>5</v>
      </c>
      <c r="R359">
        <v>357.34</v>
      </c>
      <c r="S359" t="str">
        <f t="shared" si="25"/>
        <v>PY: Media Crit.</v>
      </c>
      <c r="T359">
        <f t="shared" si="26"/>
        <v>0</v>
      </c>
      <c r="U359">
        <f t="shared" si="27"/>
        <v>0</v>
      </c>
      <c r="V359">
        <f t="shared" si="28"/>
        <v>1</v>
      </c>
      <c r="W359">
        <f t="shared" si="29"/>
        <v>0</v>
      </c>
      <c r="X359">
        <v>1</v>
      </c>
      <c r="Y359" s="2">
        <v>45768</v>
      </c>
      <c r="Z359" s="3" t="s">
        <v>89</v>
      </c>
      <c r="AA359" t="s">
        <v>39</v>
      </c>
      <c r="AB359" t="s">
        <v>40</v>
      </c>
      <c r="AC359" t="s">
        <v>40</v>
      </c>
      <c r="AD359" t="s">
        <v>41</v>
      </c>
    </row>
    <row r="360" spans="2:30">
      <c r="B360">
        <v>8</v>
      </c>
      <c r="C360">
        <v>1020</v>
      </c>
      <c r="D360" t="s">
        <v>29</v>
      </c>
      <c r="E360">
        <v>10641170</v>
      </c>
      <c r="F360" t="s">
        <v>445</v>
      </c>
      <c r="G360" t="s">
        <v>43</v>
      </c>
      <c r="H360" t="s">
        <v>60</v>
      </c>
      <c r="I360" t="s">
        <v>33</v>
      </c>
      <c r="J360" t="s">
        <v>45</v>
      </c>
      <c r="K360" t="s">
        <v>35</v>
      </c>
      <c r="L360" t="s">
        <v>36</v>
      </c>
      <c r="M360" t="s">
        <v>117</v>
      </c>
      <c r="N360">
        <v>20</v>
      </c>
      <c r="O360">
        <v>11</v>
      </c>
      <c r="P360">
        <v>2</v>
      </c>
      <c r="Q360">
        <v>20</v>
      </c>
      <c r="R360" s="4">
        <v>1300</v>
      </c>
      <c r="S360" t="str">
        <f t="shared" si="25"/>
        <v>PY: Media Crit.</v>
      </c>
      <c r="T360">
        <f t="shared" si="26"/>
        <v>0</v>
      </c>
      <c r="U360">
        <f t="shared" si="27"/>
        <v>0</v>
      </c>
      <c r="V360">
        <f t="shared" si="28"/>
        <v>1</v>
      </c>
      <c r="W360">
        <f t="shared" si="29"/>
        <v>0</v>
      </c>
      <c r="X360">
        <v>1</v>
      </c>
      <c r="Y360" s="2">
        <v>45768</v>
      </c>
      <c r="Z360" s="3" t="s">
        <v>118</v>
      </c>
      <c r="AA360" t="s">
        <v>39</v>
      </c>
      <c r="AB360" t="s">
        <v>40</v>
      </c>
      <c r="AC360" t="s">
        <v>40</v>
      </c>
      <c r="AD360" t="s">
        <v>41</v>
      </c>
    </row>
    <row r="361" spans="2:30">
      <c r="B361">
        <v>8</v>
      </c>
      <c r="C361">
        <v>1020</v>
      </c>
      <c r="D361" t="s">
        <v>29</v>
      </c>
      <c r="E361">
        <v>14275103</v>
      </c>
      <c r="F361" t="s">
        <v>446</v>
      </c>
      <c r="G361" t="s">
        <v>43</v>
      </c>
      <c r="H361" t="s">
        <v>60</v>
      </c>
      <c r="I361" t="s">
        <v>33</v>
      </c>
      <c r="J361" t="s">
        <v>45</v>
      </c>
      <c r="K361" t="s">
        <v>35</v>
      </c>
      <c r="L361" t="s">
        <v>36</v>
      </c>
      <c r="M361" t="s">
        <v>88</v>
      </c>
      <c r="N361">
        <v>150</v>
      </c>
      <c r="O361">
        <v>60</v>
      </c>
      <c r="P361">
        <v>0</v>
      </c>
      <c r="Q361">
        <v>150</v>
      </c>
      <c r="R361">
        <v>92.74</v>
      </c>
      <c r="S361" t="str">
        <f t="shared" si="25"/>
        <v>PY: Media Crit.</v>
      </c>
      <c r="T361">
        <f t="shared" si="26"/>
        <v>0</v>
      </c>
      <c r="U361">
        <f t="shared" si="27"/>
        <v>0</v>
      </c>
      <c r="V361">
        <f t="shared" si="28"/>
        <v>1</v>
      </c>
      <c r="W361">
        <f t="shared" si="29"/>
        <v>0</v>
      </c>
      <c r="X361">
        <v>1</v>
      </c>
      <c r="Y361" s="2">
        <v>45768</v>
      </c>
      <c r="Z361" s="3" t="s">
        <v>89</v>
      </c>
      <c r="AA361" t="s">
        <v>39</v>
      </c>
      <c r="AB361" t="s">
        <v>40</v>
      </c>
      <c r="AC361" t="s">
        <v>40</v>
      </c>
      <c r="AD361" t="s">
        <v>41</v>
      </c>
    </row>
    <row r="362" spans="2:30">
      <c r="B362">
        <v>8</v>
      </c>
      <c r="C362">
        <v>1020</v>
      </c>
      <c r="D362" t="s">
        <v>29</v>
      </c>
      <c r="E362">
        <v>10044244</v>
      </c>
      <c r="F362" t="s">
        <v>447</v>
      </c>
      <c r="G362" t="s">
        <v>43</v>
      </c>
      <c r="H362" t="s">
        <v>32</v>
      </c>
      <c r="I362" t="s">
        <v>33</v>
      </c>
      <c r="J362" t="s">
        <v>45</v>
      </c>
      <c r="K362" t="s">
        <v>35</v>
      </c>
      <c r="L362" t="s">
        <v>36</v>
      </c>
      <c r="M362" t="s">
        <v>37</v>
      </c>
      <c r="N362">
        <v>3</v>
      </c>
      <c r="O362">
        <v>2</v>
      </c>
      <c r="P362">
        <v>0</v>
      </c>
      <c r="Q362">
        <v>3</v>
      </c>
      <c r="R362" s="4">
        <v>3170.58</v>
      </c>
      <c r="S362" t="str">
        <f t="shared" si="25"/>
        <v>PY: Media Crit.</v>
      </c>
      <c r="T362">
        <f t="shared" si="26"/>
        <v>0</v>
      </c>
      <c r="U362">
        <f t="shared" si="27"/>
        <v>0</v>
      </c>
      <c r="V362">
        <f t="shared" si="28"/>
        <v>1</v>
      </c>
      <c r="W362">
        <f t="shared" si="29"/>
        <v>0</v>
      </c>
      <c r="X362">
        <v>1</v>
      </c>
      <c r="Y362" s="2">
        <v>45768</v>
      </c>
      <c r="Z362" s="3" t="s">
        <v>38</v>
      </c>
      <c r="AA362" t="s">
        <v>39</v>
      </c>
      <c r="AB362" t="s">
        <v>40</v>
      </c>
      <c r="AC362" t="s">
        <v>40</v>
      </c>
      <c r="AD362" t="s">
        <v>41</v>
      </c>
    </row>
    <row r="363" spans="2:30">
      <c r="B363">
        <v>8</v>
      </c>
      <c r="C363">
        <v>1020</v>
      </c>
      <c r="D363" t="s">
        <v>29</v>
      </c>
      <c r="E363">
        <v>10045620</v>
      </c>
      <c r="F363" t="s">
        <v>448</v>
      </c>
      <c r="G363" t="s">
        <v>31</v>
      </c>
      <c r="H363" t="s">
        <v>32</v>
      </c>
      <c r="I363" t="s">
        <v>33</v>
      </c>
      <c r="J363" t="s">
        <v>34</v>
      </c>
      <c r="K363" t="s">
        <v>35</v>
      </c>
      <c r="L363" t="s">
        <v>36</v>
      </c>
      <c r="M363" t="s">
        <v>55</v>
      </c>
      <c r="N363">
        <v>70</v>
      </c>
      <c r="O363">
        <v>41</v>
      </c>
      <c r="P363">
        <v>10</v>
      </c>
      <c r="Q363">
        <v>72</v>
      </c>
      <c r="R363">
        <v>42.26</v>
      </c>
      <c r="S363" t="str">
        <f t="shared" si="25"/>
        <v>PX: Baja Crit.</v>
      </c>
      <c r="T363">
        <f t="shared" si="26"/>
        <v>0</v>
      </c>
      <c r="U363">
        <f t="shared" si="27"/>
        <v>0</v>
      </c>
      <c r="V363">
        <f t="shared" si="28"/>
        <v>0</v>
      </c>
      <c r="W363">
        <f t="shared" si="29"/>
        <v>1</v>
      </c>
      <c r="X363">
        <v>1</v>
      </c>
      <c r="Y363" s="2">
        <v>45768</v>
      </c>
      <c r="Z363" s="3" t="s">
        <v>56</v>
      </c>
      <c r="AA363" t="s">
        <v>39</v>
      </c>
      <c r="AB363" t="s">
        <v>40</v>
      </c>
      <c r="AC363" t="s">
        <v>40</v>
      </c>
      <c r="AD363" t="s">
        <v>41</v>
      </c>
    </row>
    <row r="364" spans="2:30">
      <c r="B364">
        <v>8</v>
      </c>
      <c r="C364">
        <v>1020</v>
      </c>
      <c r="D364" t="s">
        <v>29</v>
      </c>
      <c r="E364">
        <v>10048720</v>
      </c>
      <c r="F364" t="s">
        <v>449</v>
      </c>
      <c r="G364" t="s">
        <v>31</v>
      </c>
      <c r="H364" t="s">
        <v>32</v>
      </c>
      <c r="I364" t="s">
        <v>33</v>
      </c>
      <c r="J364" t="s">
        <v>34</v>
      </c>
      <c r="K364" t="s">
        <v>35</v>
      </c>
      <c r="L364" t="s">
        <v>36</v>
      </c>
      <c r="M364" t="s">
        <v>88</v>
      </c>
      <c r="N364">
        <v>70</v>
      </c>
      <c r="O364">
        <v>41</v>
      </c>
      <c r="P364">
        <v>10</v>
      </c>
      <c r="Q364">
        <v>57</v>
      </c>
      <c r="R364">
        <v>139.18</v>
      </c>
      <c r="S364" t="str">
        <f t="shared" si="25"/>
        <v>PX: Baja Crit.</v>
      </c>
      <c r="T364">
        <f t="shared" si="26"/>
        <v>0</v>
      </c>
      <c r="U364">
        <f t="shared" si="27"/>
        <v>0</v>
      </c>
      <c r="V364">
        <f t="shared" si="28"/>
        <v>1</v>
      </c>
      <c r="W364">
        <f t="shared" si="29"/>
        <v>0</v>
      </c>
      <c r="X364">
        <v>1</v>
      </c>
      <c r="Y364" s="2">
        <v>45768</v>
      </c>
      <c r="Z364" s="3" t="s">
        <v>89</v>
      </c>
      <c r="AA364" t="s">
        <v>39</v>
      </c>
      <c r="AB364" t="s">
        <v>40</v>
      </c>
      <c r="AC364" t="s">
        <v>40</v>
      </c>
      <c r="AD364" t="s">
        <v>41</v>
      </c>
    </row>
    <row r="365" spans="2:30">
      <c r="B365">
        <v>8</v>
      </c>
      <c r="C365">
        <v>1020</v>
      </c>
      <c r="D365" t="s">
        <v>29</v>
      </c>
      <c r="E365">
        <v>10491640</v>
      </c>
      <c r="F365" t="s">
        <v>450</v>
      </c>
      <c r="G365" t="s">
        <v>43</v>
      </c>
      <c r="H365" t="s">
        <v>44</v>
      </c>
      <c r="I365" t="s">
        <v>33</v>
      </c>
      <c r="J365" t="s">
        <v>45</v>
      </c>
      <c r="K365" t="s">
        <v>35</v>
      </c>
      <c r="L365" t="s">
        <v>36</v>
      </c>
      <c r="M365" t="s">
        <v>69</v>
      </c>
      <c r="N365">
        <v>6</v>
      </c>
      <c r="O365">
        <v>4</v>
      </c>
      <c r="P365">
        <v>1</v>
      </c>
      <c r="Q365">
        <v>3</v>
      </c>
      <c r="R365" s="4">
        <v>2282.52</v>
      </c>
      <c r="S365" t="str">
        <f t="shared" si="25"/>
        <v>PY: Media Crit.</v>
      </c>
      <c r="T365">
        <f t="shared" si="26"/>
        <v>0</v>
      </c>
      <c r="U365">
        <f t="shared" si="27"/>
        <v>0</v>
      </c>
      <c r="V365">
        <f t="shared" si="28"/>
        <v>1</v>
      </c>
      <c r="W365">
        <f t="shared" si="29"/>
        <v>0</v>
      </c>
      <c r="X365">
        <v>1</v>
      </c>
      <c r="Y365" s="2">
        <v>45768</v>
      </c>
      <c r="Z365" s="3" t="s">
        <v>70</v>
      </c>
      <c r="AA365" t="s">
        <v>39</v>
      </c>
      <c r="AB365" t="s">
        <v>49</v>
      </c>
      <c r="AC365" s="5" t="s">
        <v>50</v>
      </c>
      <c r="AD365" t="s">
        <v>41</v>
      </c>
    </row>
    <row r="366" spans="2:30">
      <c r="B366">
        <v>8</v>
      </c>
      <c r="C366">
        <v>1020</v>
      </c>
      <c r="D366" t="s">
        <v>29</v>
      </c>
      <c r="E366">
        <v>10049197</v>
      </c>
      <c r="F366" t="s">
        <v>451</v>
      </c>
      <c r="G366" t="s">
        <v>43</v>
      </c>
      <c r="H366" t="s">
        <v>32</v>
      </c>
      <c r="I366" t="s">
        <v>33</v>
      </c>
      <c r="J366" t="s">
        <v>45</v>
      </c>
      <c r="K366" t="s">
        <v>35</v>
      </c>
      <c r="L366" t="s">
        <v>36</v>
      </c>
      <c r="M366" t="s">
        <v>88</v>
      </c>
      <c r="N366">
        <v>4</v>
      </c>
      <c r="O366">
        <v>3</v>
      </c>
      <c r="P366">
        <v>1</v>
      </c>
      <c r="Q366">
        <v>4</v>
      </c>
      <c r="R366" s="4">
        <v>1091.72</v>
      </c>
      <c r="S366" t="str">
        <f t="shared" si="25"/>
        <v>PY: Media Crit.</v>
      </c>
      <c r="T366">
        <f t="shared" si="26"/>
        <v>0</v>
      </c>
      <c r="U366">
        <f t="shared" si="27"/>
        <v>0</v>
      </c>
      <c r="V366">
        <f t="shared" si="28"/>
        <v>1</v>
      </c>
      <c r="W366">
        <f t="shared" si="29"/>
        <v>0</v>
      </c>
      <c r="X366">
        <v>1</v>
      </c>
      <c r="Y366" s="2">
        <v>45768</v>
      </c>
      <c r="Z366" s="3" t="s">
        <v>89</v>
      </c>
      <c r="AA366" t="s">
        <v>39</v>
      </c>
      <c r="AB366" t="s">
        <v>40</v>
      </c>
      <c r="AC366" t="s">
        <v>40</v>
      </c>
      <c r="AD366" t="s">
        <v>41</v>
      </c>
    </row>
    <row r="367" spans="2:30">
      <c r="B367">
        <v>8</v>
      </c>
      <c r="C367">
        <v>1020</v>
      </c>
      <c r="D367" t="s">
        <v>29</v>
      </c>
      <c r="E367">
        <v>10728176</v>
      </c>
      <c r="F367" t="s">
        <v>452</v>
      </c>
      <c r="G367" t="s">
        <v>43</v>
      </c>
      <c r="H367" t="s">
        <v>32</v>
      </c>
      <c r="I367" t="s">
        <v>33</v>
      </c>
      <c r="J367" t="s">
        <v>45</v>
      </c>
      <c r="K367" t="s">
        <v>35</v>
      </c>
      <c r="L367" t="s">
        <v>36</v>
      </c>
      <c r="M367" t="s">
        <v>117</v>
      </c>
      <c r="N367">
        <v>12</v>
      </c>
      <c r="O367">
        <v>7</v>
      </c>
      <c r="P367">
        <v>2</v>
      </c>
      <c r="Q367">
        <v>12</v>
      </c>
      <c r="R367" s="4">
        <v>2053.1</v>
      </c>
      <c r="S367" t="str">
        <f t="shared" si="25"/>
        <v>PY: Media Crit.</v>
      </c>
      <c r="T367">
        <f t="shared" si="26"/>
        <v>0</v>
      </c>
      <c r="U367">
        <f t="shared" si="27"/>
        <v>0</v>
      </c>
      <c r="V367">
        <f t="shared" si="28"/>
        <v>1</v>
      </c>
      <c r="W367">
        <f t="shared" si="29"/>
        <v>0</v>
      </c>
      <c r="X367">
        <v>1</v>
      </c>
      <c r="Y367" s="2">
        <v>45768</v>
      </c>
      <c r="Z367" s="3" t="s">
        <v>118</v>
      </c>
      <c r="AA367" t="s">
        <v>39</v>
      </c>
      <c r="AB367" t="s">
        <v>40</v>
      </c>
      <c r="AC367" t="s">
        <v>40</v>
      </c>
      <c r="AD367" t="s">
        <v>41</v>
      </c>
    </row>
    <row r="368" spans="2:30">
      <c r="B368">
        <v>8</v>
      </c>
      <c r="C368">
        <v>1020</v>
      </c>
      <c r="D368" t="s">
        <v>29</v>
      </c>
      <c r="E368">
        <v>10040499</v>
      </c>
      <c r="F368" t="s">
        <v>453</v>
      </c>
      <c r="G368" t="s">
        <v>43</v>
      </c>
      <c r="H368" t="s">
        <v>32</v>
      </c>
      <c r="I368" t="s">
        <v>33</v>
      </c>
      <c r="J368" t="s">
        <v>34</v>
      </c>
      <c r="K368" t="s">
        <v>35</v>
      </c>
      <c r="L368" t="s">
        <v>36</v>
      </c>
      <c r="M368" t="s">
        <v>88</v>
      </c>
      <c r="N368">
        <v>50</v>
      </c>
      <c r="O368">
        <v>31</v>
      </c>
      <c r="P368">
        <v>10</v>
      </c>
      <c r="Q368">
        <v>50</v>
      </c>
      <c r="R368">
        <v>175</v>
      </c>
      <c r="S368" t="str">
        <f t="shared" si="25"/>
        <v>PY: Media Crit.</v>
      </c>
      <c r="T368">
        <f t="shared" si="26"/>
        <v>0</v>
      </c>
      <c r="U368">
        <f t="shared" si="27"/>
        <v>0</v>
      </c>
      <c r="V368">
        <f t="shared" si="28"/>
        <v>1</v>
      </c>
      <c r="W368">
        <f t="shared" si="29"/>
        <v>0</v>
      </c>
      <c r="X368">
        <v>1</v>
      </c>
      <c r="Y368" s="2">
        <v>45768</v>
      </c>
      <c r="Z368" s="3" t="s">
        <v>89</v>
      </c>
      <c r="AA368" t="s">
        <v>39</v>
      </c>
      <c r="AB368" t="s">
        <v>40</v>
      </c>
      <c r="AC368" t="s">
        <v>40</v>
      </c>
      <c r="AD368" t="s">
        <v>41</v>
      </c>
    </row>
    <row r="369" spans="2:30">
      <c r="B369">
        <v>8</v>
      </c>
      <c r="C369">
        <v>1020</v>
      </c>
      <c r="D369" t="s">
        <v>29</v>
      </c>
      <c r="E369">
        <v>10048324</v>
      </c>
      <c r="F369" t="s">
        <v>454</v>
      </c>
      <c r="G369" t="s">
        <v>31</v>
      </c>
      <c r="H369" t="s">
        <v>32</v>
      </c>
      <c r="I369" t="s">
        <v>33</v>
      </c>
      <c r="J369" t="s">
        <v>45</v>
      </c>
      <c r="K369" t="s">
        <v>35</v>
      </c>
      <c r="L369" t="s">
        <v>36</v>
      </c>
      <c r="M369" t="s">
        <v>46</v>
      </c>
      <c r="N369">
        <v>8</v>
      </c>
      <c r="O369">
        <v>5</v>
      </c>
      <c r="P369">
        <v>2</v>
      </c>
      <c r="Q369">
        <v>4</v>
      </c>
      <c r="R369">
        <v>758.6</v>
      </c>
      <c r="S369" t="str">
        <f t="shared" si="25"/>
        <v>PX: Baja Crit.</v>
      </c>
      <c r="T369">
        <f t="shared" si="26"/>
        <v>0</v>
      </c>
      <c r="U369">
        <f t="shared" si="27"/>
        <v>0</v>
      </c>
      <c r="V369">
        <f t="shared" si="28"/>
        <v>1</v>
      </c>
      <c r="W369">
        <f t="shared" si="29"/>
        <v>0</v>
      </c>
      <c r="X369">
        <v>1</v>
      </c>
      <c r="Y369" s="2">
        <v>45768</v>
      </c>
      <c r="Z369" s="3" t="s">
        <v>47</v>
      </c>
      <c r="AA369" t="s">
        <v>39</v>
      </c>
      <c r="AB369" t="s">
        <v>49</v>
      </c>
      <c r="AC369" s="5" t="s">
        <v>50</v>
      </c>
      <c r="AD369" t="s">
        <v>41</v>
      </c>
    </row>
    <row r="370" spans="2:30">
      <c r="B370">
        <v>8</v>
      </c>
      <c r="C370">
        <v>1020</v>
      </c>
      <c r="D370" t="s">
        <v>29</v>
      </c>
      <c r="E370">
        <v>10055180</v>
      </c>
      <c r="F370" t="s">
        <v>455</v>
      </c>
      <c r="G370" t="s">
        <v>52</v>
      </c>
      <c r="H370" t="s">
        <v>60</v>
      </c>
      <c r="I370" t="s">
        <v>33</v>
      </c>
      <c r="J370" t="s">
        <v>34</v>
      </c>
      <c r="K370" t="s">
        <v>35</v>
      </c>
      <c r="L370" t="s">
        <v>36</v>
      </c>
      <c r="M370" t="s">
        <v>117</v>
      </c>
      <c r="N370">
        <v>40</v>
      </c>
      <c r="O370">
        <v>26</v>
      </c>
      <c r="P370">
        <v>10</v>
      </c>
      <c r="Q370">
        <v>30</v>
      </c>
      <c r="R370" s="4">
        <v>5905.86</v>
      </c>
      <c r="S370" t="str">
        <f t="shared" si="25"/>
        <v>PZ: Alta Crit.</v>
      </c>
      <c r="T370">
        <f t="shared" si="26"/>
        <v>0</v>
      </c>
      <c r="U370">
        <f t="shared" si="27"/>
        <v>0</v>
      </c>
      <c r="V370">
        <f t="shared" si="28"/>
        <v>1</v>
      </c>
      <c r="W370">
        <f t="shared" si="29"/>
        <v>0</v>
      </c>
      <c r="X370">
        <v>1</v>
      </c>
      <c r="Y370" s="2">
        <v>45768</v>
      </c>
      <c r="Z370" s="3" t="s">
        <v>118</v>
      </c>
      <c r="AA370" t="s">
        <v>39</v>
      </c>
      <c r="AB370" t="s">
        <v>40</v>
      </c>
      <c r="AC370" t="s">
        <v>40</v>
      </c>
      <c r="AD370" t="s">
        <v>41</v>
      </c>
    </row>
    <row r="371" spans="2:30">
      <c r="B371">
        <v>8</v>
      </c>
      <c r="C371">
        <v>1020</v>
      </c>
      <c r="D371" t="s">
        <v>29</v>
      </c>
      <c r="E371">
        <v>10045209</v>
      </c>
      <c r="F371" t="s">
        <v>456</v>
      </c>
      <c r="G371" t="s">
        <v>43</v>
      </c>
      <c r="H371" t="s">
        <v>32</v>
      </c>
      <c r="I371" t="s">
        <v>33</v>
      </c>
      <c r="J371" t="s">
        <v>34</v>
      </c>
      <c r="K371" t="s">
        <v>35</v>
      </c>
      <c r="L371" t="s">
        <v>36</v>
      </c>
      <c r="M371" t="s">
        <v>88</v>
      </c>
      <c r="N371">
        <v>60</v>
      </c>
      <c r="O371">
        <v>31</v>
      </c>
      <c r="P371">
        <v>10</v>
      </c>
      <c r="Q371">
        <v>53</v>
      </c>
      <c r="R371">
        <v>926.17</v>
      </c>
      <c r="S371" t="str">
        <f t="shared" si="25"/>
        <v>PY: Media Crit.</v>
      </c>
      <c r="T371">
        <f t="shared" si="26"/>
        <v>0</v>
      </c>
      <c r="U371">
        <f t="shared" si="27"/>
        <v>0</v>
      </c>
      <c r="V371">
        <f t="shared" si="28"/>
        <v>1</v>
      </c>
      <c r="W371">
        <f t="shared" si="29"/>
        <v>0</v>
      </c>
      <c r="X371">
        <v>1</v>
      </c>
      <c r="Y371" s="2">
        <v>45768</v>
      </c>
      <c r="Z371" s="3" t="s">
        <v>89</v>
      </c>
      <c r="AA371" t="s">
        <v>39</v>
      </c>
      <c r="AB371" t="s">
        <v>40</v>
      </c>
      <c r="AC371" t="s">
        <v>40</v>
      </c>
      <c r="AD371" t="s">
        <v>41</v>
      </c>
    </row>
    <row r="372" spans="2:30">
      <c r="B372">
        <v>8</v>
      </c>
      <c r="C372">
        <v>1020</v>
      </c>
      <c r="D372" t="s">
        <v>29</v>
      </c>
      <c r="E372">
        <v>10045771</v>
      </c>
      <c r="F372" t="s">
        <v>457</v>
      </c>
      <c r="G372" t="s">
        <v>43</v>
      </c>
      <c r="H372" t="s">
        <v>60</v>
      </c>
      <c r="I372" t="s">
        <v>33</v>
      </c>
      <c r="J372" t="s">
        <v>34</v>
      </c>
      <c r="K372" t="s">
        <v>35</v>
      </c>
      <c r="L372" t="s">
        <v>36</v>
      </c>
      <c r="M372" t="s">
        <v>37</v>
      </c>
      <c r="N372">
        <v>30</v>
      </c>
      <c r="O372">
        <v>21</v>
      </c>
      <c r="P372">
        <v>10</v>
      </c>
      <c r="Q372">
        <v>1</v>
      </c>
      <c r="R372">
        <v>67.239999999999995</v>
      </c>
      <c r="S372" t="str">
        <f t="shared" si="25"/>
        <v>PY: Media Crit.</v>
      </c>
      <c r="T372">
        <f t="shared" si="26"/>
        <v>0</v>
      </c>
      <c r="U372">
        <f t="shared" si="27"/>
        <v>1</v>
      </c>
      <c r="V372">
        <f t="shared" si="28"/>
        <v>0</v>
      </c>
      <c r="W372">
        <f t="shared" si="29"/>
        <v>0</v>
      </c>
      <c r="X372">
        <v>1</v>
      </c>
      <c r="Y372" s="2">
        <v>45768</v>
      </c>
      <c r="Z372" s="3" t="s">
        <v>38</v>
      </c>
      <c r="AA372" t="s">
        <v>39</v>
      </c>
      <c r="AB372" t="s">
        <v>49</v>
      </c>
      <c r="AC372" s="5" t="s">
        <v>50</v>
      </c>
      <c r="AD372" t="s">
        <v>41</v>
      </c>
    </row>
    <row r="373" spans="2:30">
      <c r="B373">
        <v>8</v>
      </c>
      <c r="C373">
        <v>1020</v>
      </c>
      <c r="D373" t="s">
        <v>29</v>
      </c>
      <c r="E373">
        <v>14313008</v>
      </c>
      <c r="F373" t="s">
        <v>458</v>
      </c>
      <c r="G373" t="s">
        <v>31</v>
      </c>
      <c r="H373" t="s">
        <v>44</v>
      </c>
      <c r="I373" t="s">
        <v>33</v>
      </c>
      <c r="J373" t="s">
        <v>45</v>
      </c>
      <c r="K373" t="s">
        <v>35</v>
      </c>
      <c r="L373" t="s">
        <v>36</v>
      </c>
      <c r="M373" t="s">
        <v>117</v>
      </c>
      <c r="N373">
        <v>400</v>
      </c>
      <c r="O373">
        <v>201</v>
      </c>
      <c r="P373">
        <v>0</v>
      </c>
      <c r="Q373">
        <v>100</v>
      </c>
      <c r="R373">
        <v>420</v>
      </c>
      <c r="S373" t="str">
        <f t="shared" si="25"/>
        <v>PX: Baja Crit.</v>
      </c>
      <c r="T373">
        <f t="shared" si="26"/>
        <v>0</v>
      </c>
      <c r="U373">
        <f t="shared" si="27"/>
        <v>0</v>
      </c>
      <c r="V373">
        <f t="shared" si="28"/>
        <v>1</v>
      </c>
      <c r="W373">
        <f t="shared" si="29"/>
        <v>0</v>
      </c>
      <c r="X373">
        <v>1</v>
      </c>
      <c r="Y373" s="2">
        <v>45768</v>
      </c>
      <c r="Z373" s="3" t="s">
        <v>118</v>
      </c>
      <c r="AA373" t="s">
        <v>39</v>
      </c>
      <c r="AB373" t="s">
        <v>76</v>
      </c>
      <c r="AC373" s="5" t="s">
        <v>77</v>
      </c>
      <c r="AD373" t="s">
        <v>41</v>
      </c>
    </row>
    <row r="374" spans="2:30">
      <c r="B374">
        <v>8</v>
      </c>
      <c r="C374">
        <v>1020</v>
      </c>
      <c r="D374" t="s">
        <v>29</v>
      </c>
      <c r="E374">
        <v>10055243</v>
      </c>
      <c r="F374" t="s">
        <v>459</v>
      </c>
      <c r="G374" t="s">
        <v>43</v>
      </c>
      <c r="H374" t="s">
        <v>32</v>
      </c>
      <c r="I374" t="s">
        <v>33</v>
      </c>
      <c r="J374" t="s">
        <v>34</v>
      </c>
      <c r="K374" t="s">
        <v>35</v>
      </c>
      <c r="L374" t="s">
        <v>36</v>
      </c>
      <c r="M374" t="s">
        <v>55</v>
      </c>
      <c r="N374">
        <v>40</v>
      </c>
      <c r="O374">
        <v>21</v>
      </c>
      <c r="P374">
        <v>10</v>
      </c>
      <c r="Q374">
        <v>40</v>
      </c>
      <c r="R374">
        <v>184.94</v>
      </c>
      <c r="S374" t="str">
        <f t="shared" si="25"/>
        <v>PY: Media Crit.</v>
      </c>
      <c r="T374">
        <f t="shared" si="26"/>
        <v>0</v>
      </c>
      <c r="U374">
        <f t="shared" si="27"/>
        <v>0</v>
      </c>
      <c r="V374">
        <f t="shared" si="28"/>
        <v>1</v>
      </c>
      <c r="W374">
        <f t="shared" si="29"/>
        <v>0</v>
      </c>
      <c r="X374">
        <v>1</v>
      </c>
      <c r="Y374" s="2">
        <v>45768</v>
      </c>
      <c r="Z374" s="3" t="s">
        <v>56</v>
      </c>
      <c r="AA374" t="s">
        <v>39</v>
      </c>
      <c r="AB374" t="s">
        <v>40</v>
      </c>
      <c r="AC374" t="s">
        <v>40</v>
      </c>
      <c r="AD374" t="s">
        <v>41</v>
      </c>
    </row>
    <row r="375" spans="2:30">
      <c r="B375">
        <v>8</v>
      </c>
      <c r="C375">
        <v>1020</v>
      </c>
      <c r="D375" t="s">
        <v>29</v>
      </c>
      <c r="E375">
        <v>10292742</v>
      </c>
      <c r="F375" t="s">
        <v>460</v>
      </c>
      <c r="G375" t="s">
        <v>43</v>
      </c>
      <c r="H375" t="s">
        <v>32</v>
      </c>
      <c r="I375" t="s">
        <v>33</v>
      </c>
      <c r="J375" t="s">
        <v>34</v>
      </c>
      <c r="K375" t="s">
        <v>35</v>
      </c>
      <c r="L375" t="s">
        <v>36</v>
      </c>
      <c r="M375" t="s">
        <v>37</v>
      </c>
      <c r="N375">
        <v>4</v>
      </c>
      <c r="O375">
        <v>3</v>
      </c>
      <c r="P375">
        <v>1</v>
      </c>
      <c r="Q375">
        <v>4</v>
      </c>
      <c r="R375" s="4">
        <v>3448.74</v>
      </c>
      <c r="S375" t="str">
        <f t="shared" si="25"/>
        <v>PY: Media Crit.</v>
      </c>
      <c r="T375">
        <f t="shared" si="26"/>
        <v>0</v>
      </c>
      <c r="U375">
        <f t="shared" si="27"/>
        <v>0</v>
      </c>
      <c r="V375">
        <f t="shared" si="28"/>
        <v>1</v>
      </c>
      <c r="W375">
        <f t="shared" si="29"/>
        <v>0</v>
      </c>
      <c r="X375">
        <v>1</v>
      </c>
      <c r="Y375" s="2">
        <v>45768</v>
      </c>
      <c r="Z375" s="3" t="s">
        <v>38</v>
      </c>
      <c r="AA375" t="s">
        <v>39</v>
      </c>
      <c r="AB375" t="s">
        <v>40</v>
      </c>
      <c r="AC375" t="s">
        <v>40</v>
      </c>
      <c r="AD375" t="s">
        <v>41</v>
      </c>
    </row>
    <row r="376" spans="2:30">
      <c r="B376">
        <v>8</v>
      </c>
      <c r="C376">
        <v>1020</v>
      </c>
      <c r="D376" t="s">
        <v>29</v>
      </c>
      <c r="E376">
        <v>14140934</v>
      </c>
      <c r="F376" t="s">
        <v>461</v>
      </c>
      <c r="G376" t="s">
        <v>43</v>
      </c>
      <c r="H376" t="s">
        <v>32</v>
      </c>
      <c r="I376" t="s">
        <v>33</v>
      </c>
      <c r="J376" t="s">
        <v>45</v>
      </c>
      <c r="K376" t="s">
        <v>35</v>
      </c>
      <c r="L376" t="s">
        <v>36</v>
      </c>
      <c r="M376" t="s">
        <v>117</v>
      </c>
      <c r="N376">
        <v>100</v>
      </c>
      <c r="O376">
        <v>81</v>
      </c>
      <c r="P376">
        <v>40</v>
      </c>
      <c r="Q376">
        <v>60</v>
      </c>
      <c r="R376" s="4">
        <v>5220</v>
      </c>
      <c r="S376" t="str">
        <f t="shared" si="25"/>
        <v>PY: Media Crit.</v>
      </c>
      <c r="T376">
        <f t="shared" si="26"/>
        <v>0</v>
      </c>
      <c r="U376">
        <f t="shared" si="27"/>
        <v>0</v>
      </c>
      <c r="V376">
        <f t="shared" si="28"/>
        <v>1</v>
      </c>
      <c r="W376">
        <f t="shared" si="29"/>
        <v>0</v>
      </c>
      <c r="X376">
        <v>1</v>
      </c>
      <c r="Y376" s="2">
        <v>45768</v>
      </c>
      <c r="Z376" s="3" t="s">
        <v>118</v>
      </c>
      <c r="AA376" t="s">
        <v>39</v>
      </c>
      <c r="AB376" t="s">
        <v>49</v>
      </c>
      <c r="AC376" s="5" t="s">
        <v>50</v>
      </c>
      <c r="AD376" t="s">
        <v>41</v>
      </c>
    </row>
    <row r="377" spans="2:30">
      <c r="B377">
        <v>8</v>
      </c>
      <c r="C377">
        <v>1020</v>
      </c>
      <c r="D377" t="s">
        <v>29</v>
      </c>
      <c r="E377">
        <v>10050574</v>
      </c>
      <c r="F377" t="s">
        <v>462</v>
      </c>
      <c r="G377" t="s">
        <v>31</v>
      </c>
      <c r="H377" t="s">
        <v>32</v>
      </c>
      <c r="I377" t="s">
        <v>33</v>
      </c>
      <c r="J377" t="s">
        <v>45</v>
      </c>
      <c r="K377" t="s">
        <v>35</v>
      </c>
      <c r="L377" t="s">
        <v>36</v>
      </c>
      <c r="M377" t="s">
        <v>55</v>
      </c>
      <c r="N377">
        <v>70</v>
      </c>
      <c r="O377">
        <v>41</v>
      </c>
      <c r="P377">
        <v>20</v>
      </c>
      <c r="Q377">
        <v>46</v>
      </c>
      <c r="R377">
        <v>20.079999999999998</v>
      </c>
      <c r="S377" t="str">
        <f t="shared" si="25"/>
        <v>PX: Baja Crit.</v>
      </c>
      <c r="T377">
        <f t="shared" si="26"/>
        <v>0</v>
      </c>
      <c r="U377">
        <f t="shared" si="27"/>
        <v>0</v>
      </c>
      <c r="V377">
        <f t="shared" si="28"/>
        <v>1</v>
      </c>
      <c r="W377">
        <f t="shared" si="29"/>
        <v>0</v>
      </c>
      <c r="X377">
        <v>1</v>
      </c>
      <c r="Y377" s="2">
        <v>45768</v>
      </c>
      <c r="Z377" s="3" t="s">
        <v>56</v>
      </c>
      <c r="AA377" t="s">
        <v>39</v>
      </c>
      <c r="AB377" t="s">
        <v>40</v>
      </c>
      <c r="AC377" t="s">
        <v>40</v>
      </c>
      <c r="AD377" t="s">
        <v>41</v>
      </c>
    </row>
    <row r="378" spans="2:30">
      <c r="B378">
        <v>8</v>
      </c>
      <c r="C378">
        <v>1020</v>
      </c>
      <c r="D378" t="s">
        <v>29</v>
      </c>
      <c r="E378">
        <v>10050721</v>
      </c>
      <c r="F378" t="s">
        <v>463</v>
      </c>
      <c r="G378" t="s">
        <v>31</v>
      </c>
      <c r="H378" t="s">
        <v>32</v>
      </c>
      <c r="I378" t="s">
        <v>33</v>
      </c>
      <c r="J378" t="s">
        <v>45</v>
      </c>
      <c r="K378" t="s">
        <v>35</v>
      </c>
      <c r="L378" t="s">
        <v>36</v>
      </c>
      <c r="M378" t="s">
        <v>88</v>
      </c>
      <c r="N378">
        <v>30</v>
      </c>
      <c r="O378">
        <v>15</v>
      </c>
      <c r="P378">
        <v>10</v>
      </c>
      <c r="Q378">
        <v>52</v>
      </c>
      <c r="R378">
        <v>125.55</v>
      </c>
      <c r="S378" t="str">
        <f t="shared" si="25"/>
        <v>PX: Baja Crit.</v>
      </c>
      <c r="T378">
        <f t="shared" si="26"/>
        <v>0</v>
      </c>
      <c r="U378">
        <f t="shared" si="27"/>
        <v>0</v>
      </c>
      <c r="V378">
        <f t="shared" si="28"/>
        <v>0</v>
      </c>
      <c r="W378">
        <f t="shared" si="29"/>
        <v>1</v>
      </c>
      <c r="X378">
        <v>1</v>
      </c>
      <c r="Y378" s="2">
        <v>45768</v>
      </c>
      <c r="Z378" s="3" t="s">
        <v>89</v>
      </c>
      <c r="AA378" t="s">
        <v>39</v>
      </c>
      <c r="AB378" t="s">
        <v>40</v>
      </c>
      <c r="AC378" t="s">
        <v>40</v>
      </c>
      <c r="AD378" t="s">
        <v>41</v>
      </c>
    </row>
    <row r="379" spans="2:30">
      <c r="B379">
        <v>8</v>
      </c>
      <c r="C379">
        <v>1020</v>
      </c>
      <c r="D379" t="s">
        <v>29</v>
      </c>
      <c r="E379">
        <v>10050855</v>
      </c>
      <c r="F379" t="s">
        <v>464</v>
      </c>
      <c r="G379" t="s">
        <v>43</v>
      </c>
      <c r="H379" t="s">
        <v>44</v>
      </c>
      <c r="I379" t="s">
        <v>33</v>
      </c>
      <c r="J379" t="s">
        <v>34</v>
      </c>
      <c r="K379" t="s">
        <v>35</v>
      </c>
      <c r="L379" t="s">
        <v>36</v>
      </c>
      <c r="M379" t="s">
        <v>88</v>
      </c>
      <c r="N379">
        <v>13</v>
      </c>
      <c r="O379">
        <v>7</v>
      </c>
      <c r="P379">
        <v>3</v>
      </c>
      <c r="Q379">
        <v>21</v>
      </c>
      <c r="R379" s="4">
        <v>1530.53</v>
      </c>
      <c r="S379" t="str">
        <f t="shared" si="25"/>
        <v>PY: Media Crit.</v>
      </c>
      <c r="T379">
        <f t="shared" si="26"/>
        <v>0</v>
      </c>
      <c r="U379">
        <f t="shared" si="27"/>
        <v>0</v>
      </c>
      <c r="V379">
        <f t="shared" si="28"/>
        <v>0</v>
      </c>
      <c r="W379">
        <f t="shared" si="29"/>
        <v>1</v>
      </c>
      <c r="X379">
        <v>1</v>
      </c>
      <c r="Y379" s="2">
        <v>45768</v>
      </c>
      <c r="Z379" s="3" t="s">
        <v>89</v>
      </c>
      <c r="AA379" t="s">
        <v>39</v>
      </c>
      <c r="AB379" t="s">
        <v>40</v>
      </c>
      <c r="AC379" t="s">
        <v>40</v>
      </c>
      <c r="AD379" t="s">
        <v>41</v>
      </c>
    </row>
    <row r="380" spans="2:30">
      <c r="B380">
        <v>8</v>
      </c>
      <c r="C380">
        <v>1020</v>
      </c>
      <c r="D380" t="s">
        <v>29</v>
      </c>
      <c r="E380">
        <v>10056234</v>
      </c>
      <c r="F380" t="s">
        <v>465</v>
      </c>
      <c r="G380" t="s">
        <v>31</v>
      </c>
      <c r="H380" t="s">
        <v>32</v>
      </c>
      <c r="I380" t="s">
        <v>33</v>
      </c>
      <c r="J380" t="s">
        <v>45</v>
      </c>
      <c r="K380" t="s">
        <v>35</v>
      </c>
      <c r="L380" t="s">
        <v>36</v>
      </c>
      <c r="M380" t="s">
        <v>46</v>
      </c>
      <c r="N380">
        <v>30</v>
      </c>
      <c r="O380">
        <v>16</v>
      </c>
      <c r="P380">
        <v>10</v>
      </c>
      <c r="Q380">
        <v>30</v>
      </c>
      <c r="R380">
        <v>209.41</v>
      </c>
      <c r="S380" t="str">
        <f t="shared" si="25"/>
        <v>PX: Baja Crit.</v>
      </c>
      <c r="T380">
        <f t="shared" si="26"/>
        <v>0</v>
      </c>
      <c r="U380">
        <f t="shared" si="27"/>
        <v>0</v>
      </c>
      <c r="V380">
        <f t="shared" si="28"/>
        <v>1</v>
      </c>
      <c r="W380">
        <f t="shared" si="29"/>
        <v>0</v>
      </c>
      <c r="X380">
        <v>1</v>
      </c>
      <c r="Y380" s="2">
        <v>45768</v>
      </c>
      <c r="Z380" s="3" t="s">
        <v>47</v>
      </c>
      <c r="AA380" t="s">
        <v>39</v>
      </c>
      <c r="AB380" t="s">
        <v>40</v>
      </c>
      <c r="AC380" t="s">
        <v>40</v>
      </c>
      <c r="AD380" t="s">
        <v>41</v>
      </c>
    </row>
    <row r="381" spans="2:30">
      <c r="B381">
        <v>8</v>
      </c>
      <c r="C381">
        <v>1020</v>
      </c>
      <c r="D381" t="s">
        <v>29</v>
      </c>
      <c r="E381">
        <v>10050731</v>
      </c>
      <c r="F381" t="s">
        <v>466</v>
      </c>
      <c r="G381" t="s">
        <v>52</v>
      </c>
      <c r="H381" t="s">
        <v>32</v>
      </c>
      <c r="I381" t="s">
        <v>33</v>
      </c>
      <c r="J381" t="s">
        <v>45</v>
      </c>
      <c r="K381" t="s">
        <v>35</v>
      </c>
      <c r="L381" t="s">
        <v>36</v>
      </c>
      <c r="M381" t="s">
        <v>46</v>
      </c>
      <c r="N381">
        <v>6</v>
      </c>
      <c r="O381">
        <v>4</v>
      </c>
      <c r="P381">
        <v>1</v>
      </c>
      <c r="Q381">
        <v>0</v>
      </c>
      <c r="R381">
        <v>0</v>
      </c>
      <c r="S381" t="str">
        <f t="shared" si="25"/>
        <v>PZ: Alta Crit.</v>
      </c>
      <c r="T381">
        <f t="shared" si="26"/>
        <v>1</v>
      </c>
      <c r="U381">
        <f t="shared" si="27"/>
        <v>0</v>
      </c>
      <c r="V381">
        <f t="shared" si="28"/>
        <v>0</v>
      </c>
      <c r="W381">
        <f t="shared" si="29"/>
        <v>0</v>
      </c>
      <c r="X381">
        <v>1</v>
      </c>
      <c r="Y381" s="2">
        <v>45768</v>
      </c>
      <c r="Z381" s="3" t="s">
        <v>47</v>
      </c>
      <c r="AA381" t="s">
        <v>39</v>
      </c>
      <c r="AB381" t="s">
        <v>76</v>
      </c>
      <c r="AC381" s="5" t="s">
        <v>77</v>
      </c>
      <c r="AD381" t="s">
        <v>41</v>
      </c>
    </row>
    <row r="382" spans="2:30">
      <c r="B382">
        <v>8</v>
      </c>
      <c r="C382">
        <v>1020</v>
      </c>
      <c r="D382" t="s">
        <v>29</v>
      </c>
      <c r="E382">
        <v>10045783</v>
      </c>
      <c r="F382" t="s">
        <v>467</v>
      </c>
      <c r="G382" t="s">
        <v>43</v>
      </c>
      <c r="H382" t="s">
        <v>60</v>
      </c>
      <c r="I382" t="s">
        <v>33</v>
      </c>
      <c r="J382" t="s">
        <v>34</v>
      </c>
      <c r="K382" t="s">
        <v>35</v>
      </c>
      <c r="L382" t="s">
        <v>36</v>
      </c>
      <c r="M382" t="s">
        <v>37</v>
      </c>
      <c r="N382">
        <v>40</v>
      </c>
      <c r="O382">
        <v>21</v>
      </c>
      <c r="P382">
        <v>20</v>
      </c>
      <c r="Q382">
        <v>30</v>
      </c>
      <c r="R382" s="4">
        <v>3016.48</v>
      </c>
      <c r="S382" t="str">
        <f t="shared" si="25"/>
        <v>PY: Media Crit.</v>
      </c>
      <c r="T382">
        <f t="shared" si="26"/>
        <v>0</v>
      </c>
      <c r="U382">
        <f t="shared" si="27"/>
        <v>0</v>
      </c>
      <c r="V382">
        <f t="shared" si="28"/>
        <v>1</v>
      </c>
      <c r="W382">
        <f t="shared" si="29"/>
        <v>0</v>
      </c>
      <c r="X382">
        <v>1</v>
      </c>
      <c r="Y382" s="2">
        <v>45768</v>
      </c>
      <c r="Z382" s="3" t="s">
        <v>38</v>
      </c>
      <c r="AA382" t="s">
        <v>39</v>
      </c>
      <c r="AB382" t="s">
        <v>40</v>
      </c>
      <c r="AC382" t="s">
        <v>40</v>
      </c>
      <c r="AD382" t="s">
        <v>41</v>
      </c>
    </row>
    <row r="383" spans="2:30">
      <c r="B383">
        <v>8</v>
      </c>
      <c r="C383">
        <v>1020</v>
      </c>
      <c r="D383" t="s">
        <v>29</v>
      </c>
      <c r="E383">
        <v>14140935</v>
      </c>
      <c r="F383" t="s">
        <v>468</v>
      </c>
      <c r="G383" t="s">
        <v>43</v>
      </c>
      <c r="H383" t="s">
        <v>32</v>
      </c>
      <c r="I383" t="s">
        <v>33</v>
      </c>
      <c r="J383" t="s">
        <v>45</v>
      </c>
      <c r="K383" t="s">
        <v>35</v>
      </c>
      <c r="L383" t="s">
        <v>36</v>
      </c>
      <c r="M383" t="s">
        <v>117</v>
      </c>
      <c r="N383">
        <v>160</v>
      </c>
      <c r="O383">
        <v>81</v>
      </c>
      <c r="P383">
        <v>50</v>
      </c>
      <c r="Q383">
        <v>20</v>
      </c>
      <c r="R383" s="4">
        <v>1740.01</v>
      </c>
      <c r="S383" t="str">
        <f t="shared" si="25"/>
        <v>PY: Media Crit.</v>
      </c>
      <c r="T383">
        <f t="shared" si="26"/>
        <v>0</v>
      </c>
      <c r="U383">
        <f t="shared" si="27"/>
        <v>1</v>
      </c>
      <c r="V383">
        <f t="shared" si="28"/>
        <v>0</v>
      </c>
      <c r="W383">
        <f t="shared" si="29"/>
        <v>0</v>
      </c>
      <c r="X383">
        <v>1</v>
      </c>
      <c r="Y383" s="2">
        <v>45768</v>
      </c>
      <c r="Z383" s="3" t="s">
        <v>118</v>
      </c>
      <c r="AA383" t="s">
        <v>39</v>
      </c>
      <c r="AB383" t="s">
        <v>49</v>
      </c>
      <c r="AC383" s="5" t="s">
        <v>50</v>
      </c>
      <c r="AD383" t="s">
        <v>41</v>
      </c>
    </row>
    <row r="384" spans="2:30">
      <c r="B384">
        <v>8</v>
      </c>
      <c r="C384">
        <v>1020</v>
      </c>
      <c r="D384" t="s">
        <v>29</v>
      </c>
      <c r="E384">
        <v>10056537</v>
      </c>
      <c r="F384" t="s">
        <v>469</v>
      </c>
      <c r="G384" t="s">
        <v>31</v>
      </c>
      <c r="H384" t="s">
        <v>32</v>
      </c>
      <c r="I384" t="s">
        <v>33</v>
      </c>
      <c r="J384" t="s">
        <v>34</v>
      </c>
      <c r="K384" t="s">
        <v>35</v>
      </c>
      <c r="L384" t="s">
        <v>36</v>
      </c>
      <c r="M384" t="s">
        <v>88</v>
      </c>
      <c r="N384">
        <v>50</v>
      </c>
      <c r="O384">
        <v>31</v>
      </c>
      <c r="P384">
        <v>14</v>
      </c>
      <c r="Q384">
        <v>51</v>
      </c>
      <c r="R384">
        <v>138.69999999999999</v>
      </c>
      <c r="S384" t="str">
        <f t="shared" si="25"/>
        <v>PX: Baja Crit.</v>
      </c>
      <c r="T384">
        <f t="shared" si="26"/>
        <v>0</v>
      </c>
      <c r="U384">
        <f t="shared" si="27"/>
        <v>0</v>
      </c>
      <c r="V384">
        <f t="shared" si="28"/>
        <v>0</v>
      </c>
      <c r="W384">
        <f t="shared" si="29"/>
        <v>1</v>
      </c>
      <c r="X384">
        <v>1</v>
      </c>
      <c r="Y384" s="2">
        <v>45768</v>
      </c>
      <c r="Z384" s="3" t="s">
        <v>89</v>
      </c>
      <c r="AA384" t="s">
        <v>39</v>
      </c>
      <c r="AB384" t="s">
        <v>40</v>
      </c>
      <c r="AC384" t="s">
        <v>40</v>
      </c>
      <c r="AD384" t="s">
        <v>41</v>
      </c>
    </row>
    <row r="385" spans="2:30">
      <c r="B385">
        <v>8</v>
      </c>
      <c r="C385">
        <v>1020</v>
      </c>
      <c r="D385" t="s">
        <v>29</v>
      </c>
      <c r="E385">
        <v>10049274</v>
      </c>
      <c r="F385" t="s">
        <v>470</v>
      </c>
      <c r="G385" t="s">
        <v>31</v>
      </c>
      <c r="H385" t="s">
        <v>32</v>
      </c>
      <c r="I385" t="s">
        <v>33</v>
      </c>
      <c r="J385" t="s">
        <v>34</v>
      </c>
      <c r="K385" t="s">
        <v>35</v>
      </c>
      <c r="L385" t="s">
        <v>36</v>
      </c>
      <c r="M385" t="s">
        <v>88</v>
      </c>
      <c r="N385">
        <v>20</v>
      </c>
      <c r="O385">
        <v>11</v>
      </c>
      <c r="P385">
        <v>2</v>
      </c>
      <c r="Q385">
        <v>30</v>
      </c>
      <c r="R385">
        <v>122.76</v>
      </c>
      <c r="S385" t="str">
        <f t="shared" si="25"/>
        <v>PX: Baja Crit.</v>
      </c>
      <c r="T385">
        <f t="shared" si="26"/>
        <v>0</v>
      </c>
      <c r="U385">
        <f t="shared" si="27"/>
        <v>0</v>
      </c>
      <c r="V385">
        <f t="shared" si="28"/>
        <v>0</v>
      </c>
      <c r="W385">
        <f t="shared" si="29"/>
        <v>1</v>
      </c>
      <c r="X385">
        <v>1</v>
      </c>
      <c r="Y385" s="2">
        <v>45768</v>
      </c>
      <c r="Z385" s="3" t="s">
        <v>89</v>
      </c>
      <c r="AA385" t="s">
        <v>39</v>
      </c>
      <c r="AB385" t="s">
        <v>40</v>
      </c>
      <c r="AC385" t="s">
        <v>40</v>
      </c>
      <c r="AD385" t="s">
        <v>41</v>
      </c>
    </row>
    <row r="386" spans="2:30">
      <c r="B386">
        <v>8</v>
      </c>
      <c r="C386">
        <v>1020</v>
      </c>
      <c r="D386" t="s">
        <v>29</v>
      </c>
      <c r="E386">
        <v>10601697</v>
      </c>
      <c r="F386" t="s">
        <v>471</v>
      </c>
      <c r="G386" t="s">
        <v>52</v>
      </c>
      <c r="H386" t="s">
        <v>32</v>
      </c>
      <c r="I386" t="s">
        <v>33</v>
      </c>
      <c r="J386" t="s">
        <v>34</v>
      </c>
      <c r="K386" t="s">
        <v>35</v>
      </c>
      <c r="L386" t="s">
        <v>36</v>
      </c>
      <c r="M386" t="s">
        <v>55</v>
      </c>
      <c r="N386">
        <v>40</v>
      </c>
      <c r="O386">
        <v>27</v>
      </c>
      <c r="P386">
        <v>8</v>
      </c>
      <c r="Q386">
        <v>30</v>
      </c>
      <c r="R386" s="4">
        <v>1246.46</v>
      </c>
      <c r="S386" t="str">
        <f t="shared" ref="S386:S449" si="30">+IF(G386="PZ", "PZ: Alta Crit.",IF(G386="PY","PY: Media Crit.", "PX: Baja Crit."))</f>
        <v>PZ: Alta Crit.</v>
      </c>
      <c r="T386">
        <f t="shared" ref="T386:T449" si="31">+IF(Q386=0,1,0)</f>
        <v>0</v>
      </c>
      <c r="U386">
        <f t="shared" ref="U386:U449" si="32">+IF(AND(Q386&lt;=P386,Q386&gt;0),1,0)</f>
        <v>0</v>
      </c>
      <c r="V386">
        <f t="shared" ref="V386:V449" si="33">+IF(AND(Q386&gt;P386,Q386&lt;=N386),1,0)</f>
        <v>1</v>
      </c>
      <c r="W386">
        <f t="shared" ref="W386:W449" si="34">+IF(Q386&gt;N386,1,0)</f>
        <v>0</v>
      </c>
      <c r="X386">
        <v>1</v>
      </c>
      <c r="Y386" s="2">
        <v>45768</v>
      </c>
      <c r="Z386" s="3" t="s">
        <v>56</v>
      </c>
      <c r="AA386" t="s">
        <v>39</v>
      </c>
      <c r="AB386" t="s">
        <v>40</v>
      </c>
      <c r="AC386" t="s">
        <v>40</v>
      </c>
      <c r="AD386" t="s">
        <v>41</v>
      </c>
    </row>
    <row r="387" spans="2:30">
      <c r="B387" s="6">
        <v>8</v>
      </c>
      <c r="C387" s="6">
        <v>1020</v>
      </c>
      <c r="D387" s="6" t="s">
        <v>29</v>
      </c>
      <c r="E387" s="6">
        <v>10023505</v>
      </c>
      <c r="F387" s="6" t="s">
        <v>472</v>
      </c>
      <c r="G387" s="6" t="s">
        <v>52</v>
      </c>
      <c r="H387" s="6" t="s">
        <v>44</v>
      </c>
      <c r="I387" s="6" t="s">
        <v>33</v>
      </c>
      <c r="J387" s="6" t="s">
        <v>45</v>
      </c>
      <c r="K387" s="6" t="s">
        <v>80</v>
      </c>
      <c r="L387" s="6" t="s">
        <v>36</v>
      </c>
      <c r="M387" s="6" t="s">
        <v>46</v>
      </c>
      <c r="N387" s="6">
        <v>495</v>
      </c>
      <c r="O387" s="6">
        <v>275</v>
      </c>
      <c r="P387" s="6">
        <v>220</v>
      </c>
      <c r="Q387" s="6">
        <v>275</v>
      </c>
      <c r="R387" s="9">
        <v>17816.57</v>
      </c>
      <c r="S387" s="6" t="str">
        <f t="shared" si="30"/>
        <v>PZ: Alta Crit.</v>
      </c>
      <c r="T387" s="6">
        <f t="shared" si="31"/>
        <v>0</v>
      </c>
      <c r="U387" s="6">
        <f t="shared" si="32"/>
        <v>0</v>
      </c>
      <c r="V387" s="6">
        <f t="shared" si="33"/>
        <v>1</v>
      </c>
      <c r="W387" s="6">
        <f t="shared" si="34"/>
        <v>0</v>
      </c>
      <c r="X387" s="6">
        <v>1</v>
      </c>
      <c r="Y387" s="10">
        <v>45768</v>
      </c>
      <c r="Z387" s="11" t="s">
        <v>47</v>
      </c>
      <c r="AA387" s="6" t="s">
        <v>39</v>
      </c>
      <c r="AB387" s="6" t="s">
        <v>49</v>
      </c>
      <c r="AC387" s="12" t="s">
        <v>50</v>
      </c>
      <c r="AD387" s="6" t="s">
        <v>41</v>
      </c>
    </row>
    <row r="388" spans="2:30">
      <c r="B388">
        <v>8</v>
      </c>
      <c r="C388">
        <v>1020</v>
      </c>
      <c r="D388" t="s">
        <v>29</v>
      </c>
      <c r="E388">
        <v>10056547</v>
      </c>
      <c r="F388" t="s">
        <v>473</v>
      </c>
      <c r="G388" t="s">
        <v>43</v>
      </c>
      <c r="H388" t="s">
        <v>32</v>
      </c>
      <c r="I388" t="s">
        <v>33</v>
      </c>
      <c r="J388" t="s">
        <v>45</v>
      </c>
      <c r="K388" t="s">
        <v>35</v>
      </c>
      <c r="L388" t="s">
        <v>36</v>
      </c>
      <c r="M388" t="s">
        <v>88</v>
      </c>
      <c r="N388">
        <v>60</v>
      </c>
      <c r="O388">
        <v>35</v>
      </c>
      <c r="P388">
        <v>12</v>
      </c>
      <c r="Q388">
        <v>60</v>
      </c>
      <c r="R388" s="4">
        <v>1445.78</v>
      </c>
      <c r="S388" t="str">
        <f t="shared" si="30"/>
        <v>PY: Media Crit.</v>
      </c>
      <c r="T388">
        <f t="shared" si="31"/>
        <v>0</v>
      </c>
      <c r="U388">
        <f t="shared" si="32"/>
        <v>0</v>
      </c>
      <c r="V388">
        <f t="shared" si="33"/>
        <v>1</v>
      </c>
      <c r="W388">
        <f t="shared" si="34"/>
        <v>0</v>
      </c>
      <c r="X388">
        <v>1</v>
      </c>
      <c r="Y388" s="2">
        <v>45768</v>
      </c>
      <c r="Z388" s="3" t="s">
        <v>89</v>
      </c>
      <c r="AA388" t="s">
        <v>39</v>
      </c>
      <c r="AB388" t="s">
        <v>40</v>
      </c>
      <c r="AC388" t="s">
        <v>40</v>
      </c>
      <c r="AD388" t="s">
        <v>41</v>
      </c>
    </row>
    <row r="389" spans="2:30">
      <c r="B389">
        <v>8</v>
      </c>
      <c r="C389">
        <v>1020</v>
      </c>
      <c r="D389" t="s">
        <v>29</v>
      </c>
      <c r="E389">
        <v>10040522</v>
      </c>
      <c r="F389" t="s">
        <v>474</v>
      </c>
      <c r="G389" t="s">
        <v>31</v>
      </c>
      <c r="H389" t="s">
        <v>32</v>
      </c>
      <c r="I389" t="s">
        <v>33</v>
      </c>
      <c r="J389" t="s">
        <v>34</v>
      </c>
      <c r="K389" t="s">
        <v>35</v>
      </c>
      <c r="L389" t="s">
        <v>36</v>
      </c>
      <c r="M389" t="s">
        <v>88</v>
      </c>
      <c r="N389">
        <v>76</v>
      </c>
      <c r="O389">
        <v>19</v>
      </c>
      <c r="P389">
        <v>5</v>
      </c>
      <c r="Q389">
        <v>36</v>
      </c>
      <c r="R389">
        <v>108</v>
      </c>
      <c r="S389" t="str">
        <f t="shared" si="30"/>
        <v>PX: Baja Crit.</v>
      </c>
      <c r="T389">
        <f t="shared" si="31"/>
        <v>0</v>
      </c>
      <c r="U389">
        <f t="shared" si="32"/>
        <v>0</v>
      </c>
      <c r="V389">
        <f t="shared" si="33"/>
        <v>1</v>
      </c>
      <c r="W389">
        <f t="shared" si="34"/>
        <v>0</v>
      </c>
      <c r="X389">
        <v>1</v>
      </c>
      <c r="Y389" s="2">
        <v>45768</v>
      </c>
      <c r="Z389" s="3" t="s">
        <v>89</v>
      </c>
      <c r="AA389" t="s">
        <v>39</v>
      </c>
      <c r="AB389" t="s">
        <v>76</v>
      </c>
      <c r="AC389" s="5" t="s">
        <v>77</v>
      </c>
      <c r="AD389" t="s">
        <v>41</v>
      </c>
    </row>
    <row r="390" spans="2:30">
      <c r="B390">
        <v>8</v>
      </c>
      <c r="C390">
        <v>1020</v>
      </c>
      <c r="D390" t="s">
        <v>29</v>
      </c>
      <c r="E390">
        <v>10040812</v>
      </c>
      <c r="F390" t="s">
        <v>475</v>
      </c>
      <c r="G390" t="s">
        <v>43</v>
      </c>
      <c r="H390" t="s">
        <v>32</v>
      </c>
      <c r="I390" t="s">
        <v>33</v>
      </c>
      <c r="J390" t="s">
        <v>34</v>
      </c>
      <c r="K390" t="s">
        <v>65</v>
      </c>
      <c r="L390" t="s">
        <v>36</v>
      </c>
      <c r="M390" t="s">
        <v>37</v>
      </c>
      <c r="N390">
        <v>45</v>
      </c>
      <c r="O390">
        <v>31</v>
      </c>
      <c r="P390">
        <v>4</v>
      </c>
      <c r="Q390">
        <v>45</v>
      </c>
      <c r="R390">
        <v>458.23</v>
      </c>
      <c r="S390" t="str">
        <f t="shared" si="30"/>
        <v>PY: Media Crit.</v>
      </c>
      <c r="T390">
        <f t="shared" si="31"/>
        <v>0</v>
      </c>
      <c r="U390">
        <f t="shared" si="32"/>
        <v>0</v>
      </c>
      <c r="V390">
        <f t="shared" si="33"/>
        <v>1</v>
      </c>
      <c r="W390">
        <f t="shared" si="34"/>
        <v>0</v>
      </c>
      <c r="X390">
        <v>1</v>
      </c>
      <c r="Y390" s="2">
        <v>45768</v>
      </c>
      <c r="Z390" s="3" t="s">
        <v>38</v>
      </c>
      <c r="AA390" t="s">
        <v>39</v>
      </c>
      <c r="AB390" t="s">
        <v>40</v>
      </c>
      <c r="AC390" t="s">
        <v>40</v>
      </c>
      <c r="AD390" t="s">
        <v>41</v>
      </c>
    </row>
    <row r="391" spans="2:30">
      <c r="B391">
        <v>8</v>
      </c>
      <c r="C391">
        <v>1020</v>
      </c>
      <c r="D391" t="s">
        <v>29</v>
      </c>
      <c r="E391">
        <v>10050662</v>
      </c>
      <c r="F391" t="s">
        <v>476</v>
      </c>
      <c r="G391" t="s">
        <v>31</v>
      </c>
      <c r="H391" t="s">
        <v>32</v>
      </c>
      <c r="I391" t="s">
        <v>33</v>
      </c>
      <c r="J391" t="s">
        <v>34</v>
      </c>
      <c r="K391" t="s">
        <v>35</v>
      </c>
      <c r="L391" t="s">
        <v>36</v>
      </c>
      <c r="M391" t="s">
        <v>55</v>
      </c>
      <c r="N391">
        <v>100</v>
      </c>
      <c r="O391">
        <v>61</v>
      </c>
      <c r="P391">
        <v>31</v>
      </c>
      <c r="Q391">
        <v>53</v>
      </c>
      <c r="R391">
        <v>171.17</v>
      </c>
      <c r="S391" t="str">
        <f t="shared" si="30"/>
        <v>PX: Baja Crit.</v>
      </c>
      <c r="T391">
        <f t="shared" si="31"/>
        <v>0</v>
      </c>
      <c r="U391">
        <f t="shared" si="32"/>
        <v>0</v>
      </c>
      <c r="V391">
        <f t="shared" si="33"/>
        <v>1</v>
      </c>
      <c r="W391">
        <f t="shared" si="34"/>
        <v>0</v>
      </c>
      <c r="X391">
        <v>1</v>
      </c>
      <c r="Y391" s="2">
        <v>45768</v>
      </c>
      <c r="Z391" s="3" t="s">
        <v>56</v>
      </c>
      <c r="AA391" t="s">
        <v>39</v>
      </c>
      <c r="AB391" t="s">
        <v>49</v>
      </c>
      <c r="AC391" s="5" t="s">
        <v>50</v>
      </c>
      <c r="AD391" t="s">
        <v>41</v>
      </c>
    </row>
    <row r="392" spans="2:30">
      <c r="B392">
        <v>8</v>
      </c>
      <c r="C392">
        <v>1020</v>
      </c>
      <c r="D392" t="s">
        <v>29</v>
      </c>
      <c r="E392">
        <v>10298277</v>
      </c>
      <c r="F392" t="s">
        <v>477</v>
      </c>
      <c r="G392" t="s">
        <v>43</v>
      </c>
      <c r="H392" t="s">
        <v>32</v>
      </c>
      <c r="I392" t="s">
        <v>33</v>
      </c>
      <c r="J392" t="s">
        <v>34</v>
      </c>
      <c r="K392" t="s">
        <v>35</v>
      </c>
      <c r="L392" t="s">
        <v>36</v>
      </c>
      <c r="M392" t="s">
        <v>117</v>
      </c>
      <c r="N392">
        <v>49</v>
      </c>
      <c r="O392">
        <v>25</v>
      </c>
      <c r="P392">
        <v>7</v>
      </c>
      <c r="Q392">
        <v>51</v>
      </c>
      <c r="R392">
        <v>824</v>
      </c>
      <c r="S392" t="str">
        <f t="shared" si="30"/>
        <v>PY: Media Crit.</v>
      </c>
      <c r="T392">
        <f t="shared" si="31"/>
        <v>0</v>
      </c>
      <c r="U392">
        <f t="shared" si="32"/>
        <v>0</v>
      </c>
      <c r="V392">
        <f t="shared" si="33"/>
        <v>0</v>
      </c>
      <c r="W392">
        <f t="shared" si="34"/>
        <v>1</v>
      </c>
      <c r="X392">
        <v>1</v>
      </c>
      <c r="Y392" s="2">
        <v>45768</v>
      </c>
      <c r="Z392" s="3" t="s">
        <v>118</v>
      </c>
      <c r="AA392" t="s">
        <v>39</v>
      </c>
      <c r="AB392" t="s">
        <v>40</v>
      </c>
      <c r="AC392" t="s">
        <v>40</v>
      </c>
      <c r="AD392" t="s">
        <v>41</v>
      </c>
    </row>
    <row r="393" spans="2:30">
      <c r="B393" s="6">
        <v>8</v>
      </c>
      <c r="C393" s="6">
        <v>1020</v>
      </c>
      <c r="D393" s="6" t="s">
        <v>29</v>
      </c>
      <c r="E393" s="6">
        <v>14208806</v>
      </c>
      <c r="F393" s="6" t="s">
        <v>478</v>
      </c>
      <c r="G393" s="6" t="s">
        <v>52</v>
      </c>
      <c r="H393" s="6" t="s">
        <v>44</v>
      </c>
      <c r="I393" s="6" t="s">
        <v>33</v>
      </c>
      <c r="J393" s="6" t="s">
        <v>45</v>
      </c>
      <c r="K393" s="6" t="s">
        <v>35</v>
      </c>
      <c r="L393" s="6" t="s">
        <v>36</v>
      </c>
      <c r="M393" s="6" t="s">
        <v>46</v>
      </c>
      <c r="N393" s="6">
        <v>2</v>
      </c>
      <c r="O393" s="6">
        <v>2</v>
      </c>
      <c r="P393" s="6">
        <v>0</v>
      </c>
      <c r="Q393" s="6">
        <v>1</v>
      </c>
      <c r="R393" s="9">
        <v>10007.549999999999</v>
      </c>
      <c r="S393" s="6" t="str">
        <f t="shared" si="30"/>
        <v>PZ: Alta Crit.</v>
      </c>
      <c r="T393" s="6">
        <f t="shared" si="31"/>
        <v>0</v>
      </c>
      <c r="U393" s="6">
        <f t="shared" si="32"/>
        <v>0</v>
      </c>
      <c r="V393" s="6">
        <f t="shared" si="33"/>
        <v>1</v>
      </c>
      <c r="W393" s="6">
        <f t="shared" si="34"/>
        <v>0</v>
      </c>
      <c r="X393" s="6">
        <v>1</v>
      </c>
      <c r="Y393" s="10">
        <v>45768</v>
      </c>
      <c r="Z393" s="11" t="s">
        <v>47</v>
      </c>
      <c r="AA393" s="6" t="s">
        <v>39</v>
      </c>
      <c r="AB393" s="6" t="s">
        <v>76</v>
      </c>
      <c r="AC393" s="12" t="s">
        <v>77</v>
      </c>
      <c r="AD393" s="6" t="s">
        <v>41</v>
      </c>
    </row>
    <row r="394" spans="2:30">
      <c r="B394">
        <v>8</v>
      </c>
      <c r="C394">
        <v>1020</v>
      </c>
      <c r="D394" t="s">
        <v>29</v>
      </c>
      <c r="E394">
        <v>10192168</v>
      </c>
      <c r="F394" t="s">
        <v>479</v>
      </c>
      <c r="G394" t="s">
        <v>52</v>
      </c>
      <c r="H394" t="s">
        <v>60</v>
      </c>
      <c r="I394" t="s">
        <v>33</v>
      </c>
      <c r="J394" t="s">
        <v>34</v>
      </c>
      <c r="K394" t="s">
        <v>35</v>
      </c>
      <c r="L394" t="s">
        <v>36</v>
      </c>
      <c r="M394" t="s">
        <v>117</v>
      </c>
      <c r="N394">
        <v>6</v>
      </c>
      <c r="O394">
        <v>5</v>
      </c>
      <c r="P394">
        <v>2</v>
      </c>
      <c r="Q394">
        <v>2</v>
      </c>
      <c r="R394" s="4">
        <v>1574.42</v>
      </c>
      <c r="S394" t="str">
        <f t="shared" si="30"/>
        <v>PZ: Alta Crit.</v>
      </c>
      <c r="T394">
        <f t="shared" si="31"/>
        <v>0</v>
      </c>
      <c r="U394">
        <f t="shared" si="32"/>
        <v>1</v>
      </c>
      <c r="V394">
        <f t="shared" si="33"/>
        <v>0</v>
      </c>
      <c r="W394">
        <f t="shared" si="34"/>
        <v>0</v>
      </c>
      <c r="X394">
        <v>1</v>
      </c>
      <c r="Y394" s="2">
        <v>45768</v>
      </c>
      <c r="Z394" s="3" t="s">
        <v>118</v>
      </c>
      <c r="AA394" t="s">
        <v>39</v>
      </c>
      <c r="AB394" t="s">
        <v>49</v>
      </c>
      <c r="AC394" s="5" t="s">
        <v>50</v>
      </c>
      <c r="AD394" t="s">
        <v>41</v>
      </c>
    </row>
    <row r="395" spans="2:30">
      <c r="B395">
        <v>8</v>
      </c>
      <c r="C395">
        <v>1020</v>
      </c>
      <c r="D395" t="s">
        <v>29</v>
      </c>
      <c r="E395">
        <v>14237647</v>
      </c>
      <c r="F395" t="s">
        <v>480</v>
      </c>
      <c r="G395" t="s">
        <v>43</v>
      </c>
      <c r="H395" t="s">
        <v>44</v>
      </c>
      <c r="I395" t="s">
        <v>33</v>
      </c>
      <c r="J395" t="s">
        <v>45</v>
      </c>
      <c r="K395" t="s">
        <v>35</v>
      </c>
      <c r="L395" t="s">
        <v>36</v>
      </c>
      <c r="M395" t="s">
        <v>46</v>
      </c>
      <c r="N395">
        <v>15</v>
      </c>
      <c r="O395">
        <v>9</v>
      </c>
      <c r="P395">
        <v>1</v>
      </c>
      <c r="Q395">
        <v>6</v>
      </c>
      <c r="R395" s="4">
        <v>12777.73</v>
      </c>
      <c r="S395" t="str">
        <f t="shared" si="30"/>
        <v>PY: Media Crit.</v>
      </c>
      <c r="T395">
        <f t="shared" si="31"/>
        <v>0</v>
      </c>
      <c r="U395">
        <f t="shared" si="32"/>
        <v>0</v>
      </c>
      <c r="V395">
        <f t="shared" si="33"/>
        <v>1</v>
      </c>
      <c r="W395">
        <f t="shared" si="34"/>
        <v>0</v>
      </c>
      <c r="X395">
        <v>1</v>
      </c>
      <c r="Y395" s="2">
        <v>45768</v>
      </c>
      <c r="Z395" s="3" t="s">
        <v>47</v>
      </c>
      <c r="AA395" t="s">
        <v>39</v>
      </c>
      <c r="AB395" t="s">
        <v>49</v>
      </c>
      <c r="AC395" s="5" t="s">
        <v>50</v>
      </c>
      <c r="AD395" t="s">
        <v>41</v>
      </c>
    </row>
    <row r="396" spans="2:30">
      <c r="B396">
        <v>8</v>
      </c>
      <c r="C396">
        <v>1020</v>
      </c>
      <c r="D396" t="s">
        <v>29</v>
      </c>
      <c r="E396">
        <v>10050440</v>
      </c>
      <c r="F396" t="s">
        <v>481</v>
      </c>
      <c r="G396" t="s">
        <v>43</v>
      </c>
      <c r="H396" t="s">
        <v>32</v>
      </c>
      <c r="I396" t="s">
        <v>33</v>
      </c>
      <c r="J396" t="s">
        <v>34</v>
      </c>
      <c r="K396" t="s">
        <v>35</v>
      </c>
      <c r="L396" t="s">
        <v>36</v>
      </c>
      <c r="M396" t="s">
        <v>37</v>
      </c>
      <c r="N396">
        <v>10</v>
      </c>
      <c r="O396">
        <v>6</v>
      </c>
      <c r="P396">
        <v>2</v>
      </c>
      <c r="Q396">
        <v>2</v>
      </c>
      <c r="R396">
        <v>221.02</v>
      </c>
      <c r="S396" t="str">
        <f t="shared" si="30"/>
        <v>PY: Media Crit.</v>
      </c>
      <c r="T396">
        <f t="shared" si="31"/>
        <v>0</v>
      </c>
      <c r="U396">
        <f t="shared" si="32"/>
        <v>1</v>
      </c>
      <c r="V396">
        <f t="shared" si="33"/>
        <v>0</v>
      </c>
      <c r="W396">
        <f t="shared" si="34"/>
        <v>0</v>
      </c>
      <c r="X396">
        <v>1</v>
      </c>
      <c r="Y396" s="2">
        <v>45768</v>
      </c>
      <c r="Z396" s="3" t="s">
        <v>38</v>
      </c>
      <c r="AA396" t="s">
        <v>39</v>
      </c>
      <c r="AB396" t="s">
        <v>49</v>
      </c>
      <c r="AC396" s="5" t="s">
        <v>50</v>
      </c>
      <c r="AD396" t="s">
        <v>41</v>
      </c>
    </row>
    <row r="397" spans="2:30">
      <c r="B397">
        <v>8</v>
      </c>
      <c r="C397">
        <v>1020</v>
      </c>
      <c r="D397" t="s">
        <v>29</v>
      </c>
      <c r="E397">
        <v>10043374</v>
      </c>
      <c r="F397" t="s">
        <v>482</v>
      </c>
      <c r="G397" t="s">
        <v>43</v>
      </c>
      <c r="H397" t="s">
        <v>32</v>
      </c>
      <c r="I397" t="s">
        <v>33</v>
      </c>
      <c r="J397" t="s">
        <v>45</v>
      </c>
      <c r="K397" t="s">
        <v>65</v>
      </c>
      <c r="L397" t="s">
        <v>36</v>
      </c>
      <c r="M397" t="s">
        <v>37</v>
      </c>
      <c r="N397">
        <v>50</v>
      </c>
      <c r="O397">
        <v>26</v>
      </c>
      <c r="P397">
        <v>8</v>
      </c>
      <c r="Q397">
        <v>50</v>
      </c>
      <c r="R397">
        <v>578.86</v>
      </c>
      <c r="S397" t="str">
        <f t="shared" si="30"/>
        <v>PY: Media Crit.</v>
      </c>
      <c r="T397">
        <f t="shared" si="31"/>
        <v>0</v>
      </c>
      <c r="U397">
        <f t="shared" si="32"/>
        <v>0</v>
      </c>
      <c r="V397">
        <f t="shared" si="33"/>
        <v>1</v>
      </c>
      <c r="W397">
        <f t="shared" si="34"/>
        <v>0</v>
      </c>
      <c r="X397">
        <v>1</v>
      </c>
      <c r="Y397" s="2">
        <v>45768</v>
      </c>
      <c r="Z397" s="3" t="s">
        <v>38</v>
      </c>
      <c r="AA397" t="s">
        <v>39</v>
      </c>
      <c r="AB397" t="s">
        <v>40</v>
      </c>
      <c r="AC397" t="s">
        <v>40</v>
      </c>
      <c r="AD397" t="s">
        <v>41</v>
      </c>
    </row>
    <row r="398" spans="2:30">
      <c r="B398">
        <v>8</v>
      </c>
      <c r="C398">
        <v>1020</v>
      </c>
      <c r="D398" t="s">
        <v>29</v>
      </c>
      <c r="E398">
        <v>10056465</v>
      </c>
      <c r="F398" t="s">
        <v>483</v>
      </c>
      <c r="G398" t="s">
        <v>43</v>
      </c>
      <c r="H398" t="s">
        <v>32</v>
      </c>
      <c r="I398" t="s">
        <v>33</v>
      </c>
      <c r="J398" t="s">
        <v>34</v>
      </c>
      <c r="K398" t="s">
        <v>35</v>
      </c>
      <c r="L398" t="s">
        <v>36</v>
      </c>
      <c r="M398" t="s">
        <v>37</v>
      </c>
      <c r="N398">
        <v>120</v>
      </c>
      <c r="O398">
        <v>81</v>
      </c>
      <c r="P398">
        <v>40</v>
      </c>
      <c r="Q398">
        <v>100</v>
      </c>
      <c r="R398" s="4">
        <v>5269.99</v>
      </c>
      <c r="S398" t="str">
        <f t="shared" si="30"/>
        <v>PY: Media Crit.</v>
      </c>
      <c r="T398">
        <f t="shared" si="31"/>
        <v>0</v>
      </c>
      <c r="U398">
        <f t="shared" si="32"/>
        <v>0</v>
      </c>
      <c r="V398">
        <f t="shared" si="33"/>
        <v>1</v>
      </c>
      <c r="W398">
        <f t="shared" si="34"/>
        <v>0</v>
      </c>
      <c r="X398">
        <v>1</v>
      </c>
      <c r="Y398" s="2">
        <v>45768</v>
      </c>
      <c r="Z398" s="3" t="s">
        <v>38</v>
      </c>
      <c r="AA398" t="s">
        <v>39</v>
      </c>
      <c r="AB398" t="s">
        <v>40</v>
      </c>
      <c r="AC398" t="s">
        <v>40</v>
      </c>
      <c r="AD398" t="s">
        <v>41</v>
      </c>
    </row>
    <row r="399" spans="2:30">
      <c r="B399">
        <v>8</v>
      </c>
      <c r="C399">
        <v>1020</v>
      </c>
      <c r="D399" t="s">
        <v>29</v>
      </c>
      <c r="E399">
        <v>14078894</v>
      </c>
      <c r="F399" t="s">
        <v>484</v>
      </c>
      <c r="G399" t="s">
        <v>52</v>
      </c>
      <c r="H399" t="s">
        <v>44</v>
      </c>
      <c r="I399" t="s">
        <v>33</v>
      </c>
      <c r="J399" t="s">
        <v>45</v>
      </c>
      <c r="K399" t="s">
        <v>35</v>
      </c>
      <c r="L399" t="s">
        <v>36</v>
      </c>
      <c r="M399" t="s">
        <v>46</v>
      </c>
      <c r="N399">
        <v>18</v>
      </c>
      <c r="O399">
        <v>12</v>
      </c>
      <c r="P399">
        <v>4</v>
      </c>
      <c r="Q399">
        <v>6</v>
      </c>
      <c r="R399" s="4">
        <v>4067.69</v>
      </c>
      <c r="S399" t="str">
        <f t="shared" si="30"/>
        <v>PZ: Alta Crit.</v>
      </c>
      <c r="T399">
        <f t="shared" si="31"/>
        <v>0</v>
      </c>
      <c r="U399">
        <f t="shared" si="32"/>
        <v>0</v>
      </c>
      <c r="V399">
        <f t="shared" si="33"/>
        <v>1</v>
      </c>
      <c r="W399">
        <f t="shared" si="34"/>
        <v>0</v>
      </c>
      <c r="X399">
        <v>1</v>
      </c>
      <c r="Y399" s="2">
        <v>45768</v>
      </c>
      <c r="Z399" s="3" t="s">
        <v>47</v>
      </c>
      <c r="AA399" t="s">
        <v>39</v>
      </c>
      <c r="AB399" t="s">
        <v>49</v>
      </c>
      <c r="AC399" s="5" t="s">
        <v>50</v>
      </c>
      <c r="AD399" t="s">
        <v>41</v>
      </c>
    </row>
    <row r="400" spans="2:30">
      <c r="B400">
        <v>8</v>
      </c>
      <c r="C400">
        <v>1020</v>
      </c>
      <c r="D400" t="s">
        <v>29</v>
      </c>
      <c r="E400">
        <v>10043932</v>
      </c>
      <c r="F400" t="s">
        <v>485</v>
      </c>
      <c r="G400" t="s">
        <v>31</v>
      </c>
      <c r="H400" t="s">
        <v>32</v>
      </c>
      <c r="I400" t="s">
        <v>33</v>
      </c>
      <c r="J400" t="s">
        <v>34</v>
      </c>
      <c r="K400" t="s">
        <v>35</v>
      </c>
      <c r="L400" t="s">
        <v>36</v>
      </c>
      <c r="M400" t="s">
        <v>37</v>
      </c>
      <c r="N400">
        <v>40</v>
      </c>
      <c r="O400">
        <v>26</v>
      </c>
      <c r="P400">
        <v>5</v>
      </c>
      <c r="Q400">
        <v>50</v>
      </c>
      <c r="R400" s="4">
        <v>2204.9299999999998</v>
      </c>
      <c r="S400" t="str">
        <f t="shared" si="30"/>
        <v>PX: Baja Crit.</v>
      </c>
      <c r="T400">
        <f t="shared" si="31"/>
        <v>0</v>
      </c>
      <c r="U400">
        <f t="shared" si="32"/>
        <v>0</v>
      </c>
      <c r="V400">
        <f t="shared" si="33"/>
        <v>0</v>
      </c>
      <c r="W400">
        <f t="shared" si="34"/>
        <v>1</v>
      </c>
      <c r="X400">
        <v>1</v>
      </c>
      <c r="Y400" s="2">
        <v>45768</v>
      </c>
      <c r="Z400" s="3" t="s">
        <v>38</v>
      </c>
      <c r="AA400" t="s">
        <v>39</v>
      </c>
      <c r="AB400" t="s">
        <v>40</v>
      </c>
      <c r="AC400" t="s">
        <v>40</v>
      </c>
      <c r="AD400" t="s">
        <v>41</v>
      </c>
    </row>
    <row r="401" spans="2:30">
      <c r="B401">
        <v>8</v>
      </c>
      <c r="C401">
        <v>1020</v>
      </c>
      <c r="D401" t="s">
        <v>29</v>
      </c>
      <c r="E401">
        <v>10057138</v>
      </c>
      <c r="F401" t="s">
        <v>486</v>
      </c>
      <c r="G401" t="s">
        <v>43</v>
      </c>
      <c r="H401" t="s">
        <v>32</v>
      </c>
      <c r="I401" t="s">
        <v>33</v>
      </c>
      <c r="J401" t="s">
        <v>45</v>
      </c>
      <c r="K401" t="s">
        <v>35</v>
      </c>
      <c r="L401" t="s">
        <v>36</v>
      </c>
      <c r="M401" t="s">
        <v>46</v>
      </c>
      <c r="N401">
        <v>5</v>
      </c>
      <c r="O401">
        <v>3</v>
      </c>
      <c r="P401">
        <v>1</v>
      </c>
      <c r="Q401">
        <v>4</v>
      </c>
      <c r="R401" s="4">
        <v>1160.06</v>
      </c>
      <c r="S401" t="str">
        <f t="shared" si="30"/>
        <v>PY: Media Crit.</v>
      </c>
      <c r="T401">
        <f t="shared" si="31"/>
        <v>0</v>
      </c>
      <c r="U401">
        <f t="shared" si="32"/>
        <v>0</v>
      </c>
      <c r="V401">
        <f t="shared" si="33"/>
        <v>1</v>
      </c>
      <c r="W401">
        <f t="shared" si="34"/>
        <v>0</v>
      </c>
      <c r="X401">
        <v>1</v>
      </c>
      <c r="Y401" s="2">
        <v>45768</v>
      </c>
      <c r="Z401" s="3" t="s">
        <v>47</v>
      </c>
      <c r="AA401" t="s">
        <v>39</v>
      </c>
      <c r="AB401" t="s">
        <v>49</v>
      </c>
      <c r="AC401" s="5" t="s">
        <v>50</v>
      </c>
      <c r="AD401" t="s">
        <v>41</v>
      </c>
    </row>
    <row r="402" spans="2:30">
      <c r="B402">
        <v>8</v>
      </c>
      <c r="C402">
        <v>1020</v>
      </c>
      <c r="D402" t="s">
        <v>172</v>
      </c>
      <c r="E402">
        <v>10044931</v>
      </c>
      <c r="F402" t="s">
        <v>487</v>
      </c>
      <c r="G402" t="s">
        <v>52</v>
      </c>
      <c r="H402" t="s">
        <v>32</v>
      </c>
      <c r="I402" t="s">
        <v>488</v>
      </c>
      <c r="J402" t="s">
        <v>45</v>
      </c>
      <c r="K402" t="s">
        <v>35</v>
      </c>
      <c r="L402" t="s">
        <v>175</v>
      </c>
      <c r="M402" t="s">
        <v>117</v>
      </c>
      <c r="N402">
        <v>0</v>
      </c>
      <c r="O402">
        <v>0</v>
      </c>
      <c r="P402">
        <v>0</v>
      </c>
      <c r="Q402">
        <v>31</v>
      </c>
      <c r="R402" s="4">
        <v>303620.87</v>
      </c>
      <c r="S402" t="str">
        <f t="shared" si="30"/>
        <v>PZ: Alta Crit.</v>
      </c>
      <c r="T402">
        <f t="shared" si="31"/>
        <v>0</v>
      </c>
      <c r="U402">
        <f t="shared" si="32"/>
        <v>0</v>
      </c>
      <c r="V402">
        <f t="shared" si="33"/>
        <v>0</v>
      </c>
      <c r="W402">
        <f t="shared" si="34"/>
        <v>1</v>
      </c>
      <c r="X402">
        <v>1</v>
      </c>
      <c r="Y402" s="2">
        <v>45768</v>
      </c>
      <c r="Z402" s="3" t="s">
        <v>118</v>
      </c>
      <c r="AA402" t="s">
        <v>39</v>
      </c>
      <c r="AB402" t="s">
        <v>49</v>
      </c>
      <c r="AC402" s="5" t="s">
        <v>50</v>
      </c>
      <c r="AD402" t="s">
        <v>489</v>
      </c>
    </row>
    <row r="403" spans="2:30">
      <c r="B403">
        <v>8</v>
      </c>
      <c r="C403">
        <v>1020</v>
      </c>
      <c r="D403" t="s">
        <v>388</v>
      </c>
      <c r="E403">
        <v>10046022</v>
      </c>
      <c r="F403" t="s">
        <v>490</v>
      </c>
      <c r="G403" t="s">
        <v>31</v>
      </c>
      <c r="H403" t="s">
        <v>32</v>
      </c>
      <c r="I403" t="s">
        <v>390</v>
      </c>
      <c r="J403" t="s">
        <v>45</v>
      </c>
      <c r="K403" t="s">
        <v>35</v>
      </c>
      <c r="L403" t="s">
        <v>175</v>
      </c>
      <c r="M403" t="s">
        <v>69</v>
      </c>
      <c r="N403">
        <v>0</v>
      </c>
      <c r="O403">
        <v>0</v>
      </c>
      <c r="P403">
        <v>6</v>
      </c>
      <c r="Q403">
        <v>7</v>
      </c>
      <c r="R403" s="4">
        <v>10699.17</v>
      </c>
      <c r="S403" t="str">
        <f t="shared" si="30"/>
        <v>PX: Baja Crit.</v>
      </c>
      <c r="T403">
        <f t="shared" si="31"/>
        <v>0</v>
      </c>
      <c r="U403">
        <f t="shared" si="32"/>
        <v>0</v>
      </c>
      <c r="V403">
        <f t="shared" si="33"/>
        <v>0</v>
      </c>
      <c r="W403">
        <f t="shared" si="34"/>
        <v>1</v>
      </c>
      <c r="X403">
        <v>1</v>
      </c>
      <c r="Y403" s="2">
        <v>45768</v>
      </c>
      <c r="Z403" s="3" t="s">
        <v>70</v>
      </c>
      <c r="AA403" t="s">
        <v>39</v>
      </c>
      <c r="AB403" t="s">
        <v>40</v>
      </c>
      <c r="AC403" t="s">
        <v>40</v>
      </c>
      <c r="AD403" t="s">
        <v>391</v>
      </c>
    </row>
    <row r="404" spans="2:30">
      <c r="B404">
        <v>8</v>
      </c>
      <c r="C404">
        <v>1020</v>
      </c>
      <c r="D404" t="s">
        <v>384</v>
      </c>
      <c r="E404">
        <v>10051622</v>
      </c>
      <c r="F404" t="s">
        <v>491</v>
      </c>
      <c r="G404" t="s">
        <v>43</v>
      </c>
      <c r="H404" t="s">
        <v>32</v>
      </c>
      <c r="I404" t="s">
        <v>386</v>
      </c>
      <c r="J404" t="s">
        <v>45</v>
      </c>
      <c r="K404" t="s">
        <v>35</v>
      </c>
      <c r="L404" t="s">
        <v>175</v>
      </c>
      <c r="M404" t="s">
        <v>55</v>
      </c>
      <c r="N404">
        <v>0</v>
      </c>
      <c r="O404">
        <v>0</v>
      </c>
      <c r="P404">
        <v>0</v>
      </c>
      <c r="Q404">
        <v>70</v>
      </c>
      <c r="R404">
        <v>915.63</v>
      </c>
      <c r="S404" t="str">
        <f t="shared" si="30"/>
        <v>PY: Media Crit.</v>
      </c>
      <c r="T404">
        <f t="shared" si="31"/>
        <v>0</v>
      </c>
      <c r="U404">
        <f t="shared" si="32"/>
        <v>0</v>
      </c>
      <c r="V404">
        <f t="shared" si="33"/>
        <v>0</v>
      </c>
      <c r="W404">
        <f t="shared" si="34"/>
        <v>1</v>
      </c>
      <c r="X404">
        <v>1</v>
      </c>
      <c r="Y404" s="2">
        <v>45768</v>
      </c>
      <c r="Z404" s="3" t="s">
        <v>56</v>
      </c>
      <c r="AA404" t="s">
        <v>39</v>
      </c>
      <c r="AB404" t="s">
        <v>40</v>
      </c>
      <c r="AC404" t="s">
        <v>40</v>
      </c>
      <c r="AD404" t="s">
        <v>387</v>
      </c>
    </row>
    <row r="405" spans="2:30">
      <c r="B405">
        <v>8</v>
      </c>
      <c r="C405">
        <v>1020</v>
      </c>
      <c r="D405" t="s">
        <v>172</v>
      </c>
      <c r="E405">
        <v>10054520</v>
      </c>
      <c r="F405" t="s">
        <v>492</v>
      </c>
      <c r="G405" t="s">
        <v>52</v>
      </c>
      <c r="H405" t="s">
        <v>32</v>
      </c>
      <c r="I405" t="s">
        <v>488</v>
      </c>
      <c r="J405" t="s">
        <v>45</v>
      </c>
      <c r="K405" t="s">
        <v>35</v>
      </c>
      <c r="L405" t="s">
        <v>175</v>
      </c>
      <c r="M405" t="s">
        <v>117</v>
      </c>
      <c r="N405">
        <v>0</v>
      </c>
      <c r="O405">
        <v>0</v>
      </c>
      <c r="P405">
        <v>0</v>
      </c>
      <c r="Q405">
        <v>10</v>
      </c>
      <c r="R405" s="4">
        <v>164379.35999999999</v>
      </c>
      <c r="S405" t="str">
        <f t="shared" si="30"/>
        <v>PZ: Alta Crit.</v>
      </c>
      <c r="T405">
        <f t="shared" si="31"/>
        <v>0</v>
      </c>
      <c r="U405">
        <f t="shared" si="32"/>
        <v>0</v>
      </c>
      <c r="V405">
        <f t="shared" si="33"/>
        <v>0</v>
      </c>
      <c r="W405">
        <f t="shared" si="34"/>
        <v>1</v>
      </c>
      <c r="X405">
        <v>1</v>
      </c>
      <c r="Y405" s="2">
        <v>45768</v>
      </c>
      <c r="Z405" s="3" t="s">
        <v>118</v>
      </c>
      <c r="AA405" t="s">
        <v>39</v>
      </c>
      <c r="AB405" t="s">
        <v>49</v>
      </c>
      <c r="AC405" s="5" t="s">
        <v>50</v>
      </c>
      <c r="AD405" t="s">
        <v>489</v>
      </c>
    </row>
    <row r="406" spans="2:30">
      <c r="B406">
        <v>8</v>
      </c>
      <c r="C406">
        <v>1020</v>
      </c>
      <c r="D406" t="s">
        <v>181</v>
      </c>
      <c r="E406">
        <v>10716399</v>
      </c>
      <c r="F406" t="s">
        <v>493</v>
      </c>
      <c r="G406" t="s">
        <v>31</v>
      </c>
      <c r="H406" t="s">
        <v>32</v>
      </c>
      <c r="I406" t="s">
        <v>183</v>
      </c>
      <c r="J406" t="s">
        <v>45</v>
      </c>
      <c r="K406" t="s">
        <v>35</v>
      </c>
      <c r="L406" t="s">
        <v>36</v>
      </c>
      <c r="M406" t="s">
        <v>55</v>
      </c>
      <c r="N406">
        <v>10</v>
      </c>
      <c r="O406">
        <v>5</v>
      </c>
      <c r="P406">
        <v>0</v>
      </c>
      <c r="Q406">
        <v>40</v>
      </c>
      <c r="R406">
        <v>143.19999999999999</v>
      </c>
      <c r="S406" t="str">
        <f t="shared" si="30"/>
        <v>PX: Baja Crit.</v>
      </c>
      <c r="T406">
        <f t="shared" si="31"/>
        <v>0</v>
      </c>
      <c r="U406">
        <f t="shared" si="32"/>
        <v>0</v>
      </c>
      <c r="V406">
        <f t="shared" si="33"/>
        <v>0</v>
      </c>
      <c r="W406">
        <f t="shared" si="34"/>
        <v>1</v>
      </c>
      <c r="X406">
        <v>1</v>
      </c>
      <c r="Y406" s="2">
        <v>45768</v>
      </c>
      <c r="Z406" s="3" t="s">
        <v>56</v>
      </c>
      <c r="AA406" t="s">
        <v>39</v>
      </c>
      <c r="AB406" t="s">
        <v>40</v>
      </c>
      <c r="AC406" t="s">
        <v>40</v>
      </c>
      <c r="AD406" t="s">
        <v>184</v>
      </c>
    </row>
    <row r="407" spans="2:30">
      <c r="B407">
        <v>7</v>
      </c>
      <c r="C407">
        <v>1020</v>
      </c>
      <c r="D407" t="s">
        <v>29</v>
      </c>
      <c r="E407">
        <v>10045653</v>
      </c>
      <c r="F407" t="s">
        <v>494</v>
      </c>
      <c r="G407" t="s">
        <v>31</v>
      </c>
      <c r="H407" t="s">
        <v>60</v>
      </c>
      <c r="I407" t="s">
        <v>33</v>
      </c>
      <c r="J407" t="s">
        <v>45</v>
      </c>
      <c r="K407" t="s">
        <v>35</v>
      </c>
      <c r="L407" t="s">
        <v>36</v>
      </c>
      <c r="M407" t="s">
        <v>55</v>
      </c>
      <c r="N407">
        <v>30</v>
      </c>
      <c r="O407">
        <v>16</v>
      </c>
      <c r="P407">
        <v>0</v>
      </c>
      <c r="Q407">
        <v>29</v>
      </c>
      <c r="R407">
        <v>50.41</v>
      </c>
      <c r="S407" t="str">
        <f t="shared" si="30"/>
        <v>PX: Baja Crit.</v>
      </c>
      <c r="T407">
        <f t="shared" si="31"/>
        <v>0</v>
      </c>
      <c r="U407">
        <f t="shared" si="32"/>
        <v>0</v>
      </c>
      <c r="V407">
        <f t="shared" si="33"/>
        <v>1</v>
      </c>
      <c r="W407">
        <f t="shared" si="34"/>
        <v>0</v>
      </c>
      <c r="X407">
        <v>1</v>
      </c>
      <c r="Y407" s="2">
        <v>45768</v>
      </c>
      <c r="Z407" s="3" t="s">
        <v>56</v>
      </c>
      <c r="AA407" t="s">
        <v>39</v>
      </c>
      <c r="AB407" t="s">
        <v>40</v>
      </c>
      <c r="AC407" t="s">
        <v>40</v>
      </c>
      <c r="AD407" t="s">
        <v>41</v>
      </c>
    </row>
    <row r="408" spans="2:30">
      <c r="B408">
        <v>7</v>
      </c>
      <c r="C408">
        <v>1020</v>
      </c>
      <c r="D408" t="s">
        <v>29</v>
      </c>
      <c r="E408">
        <v>10017510</v>
      </c>
      <c r="F408" t="s">
        <v>495</v>
      </c>
      <c r="G408" t="s">
        <v>31</v>
      </c>
      <c r="H408" t="s">
        <v>32</v>
      </c>
      <c r="I408" t="s">
        <v>33</v>
      </c>
      <c r="J408" t="s">
        <v>45</v>
      </c>
      <c r="K408" t="s">
        <v>35</v>
      </c>
      <c r="L408" t="s">
        <v>36</v>
      </c>
      <c r="M408" t="s">
        <v>37</v>
      </c>
      <c r="N408">
        <v>50</v>
      </c>
      <c r="O408">
        <v>26</v>
      </c>
      <c r="P408">
        <v>20</v>
      </c>
      <c r="Q408">
        <v>14</v>
      </c>
      <c r="R408">
        <v>27.3</v>
      </c>
      <c r="S408" t="str">
        <f t="shared" si="30"/>
        <v>PX: Baja Crit.</v>
      </c>
      <c r="T408">
        <f t="shared" si="31"/>
        <v>0</v>
      </c>
      <c r="U408">
        <f t="shared" si="32"/>
        <v>1</v>
      </c>
      <c r="V408">
        <f t="shared" si="33"/>
        <v>0</v>
      </c>
      <c r="W408">
        <f t="shared" si="34"/>
        <v>0</v>
      </c>
      <c r="X408">
        <v>1</v>
      </c>
      <c r="Y408" s="2">
        <v>45768</v>
      </c>
      <c r="Z408" s="3" t="s">
        <v>38</v>
      </c>
      <c r="AA408" t="s">
        <v>39</v>
      </c>
      <c r="AB408" t="s">
        <v>40</v>
      </c>
      <c r="AC408" t="s">
        <v>40</v>
      </c>
      <c r="AD408" t="s">
        <v>41</v>
      </c>
    </row>
    <row r="409" spans="2:30">
      <c r="B409">
        <v>7</v>
      </c>
      <c r="C409">
        <v>1020</v>
      </c>
      <c r="D409" t="s">
        <v>29</v>
      </c>
      <c r="E409">
        <v>10728115</v>
      </c>
      <c r="F409" t="s">
        <v>496</v>
      </c>
      <c r="G409" t="s">
        <v>43</v>
      </c>
      <c r="H409" t="s">
        <v>32</v>
      </c>
      <c r="I409" t="s">
        <v>33</v>
      </c>
      <c r="J409" t="s">
        <v>45</v>
      </c>
      <c r="K409" t="s">
        <v>35</v>
      </c>
      <c r="L409" t="s">
        <v>36</v>
      </c>
      <c r="M409" t="s">
        <v>117</v>
      </c>
      <c r="N409">
        <v>10</v>
      </c>
      <c r="O409">
        <v>6</v>
      </c>
      <c r="P409">
        <v>3</v>
      </c>
      <c r="Q409">
        <v>10</v>
      </c>
      <c r="R409">
        <v>665.7</v>
      </c>
      <c r="S409" t="str">
        <f t="shared" si="30"/>
        <v>PY: Media Crit.</v>
      </c>
      <c r="T409">
        <f t="shared" si="31"/>
        <v>0</v>
      </c>
      <c r="U409">
        <f t="shared" si="32"/>
        <v>0</v>
      </c>
      <c r="V409">
        <f t="shared" si="33"/>
        <v>1</v>
      </c>
      <c r="W409">
        <f t="shared" si="34"/>
        <v>0</v>
      </c>
      <c r="X409">
        <v>1</v>
      </c>
      <c r="Y409" s="2">
        <v>45768</v>
      </c>
      <c r="Z409" s="3" t="s">
        <v>118</v>
      </c>
      <c r="AA409" t="s">
        <v>39</v>
      </c>
      <c r="AB409" t="s">
        <v>40</v>
      </c>
      <c r="AC409" t="s">
        <v>40</v>
      </c>
      <c r="AD409" t="s">
        <v>41</v>
      </c>
    </row>
    <row r="410" spans="2:30">
      <c r="B410">
        <v>7</v>
      </c>
      <c r="C410">
        <v>1020</v>
      </c>
      <c r="D410" t="s">
        <v>29</v>
      </c>
      <c r="E410">
        <v>10053000</v>
      </c>
      <c r="F410" t="s">
        <v>497</v>
      </c>
      <c r="G410" t="s">
        <v>43</v>
      </c>
      <c r="H410" t="s">
        <v>32</v>
      </c>
      <c r="I410" t="s">
        <v>33</v>
      </c>
      <c r="J410" t="s">
        <v>45</v>
      </c>
      <c r="K410" t="s">
        <v>35</v>
      </c>
      <c r="L410" t="s">
        <v>36</v>
      </c>
      <c r="M410" t="s">
        <v>69</v>
      </c>
      <c r="N410">
        <v>15</v>
      </c>
      <c r="O410">
        <v>9</v>
      </c>
      <c r="P410">
        <v>4</v>
      </c>
      <c r="Q410">
        <v>7</v>
      </c>
      <c r="R410">
        <v>245.88</v>
      </c>
      <c r="S410" t="str">
        <f t="shared" si="30"/>
        <v>PY: Media Crit.</v>
      </c>
      <c r="T410">
        <f t="shared" si="31"/>
        <v>0</v>
      </c>
      <c r="U410">
        <f t="shared" si="32"/>
        <v>0</v>
      </c>
      <c r="V410">
        <f t="shared" si="33"/>
        <v>1</v>
      </c>
      <c r="W410">
        <f t="shared" si="34"/>
        <v>0</v>
      </c>
      <c r="X410">
        <v>1</v>
      </c>
      <c r="Y410" s="2">
        <v>45768</v>
      </c>
      <c r="Z410" s="3" t="s">
        <v>70</v>
      </c>
      <c r="AA410" t="s">
        <v>39</v>
      </c>
      <c r="AB410" t="s">
        <v>49</v>
      </c>
      <c r="AC410" s="5" t="s">
        <v>50</v>
      </c>
      <c r="AD410" t="s">
        <v>41</v>
      </c>
    </row>
    <row r="411" spans="2:30">
      <c r="B411">
        <v>7</v>
      </c>
      <c r="C411">
        <v>1020</v>
      </c>
      <c r="D411" t="s">
        <v>29</v>
      </c>
      <c r="E411">
        <v>10052705</v>
      </c>
      <c r="F411" t="s">
        <v>498</v>
      </c>
      <c r="G411" t="s">
        <v>31</v>
      </c>
      <c r="H411" t="s">
        <v>32</v>
      </c>
      <c r="I411" t="s">
        <v>33</v>
      </c>
      <c r="J411" t="s">
        <v>34</v>
      </c>
      <c r="K411" t="s">
        <v>35</v>
      </c>
      <c r="L411" t="s">
        <v>36</v>
      </c>
      <c r="M411" t="s">
        <v>37</v>
      </c>
      <c r="N411" s="8">
        <v>1000</v>
      </c>
      <c r="O411">
        <v>700</v>
      </c>
      <c r="P411">
        <v>100</v>
      </c>
      <c r="Q411" s="8">
        <v>1000</v>
      </c>
      <c r="R411">
        <v>320</v>
      </c>
      <c r="S411" t="str">
        <f t="shared" si="30"/>
        <v>PX: Baja Crit.</v>
      </c>
      <c r="T411">
        <f t="shared" si="31"/>
        <v>0</v>
      </c>
      <c r="U411">
        <f t="shared" si="32"/>
        <v>0</v>
      </c>
      <c r="V411">
        <f t="shared" si="33"/>
        <v>1</v>
      </c>
      <c r="W411">
        <f t="shared" si="34"/>
        <v>0</v>
      </c>
      <c r="X411">
        <v>1</v>
      </c>
      <c r="Y411" s="2">
        <v>45768</v>
      </c>
      <c r="Z411" s="3" t="s">
        <v>38</v>
      </c>
      <c r="AA411" t="s">
        <v>39</v>
      </c>
      <c r="AB411" t="s">
        <v>40</v>
      </c>
      <c r="AC411" t="s">
        <v>40</v>
      </c>
      <c r="AD411" t="s">
        <v>41</v>
      </c>
    </row>
    <row r="412" spans="2:30">
      <c r="B412">
        <v>7</v>
      </c>
      <c r="C412">
        <v>1020</v>
      </c>
      <c r="D412" t="s">
        <v>29</v>
      </c>
      <c r="E412">
        <v>10041227</v>
      </c>
      <c r="F412" t="s">
        <v>499</v>
      </c>
      <c r="G412" t="s">
        <v>31</v>
      </c>
      <c r="H412" t="s">
        <v>32</v>
      </c>
      <c r="I412" t="s">
        <v>33</v>
      </c>
      <c r="J412" t="s">
        <v>34</v>
      </c>
      <c r="K412" t="s">
        <v>252</v>
      </c>
      <c r="L412" t="s">
        <v>36</v>
      </c>
      <c r="M412" t="s">
        <v>69</v>
      </c>
      <c r="N412">
        <v>200</v>
      </c>
      <c r="O412">
        <v>101</v>
      </c>
      <c r="P412">
        <v>0</v>
      </c>
      <c r="Q412">
        <v>400</v>
      </c>
      <c r="R412">
        <v>353.05</v>
      </c>
      <c r="S412" t="str">
        <f t="shared" si="30"/>
        <v>PX: Baja Crit.</v>
      </c>
      <c r="T412">
        <f t="shared" si="31"/>
        <v>0</v>
      </c>
      <c r="U412">
        <f t="shared" si="32"/>
        <v>0</v>
      </c>
      <c r="V412">
        <f t="shared" si="33"/>
        <v>0</v>
      </c>
      <c r="W412">
        <f t="shared" si="34"/>
        <v>1</v>
      </c>
      <c r="X412">
        <v>1</v>
      </c>
      <c r="Y412" s="2">
        <v>45768</v>
      </c>
      <c r="Z412" s="3" t="s">
        <v>70</v>
      </c>
      <c r="AA412" t="s">
        <v>39</v>
      </c>
      <c r="AB412" t="s">
        <v>40</v>
      </c>
      <c r="AC412" t="s">
        <v>40</v>
      </c>
      <c r="AD412" t="s">
        <v>41</v>
      </c>
    </row>
    <row r="413" spans="2:30">
      <c r="B413">
        <v>7</v>
      </c>
      <c r="C413">
        <v>1020</v>
      </c>
      <c r="D413" t="s">
        <v>29</v>
      </c>
      <c r="E413">
        <v>14086709</v>
      </c>
      <c r="F413" t="s">
        <v>500</v>
      </c>
      <c r="G413" t="s">
        <v>31</v>
      </c>
      <c r="H413" t="s">
        <v>32</v>
      </c>
      <c r="I413" t="s">
        <v>33</v>
      </c>
      <c r="J413" t="s">
        <v>34</v>
      </c>
      <c r="K413" t="s">
        <v>53</v>
      </c>
      <c r="L413" t="s">
        <v>36</v>
      </c>
      <c r="M413" t="s">
        <v>37</v>
      </c>
      <c r="N413">
        <v>10</v>
      </c>
      <c r="O413">
        <v>7</v>
      </c>
      <c r="P413">
        <v>1</v>
      </c>
      <c r="Q413">
        <v>8</v>
      </c>
      <c r="R413" s="4">
        <v>1565.52</v>
      </c>
      <c r="S413" t="str">
        <f t="shared" si="30"/>
        <v>PX: Baja Crit.</v>
      </c>
      <c r="T413">
        <f t="shared" si="31"/>
        <v>0</v>
      </c>
      <c r="U413">
        <f t="shared" si="32"/>
        <v>0</v>
      </c>
      <c r="V413">
        <f t="shared" si="33"/>
        <v>1</v>
      </c>
      <c r="W413">
        <f t="shared" si="34"/>
        <v>0</v>
      </c>
      <c r="X413">
        <v>1</v>
      </c>
      <c r="Y413" s="2">
        <v>45768</v>
      </c>
      <c r="Z413" s="3" t="s">
        <v>38</v>
      </c>
      <c r="AA413" t="s">
        <v>39</v>
      </c>
      <c r="AB413" t="s">
        <v>40</v>
      </c>
      <c r="AC413" t="s">
        <v>40</v>
      </c>
      <c r="AD413" t="s">
        <v>41</v>
      </c>
    </row>
    <row r="414" spans="2:30">
      <c r="B414">
        <v>7</v>
      </c>
      <c r="C414">
        <v>1020</v>
      </c>
      <c r="D414" t="s">
        <v>29</v>
      </c>
      <c r="E414">
        <v>10045373</v>
      </c>
      <c r="F414" t="s">
        <v>501</v>
      </c>
      <c r="G414" t="s">
        <v>31</v>
      </c>
      <c r="H414" t="s">
        <v>44</v>
      </c>
      <c r="I414" t="s">
        <v>33</v>
      </c>
      <c r="J414" t="s">
        <v>45</v>
      </c>
      <c r="K414" t="s">
        <v>35</v>
      </c>
      <c r="L414" t="s">
        <v>36</v>
      </c>
      <c r="M414" t="s">
        <v>55</v>
      </c>
      <c r="N414">
        <v>80</v>
      </c>
      <c r="O414">
        <v>50</v>
      </c>
      <c r="P414">
        <v>20</v>
      </c>
      <c r="Q414">
        <v>68</v>
      </c>
      <c r="R414">
        <v>699.85</v>
      </c>
      <c r="S414" t="str">
        <f t="shared" si="30"/>
        <v>PX: Baja Crit.</v>
      </c>
      <c r="T414">
        <f t="shared" si="31"/>
        <v>0</v>
      </c>
      <c r="U414">
        <f t="shared" si="32"/>
        <v>0</v>
      </c>
      <c r="V414">
        <f t="shared" si="33"/>
        <v>1</v>
      </c>
      <c r="W414">
        <f t="shared" si="34"/>
        <v>0</v>
      </c>
      <c r="X414">
        <v>1</v>
      </c>
      <c r="Y414" s="2">
        <v>45768</v>
      </c>
      <c r="Z414" s="3" t="s">
        <v>56</v>
      </c>
      <c r="AA414" t="s">
        <v>39</v>
      </c>
      <c r="AB414" t="s">
        <v>40</v>
      </c>
      <c r="AC414" t="s">
        <v>40</v>
      </c>
      <c r="AD414" t="s">
        <v>41</v>
      </c>
    </row>
    <row r="415" spans="2:30">
      <c r="B415">
        <v>7</v>
      </c>
      <c r="C415">
        <v>1020</v>
      </c>
      <c r="D415" t="s">
        <v>29</v>
      </c>
      <c r="E415">
        <v>14205008</v>
      </c>
      <c r="F415" t="s">
        <v>502</v>
      </c>
      <c r="G415" t="s">
        <v>31</v>
      </c>
      <c r="H415" t="s">
        <v>60</v>
      </c>
      <c r="I415" t="s">
        <v>33</v>
      </c>
      <c r="J415" t="s">
        <v>45</v>
      </c>
      <c r="K415" t="s">
        <v>35</v>
      </c>
      <c r="L415" t="s">
        <v>36</v>
      </c>
      <c r="M415" t="s">
        <v>46</v>
      </c>
      <c r="N415">
        <v>6</v>
      </c>
      <c r="O415">
        <v>4</v>
      </c>
      <c r="P415">
        <v>0</v>
      </c>
      <c r="Q415">
        <v>0</v>
      </c>
      <c r="R415">
        <v>0</v>
      </c>
      <c r="S415" t="str">
        <f t="shared" si="30"/>
        <v>PX: Baja Crit.</v>
      </c>
      <c r="T415">
        <f t="shared" si="31"/>
        <v>1</v>
      </c>
      <c r="U415">
        <f t="shared" si="32"/>
        <v>0</v>
      </c>
      <c r="V415">
        <f t="shared" si="33"/>
        <v>0</v>
      </c>
      <c r="W415">
        <f t="shared" si="34"/>
        <v>0</v>
      </c>
      <c r="X415">
        <v>1</v>
      </c>
      <c r="Y415" s="2">
        <v>45768</v>
      </c>
      <c r="Z415" s="3" t="s">
        <v>47</v>
      </c>
      <c r="AA415" t="s">
        <v>39</v>
      </c>
      <c r="AB415" t="s">
        <v>49</v>
      </c>
      <c r="AC415" s="5" t="s">
        <v>50</v>
      </c>
      <c r="AD415" t="s">
        <v>41</v>
      </c>
    </row>
    <row r="416" spans="2:30">
      <c r="B416">
        <v>7</v>
      </c>
      <c r="C416">
        <v>1020</v>
      </c>
      <c r="D416" t="s">
        <v>29</v>
      </c>
      <c r="E416">
        <v>10042030</v>
      </c>
      <c r="F416" t="s">
        <v>503</v>
      </c>
      <c r="G416" t="s">
        <v>52</v>
      </c>
      <c r="H416" t="s">
        <v>32</v>
      </c>
      <c r="I416" t="s">
        <v>33</v>
      </c>
      <c r="J416" t="s">
        <v>45</v>
      </c>
      <c r="K416" t="s">
        <v>35</v>
      </c>
      <c r="L416" t="s">
        <v>36</v>
      </c>
      <c r="M416" t="s">
        <v>117</v>
      </c>
      <c r="N416">
        <v>6</v>
      </c>
      <c r="O416">
        <v>3</v>
      </c>
      <c r="P416">
        <v>0</v>
      </c>
      <c r="Q416">
        <v>10</v>
      </c>
      <c r="R416" s="4">
        <v>14987.84</v>
      </c>
      <c r="S416" t="str">
        <f t="shared" si="30"/>
        <v>PZ: Alta Crit.</v>
      </c>
      <c r="T416">
        <f t="shared" si="31"/>
        <v>0</v>
      </c>
      <c r="U416">
        <f t="shared" si="32"/>
        <v>0</v>
      </c>
      <c r="V416">
        <f t="shared" si="33"/>
        <v>0</v>
      </c>
      <c r="W416">
        <f t="shared" si="34"/>
        <v>1</v>
      </c>
      <c r="X416">
        <v>1</v>
      </c>
      <c r="Y416" s="2">
        <v>45768</v>
      </c>
      <c r="Z416" s="3" t="s">
        <v>118</v>
      </c>
      <c r="AA416" t="s">
        <v>39</v>
      </c>
      <c r="AB416" t="s">
        <v>40</v>
      </c>
      <c r="AC416" t="s">
        <v>40</v>
      </c>
      <c r="AD416" t="s">
        <v>41</v>
      </c>
    </row>
    <row r="417" spans="2:30">
      <c r="B417">
        <v>7</v>
      </c>
      <c r="C417">
        <v>1020</v>
      </c>
      <c r="D417" t="s">
        <v>29</v>
      </c>
      <c r="E417">
        <v>10041236</v>
      </c>
      <c r="F417" t="s">
        <v>504</v>
      </c>
      <c r="G417" t="s">
        <v>43</v>
      </c>
      <c r="H417" t="s">
        <v>32</v>
      </c>
      <c r="I417" t="s">
        <v>33</v>
      </c>
      <c r="J417" t="s">
        <v>45</v>
      </c>
      <c r="K417" t="s">
        <v>252</v>
      </c>
      <c r="L417" t="s">
        <v>36</v>
      </c>
      <c r="M417" t="s">
        <v>69</v>
      </c>
      <c r="N417">
        <v>200</v>
      </c>
      <c r="O417">
        <v>101</v>
      </c>
      <c r="P417">
        <v>0</v>
      </c>
      <c r="Q417">
        <v>400</v>
      </c>
      <c r="R417">
        <v>488.49</v>
      </c>
      <c r="S417" t="str">
        <f t="shared" si="30"/>
        <v>PY: Media Crit.</v>
      </c>
      <c r="T417">
        <f t="shared" si="31"/>
        <v>0</v>
      </c>
      <c r="U417">
        <f t="shared" si="32"/>
        <v>0</v>
      </c>
      <c r="V417">
        <f t="shared" si="33"/>
        <v>0</v>
      </c>
      <c r="W417">
        <f t="shared" si="34"/>
        <v>1</v>
      </c>
      <c r="X417">
        <v>1</v>
      </c>
      <c r="Y417" s="2">
        <v>45768</v>
      </c>
      <c r="Z417" s="3" t="s">
        <v>70</v>
      </c>
      <c r="AA417" t="s">
        <v>39</v>
      </c>
      <c r="AB417" t="s">
        <v>40</v>
      </c>
      <c r="AC417" t="s">
        <v>40</v>
      </c>
      <c r="AD417" t="s">
        <v>41</v>
      </c>
    </row>
    <row r="418" spans="2:30">
      <c r="B418">
        <v>7</v>
      </c>
      <c r="C418">
        <v>1020</v>
      </c>
      <c r="D418" t="s">
        <v>29</v>
      </c>
      <c r="E418">
        <v>10037089</v>
      </c>
      <c r="F418" t="s">
        <v>505</v>
      </c>
      <c r="G418" t="s">
        <v>31</v>
      </c>
      <c r="H418" t="s">
        <v>32</v>
      </c>
      <c r="I418" t="s">
        <v>33</v>
      </c>
      <c r="J418" t="s">
        <v>45</v>
      </c>
      <c r="K418" t="s">
        <v>35</v>
      </c>
      <c r="L418" t="s">
        <v>36</v>
      </c>
      <c r="M418" t="s">
        <v>88</v>
      </c>
      <c r="N418">
        <v>10</v>
      </c>
      <c r="O418">
        <v>5</v>
      </c>
      <c r="P418">
        <v>2</v>
      </c>
      <c r="Q418">
        <v>6</v>
      </c>
      <c r="R418">
        <v>324.38</v>
      </c>
      <c r="S418" t="str">
        <f t="shared" si="30"/>
        <v>PX: Baja Crit.</v>
      </c>
      <c r="T418">
        <f t="shared" si="31"/>
        <v>0</v>
      </c>
      <c r="U418">
        <f t="shared" si="32"/>
        <v>0</v>
      </c>
      <c r="V418">
        <f t="shared" si="33"/>
        <v>1</v>
      </c>
      <c r="W418">
        <f t="shared" si="34"/>
        <v>0</v>
      </c>
      <c r="X418">
        <v>1</v>
      </c>
      <c r="Y418" s="2">
        <v>45768</v>
      </c>
      <c r="Z418" s="3" t="s">
        <v>89</v>
      </c>
      <c r="AA418" t="s">
        <v>39</v>
      </c>
      <c r="AB418" t="s">
        <v>40</v>
      </c>
      <c r="AC418" t="s">
        <v>40</v>
      </c>
      <c r="AD418" t="s">
        <v>41</v>
      </c>
    </row>
    <row r="419" spans="2:30">
      <c r="B419">
        <v>7</v>
      </c>
      <c r="C419">
        <v>1020</v>
      </c>
      <c r="D419" t="s">
        <v>29</v>
      </c>
      <c r="E419">
        <v>10049928</v>
      </c>
      <c r="F419" t="s">
        <v>506</v>
      </c>
      <c r="G419" t="s">
        <v>31</v>
      </c>
      <c r="H419" t="s">
        <v>32</v>
      </c>
      <c r="I419" t="s">
        <v>33</v>
      </c>
      <c r="J419" t="s">
        <v>45</v>
      </c>
      <c r="K419" t="s">
        <v>35</v>
      </c>
      <c r="L419" t="s">
        <v>36</v>
      </c>
      <c r="M419" t="s">
        <v>55</v>
      </c>
      <c r="N419">
        <v>40</v>
      </c>
      <c r="O419">
        <v>21</v>
      </c>
      <c r="P419">
        <v>5</v>
      </c>
      <c r="Q419">
        <v>21</v>
      </c>
      <c r="R419">
        <v>1.53</v>
      </c>
      <c r="S419" t="str">
        <f t="shared" si="30"/>
        <v>PX: Baja Crit.</v>
      </c>
      <c r="T419">
        <f t="shared" si="31"/>
        <v>0</v>
      </c>
      <c r="U419">
        <f t="shared" si="32"/>
        <v>0</v>
      </c>
      <c r="V419">
        <f t="shared" si="33"/>
        <v>1</v>
      </c>
      <c r="W419">
        <f t="shared" si="34"/>
        <v>0</v>
      </c>
      <c r="X419">
        <v>1</v>
      </c>
      <c r="Y419" s="2">
        <v>45768</v>
      </c>
      <c r="Z419" s="3" t="s">
        <v>56</v>
      </c>
      <c r="AA419" t="s">
        <v>39</v>
      </c>
      <c r="AB419" t="s">
        <v>49</v>
      </c>
      <c r="AC419" s="5" t="s">
        <v>50</v>
      </c>
      <c r="AD419" t="s">
        <v>41</v>
      </c>
    </row>
    <row r="420" spans="2:30">
      <c r="B420">
        <v>7</v>
      </c>
      <c r="C420">
        <v>1020</v>
      </c>
      <c r="D420" t="s">
        <v>29</v>
      </c>
      <c r="E420">
        <v>10054063</v>
      </c>
      <c r="F420" t="s">
        <v>507</v>
      </c>
      <c r="G420" t="s">
        <v>43</v>
      </c>
      <c r="H420" t="s">
        <v>32</v>
      </c>
      <c r="I420" t="s">
        <v>33</v>
      </c>
      <c r="J420" t="s">
        <v>34</v>
      </c>
      <c r="K420" t="s">
        <v>35</v>
      </c>
      <c r="L420" t="s">
        <v>36</v>
      </c>
      <c r="M420" t="s">
        <v>117</v>
      </c>
      <c r="N420">
        <v>10</v>
      </c>
      <c r="O420">
        <v>6</v>
      </c>
      <c r="P420">
        <v>3</v>
      </c>
      <c r="Q420">
        <v>8</v>
      </c>
      <c r="R420">
        <v>442.73</v>
      </c>
      <c r="S420" t="str">
        <f t="shared" si="30"/>
        <v>PY: Media Crit.</v>
      </c>
      <c r="T420">
        <f t="shared" si="31"/>
        <v>0</v>
      </c>
      <c r="U420">
        <f t="shared" si="32"/>
        <v>0</v>
      </c>
      <c r="V420">
        <f t="shared" si="33"/>
        <v>1</v>
      </c>
      <c r="W420">
        <f t="shared" si="34"/>
        <v>0</v>
      </c>
      <c r="X420">
        <v>1</v>
      </c>
      <c r="Y420" s="2">
        <v>45768</v>
      </c>
      <c r="Z420" s="3" t="s">
        <v>118</v>
      </c>
      <c r="AA420" t="s">
        <v>39</v>
      </c>
      <c r="AB420" t="s">
        <v>40</v>
      </c>
      <c r="AC420" t="s">
        <v>40</v>
      </c>
      <c r="AD420" t="s">
        <v>41</v>
      </c>
    </row>
    <row r="421" spans="2:30">
      <c r="B421">
        <v>7</v>
      </c>
      <c r="C421">
        <v>1020</v>
      </c>
      <c r="D421" t="s">
        <v>29</v>
      </c>
      <c r="E421">
        <v>10004230</v>
      </c>
      <c r="F421" t="s">
        <v>508</v>
      </c>
      <c r="G421" t="s">
        <v>31</v>
      </c>
      <c r="H421" t="s">
        <v>32</v>
      </c>
      <c r="I421" t="s">
        <v>33</v>
      </c>
      <c r="J421" t="s">
        <v>34</v>
      </c>
      <c r="K421" t="s">
        <v>35</v>
      </c>
      <c r="L421" t="s">
        <v>36</v>
      </c>
      <c r="M421" t="s">
        <v>88</v>
      </c>
      <c r="N421">
        <v>80</v>
      </c>
      <c r="O421">
        <v>41</v>
      </c>
      <c r="P421">
        <v>23</v>
      </c>
      <c r="Q421">
        <v>122</v>
      </c>
      <c r="R421">
        <v>237.9</v>
      </c>
      <c r="S421" t="str">
        <f t="shared" si="30"/>
        <v>PX: Baja Crit.</v>
      </c>
      <c r="T421">
        <f t="shared" si="31"/>
        <v>0</v>
      </c>
      <c r="U421">
        <f t="shared" si="32"/>
        <v>0</v>
      </c>
      <c r="V421">
        <f t="shared" si="33"/>
        <v>0</v>
      </c>
      <c r="W421">
        <f t="shared" si="34"/>
        <v>1</v>
      </c>
      <c r="X421">
        <v>1</v>
      </c>
      <c r="Y421" s="2">
        <v>45768</v>
      </c>
      <c r="Z421" s="3" t="s">
        <v>89</v>
      </c>
      <c r="AA421" t="s">
        <v>39</v>
      </c>
      <c r="AB421" t="s">
        <v>40</v>
      </c>
      <c r="AC421" t="s">
        <v>40</v>
      </c>
      <c r="AD421" t="s">
        <v>41</v>
      </c>
    </row>
    <row r="422" spans="2:30">
      <c r="B422">
        <v>7</v>
      </c>
      <c r="C422">
        <v>1020</v>
      </c>
      <c r="D422" t="s">
        <v>29</v>
      </c>
      <c r="E422">
        <v>10054089</v>
      </c>
      <c r="F422" t="s">
        <v>509</v>
      </c>
      <c r="G422" t="s">
        <v>31</v>
      </c>
      <c r="H422" t="s">
        <v>60</v>
      </c>
      <c r="I422" t="s">
        <v>33</v>
      </c>
      <c r="J422" t="s">
        <v>45</v>
      </c>
      <c r="K422" t="s">
        <v>35</v>
      </c>
      <c r="L422" t="s">
        <v>36</v>
      </c>
      <c r="M422" t="s">
        <v>117</v>
      </c>
      <c r="N422">
        <v>15</v>
      </c>
      <c r="O422">
        <v>11</v>
      </c>
      <c r="P422">
        <v>5</v>
      </c>
      <c r="Q422">
        <v>15</v>
      </c>
      <c r="R422">
        <v>264.60000000000002</v>
      </c>
      <c r="S422" t="str">
        <f t="shared" si="30"/>
        <v>PX: Baja Crit.</v>
      </c>
      <c r="T422">
        <f t="shared" si="31"/>
        <v>0</v>
      </c>
      <c r="U422">
        <f t="shared" si="32"/>
        <v>0</v>
      </c>
      <c r="V422">
        <f t="shared" si="33"/>
        <v>1</v>
      </c>
      <c r="W422">
        <f t="shared" si="34"/>
        <v>0</v>
      </c>
      <c r="X422">
        <v>1</v>
      </c>
      <c r="Y422" s="2">
        <v>45768</v>
      </c>
      <c r="Z422" s="3" t="s">
        <v>118</v>
      </c>
      <c r="AA422" t="s">
        <v>39</v>
      </c>
      <c r="AB422" t="s">
        <v>40</v>
      </c>
      <c r="AC422" t="s">
        <v>40</v>
      </c>
      <c r="AD422" t="s">
        <v>41</v>
      </c>
    </row>
    <row r="423" spans="2:30">
      <c r="B423">
        <v>7</v>
      </c>
      <c r="C423">
        <v>1020</v>
      </c>
      <c r="D423" t="s">
        <v>29</v>
      </c>
      <c r="E423">
        <v>10047306</v>
      </c>
      <c r="F423" t="s">
        <v>510</v>
      </c>
      <c r="G423" t="s">
        <v>52</v>
      </c>
      <c r="H423" t="s">
        <v>32</v>
      </c>
      <c r="I423" t="s">
        <v>33</v>
      </c>
      <c r="J423" t="s">
        <v>45</v>
      </c>
      <c r="K423" t="s">
        <v>35</v>
      </c>
      <c r="L423" t="s">
        <v>36</v>
      </c>
      <c r="M423" t="s">
        <v>46</v>
      </c>
      <c r="N423">
        <v>20</v>
      </c>
      <c r="O423">
        <v>11</v>
      </c>
      <c r="P423">
        <v>2</v>
      </c>
      <c r="Q423">
        <v>16</v>
      </c>
      <c r="R423" s="4">
        <v>1635.6</v>
      </c>
      <c r="S423" t="str">
        <f t="shared" si="30"/>
        <v>PZ: Alta Crit.</v>
      </c>
      <c r="T423">
        <f t="shared" si="31"/>
        <v>0</v>
      </c>
      <c r="U423">
        <f t="shared" si="32"/>
        <v>0</v>
      </c>
      <c r="V423">
        <f t="shared" si="33"/>
        <v>1</v>
      </c>
      <c r="W423">
        <f t="shared" si="34"/>
        <v>0</v>
      </c>
      <c r="X423">
        <v>1</v>
      </c>
      <c r="Y423" s="2">
        <v>45768</v>
      </c>
      <c r="Z423" s="3" t="s">
        <v>47</v>
      </c>
      <c r="AA423" t="s">
        <v>39</v>
      </c>
      <c r="AB423" t="s">
        <v>40</v>
      </c>
      <c r="AC423" t="s">
        <v>40</v>
      </c>
      <c r="AD423" t="s">
        <v>41</v>
      </c>
    </row>
    <row r="424" spans="2:30">
      <c r="B424">
        <v>7</v>
      </c>
      <c r="C424">
        <v>1020</v>
      </c>
      <c r="D424" t="s">
        <v>29</v>
      </c>
      <c r="E424">
        <v>10047982</v>
      </c>
      <c r="F424" t="s">
        <v>511</v>
      </c>
      <c r="G424" t="s">
        <v>43</v>
      </c>
      <c r="H424" t="s">
        <v>32</v>
      </c>
      <c r="I424" t="s">
        <v>33</v>
      </c>
      <c r="J424" t="s">
        <v>45</v>
      </c>
      <c r="K424" t="s">
        <v>35</v>
      </c>
      <c r="L424" t="s">
        <v>36</v>
      </c>
      <c r="M424" t="s">
        <v>46</v>
      </c>
      <c r="N424">
        <v>12</v>
      </c>
      <c r="O424">
        <v>6</v>
      </c>
      <c r="P424">
        <v>0</v>
      </c>
      <c r="Q424">
        <v>6</v>
      </c>
      <c r="R424">
        <v>111.67</v>
      </c>
      <c r="S424" t="str">
        <f t="shared" si="30"/>
        <v>PY: Media Crit.</v>
      </c>
      <c r="T424">
        <f t="shared" si="31"/>
        <v>0</v>
      </c>
      <c r="U424">
        <f t="shared" si="32"/>
        <v>0</v>
      </c>
      <c r="V424">
        <f t="shared" si="33"/>
        <v>1</v>
      </c>
      <c r="W424">
        <f t="shared" si="34"/>
        <v>0</v>
      </c>
      <c r="X424">
        <v>1</v>
      </c>
      <c r="Y424" s="2">
        <v>45768</v>
      </c>
      <c r="Z424" s="3" t="s">
        <v>47</v>
      </c>
      <c r="AA424" t="s">
        <v>39</v>
      </c>
      <c r="AB424" t="s">
        <v>76</v>
      </c>
      <c r="AC424" s="5" t="s">
        <v>77</v>
      </c>
      <c r="AD424" t="s">
        <v>41</v>
      </c>
    </row>
    <row r="425" spans="2:30">
      <c r="B425">
        <v>7</v>
      </c>
      <c r="C425">
        <v>1020</v>
      </c>
      <c r="D425" t="s">
        <v>29</v>
      </c>
      <c r="E425">
        <v>10050284</v>
      </c>
      <c r="F425" t="s">
        <v>512</v>
      </c>
      <c r="G425" t="s">
        <v>52</v>
      </c>
      <c r="H425" t="s">
        <v>32</v>
      </c>
      <c r="I425" t="s">
        <v>33</v>
      </c>
      <c r="J425" t="s">
        <v>45</v>
      </c>
      <c r="K425" t="s">
        <v>35</v>
      </c>
      <c r="L425" t="s">
        <v>36</v>
      </c>
      <c r="M425" t="s">
        <v>37</v>
      </c>
      <c r="N425">
        <v>40</v>
      </c>
      <c r="O425">
        <v>21</v>
      </c>
      <c r="P425">
        <v>10</v>
      </c>
      <c r="Q425">
        <v>21</v>
      </c>
      <c r="R425">
        <v>158.34</v>
      </c>
      <c r="S425" t="str">
        <f t="shared" si="30"/>
        <v>PZ: Alta Crit.</v>
      </c>
      <c r="T425">
        <f t="shared" si="31"/>
        <v>0</v>
      </c>
      <c r="U425">
        <f t="shared" si="32"/>
        <v>0</v>
      </c>
      <c r="V425">
        <f t="shared" si="33"/>
        <v>1</v>
      </c>
      <c r="W425">
        <f t="shared" si="34"/>
        <v>0</v>
      </c>
      <c r="X425">
        <v>1</v>
      </c>
      <c r="Y425" s="2">
        <v>45768</v>
      </c>
      <c r="Z425" s="3" t="s">
        <v>38</v>
      </c>
      <c r="AA425" t="s">
        <v>39</v>
      </c>
      <c r="AB425" t="s">
        <v>40</v>
      </c>
      <c r="AC425" t="s">
        <v>40</v>
      </c>
      <c r="AD425" t="s">
        <v>41</v>
      </c>
    </row>
    <row r="426" spans="2:30">
      <c r="B426">
        <v>7</v>
      </c>
      <c r="C426">
        <v>1020</v>
      </c>
      <c r="D426" t="s">
        <v>29</v>
      </c>
      <c r="E426">
        <v>10054066</v>
      </c>
      <c r="F426" t="s">
        <v>513</v>
      </c>
      <c r="G426" t="s">
        <v>43</v>
      </c>
      <c r="H426" t="s">
        <v>60</v>
      </c>
      <c r="I426" t="s">
        <v>33</v>
      </c>
      <c r="J426" t="s">
        <v>45</v>
      </c>
      <c r="K426" t="s">
        <v>35</v>
      </c>
      <c r="L426" t="s">
        <v>36</v>
      </c>
      <c r="M426" t="s">
        <v>117</v>
      </c>
      <c r="N426">
        <v>20</v>
      </c>
      <c r="O426">
        <v>11</v>
      </c>
      <c r="P426">
        <v>4</v>
      </c>
      <c r="Q426">
        <v>0</v>
      </c>
      <c r="R426">
        <v>0</v>
      </c>
      <c r="S426" t="str">
        <f t="shared" si="30"/>
        <v>PY: Media Crit.</v>
      </c>
      <c r="T426">
        <f t="shared" si="31"/>
        <v>1</v>
      </c>
      <c r="U426">
        <f t="shared" si="32"/>
        <v>0</v>
      </c>
      <c r="V426">
        <f t="shared" si="33"/>
        <v>0</v>
      </c>
      <c r="W426">
        <f t="shared" si="34"/>
        <v>0</v>
      </c>
      <c r="X426">
        <v>1</v>
      </c>
      <c r="Y426" s="2">
        <v>45768</v>
      </c>
      <c r="Z426" s="3" t="s">
        <v>118</v>
      </c>
      <c r="AA426" t="s">
        <v>39</v>
      </c>
      <c r="AB426" t="s">
        <v>49</v>
      </c>
      <c r="AC426" s="5" t="s">
        <v>50</v>
      </c>
      <c r="AD426" t="s">
        <v>41</v>
      </c>
    </row>
    <row r="427" spans="2:30">
      <c r="B427">
        <v>7</v>
      </c>
      <c r="C427">
        <v>1020</v>
      </c>
      <c r="D427" t="s">
        <v>29</v>
      </c>
      <c r="E427">
        <v>10048368</v>
      </c>
      <c r="F427" t="s">
        <v>514</v>
      </c>
      <c r="G427" t="s">
        <v>43</v>
      </c>
      <c r="H427" t="s">
        <v>32</v>
      </c>
      <c r="I427" t="s">
        <v>33</v>
      </c>
      <c r="J427" t="s">
        <v>34</v>
      </c>
      <c r="K427" t="s">
        <v>35</v>
      </c>
      <c r="L427" t="s">
        <v>36</v>
      </c>
      <c r="M427" t="s">
        <v>46</v>
      </c>
      <c r="N427">
        <v>8</v>
      </c>
      <c r="O427">
        <v>6</v>
      </c>
      <c r="P427">
        <v>2</v>
      </c>
      <c r="Q427">
        <v>5</v>
      </c>
      <c r="R427" s="4">
        <v>1354.79</v>
      </c>
      <c r="S427" t="str">
        <f t="shared" si="30"/>
        <v>PY: Media Crit.</v>
      </c>
      <c r="T427">
        <f t="shared" si="31"/>
        <v>0</v>
      </c>
      <c r="U427">
        <f t="shared" si="32"/>
        <v>0</v>
      </c>
      <c r="V427">
        <f t="shared" si="33"/>
        <v>1</v>
      </c>
      <c r="W427">
        <f t="shared" si="34"/>
        <v>0</v>
      </c>
      <c r="X427">
        <v>1</v>
      </c>
      <c r="Y427" s="2">
        <v>45768</v>
      </c>
      <c r="Z427" s="3" t="s">
        <v>47</v>
      </c>
      <c r="AA427" t="s">
        <v>39</v>
      </c>
      <c r="AB427" t="s">
        <v>49</v>
      </c>
      <c r="AC427" s="5" t="s">
        <v>50</v>
      </c>
      <c r="AD427" t="s">
        <v>41</v>
      </c>
    </row>
    <row r="428" spans="2:30">
      <c r="B428">
        <v>7</v>
      </c>
      <c r="C428">
        <v>1020</v>
      </c>
      <c r="D428" t="s">
        <v>29</v>
      </c>
      <c r="E428">
        <v>10602386</v>
      </c>
      <c r="F428" t="s">
        <v>515</v>
      </c>
      <c r="G428" t="s">
        <v>43</v>
      </c>
      <c r="H428" t="s">
        <v>32</v>
      </c>
      <c r="I428" t="s">
        <v>33</v>
      </c>
      <c r="J428" t="s">
        <v>45</v>
      </c>
      <c r="K428" t="s">
        <v>35</v>
      </c>
      <c r="L428" t="s">
        <v>36</v>
      </c>
      <c r="M428" t="s">
        <v>46</v>
      </c>
      <c r="N428">
        <v>9</v>
      </c>
      <c r="O428">
        <v>6</v>
      </c>
      <c r="P428">
        <v>2</v>
      </c>
      <c r="Q428">
        <v>8</v>
      </c>
      <c r="R428">
        <v>265.05</v>
      </c>
      <c r="S428" t="str">
        <f t="shared" si="30"/>
        <v>PY: Media Crit.</v>
      </c>
      <c r="T428">
        <f t="shared" si="31"/>
        <v>0</v>
      </c>
      <c r="U428">
        <f t="shared" si="32"/>
        <v>0</v>
      </c>
      <c r="V428">
        <f t="shared" si="33"/>
        <v>1</v>
      </c>
      <c r="W428">
        <f t="shared" si="34"/>
        <v>0</v>
      </c>
      <c r="X428">
        <v>1</v>
      </c>
      <c r="Y428" s="2">
        <v>45768</v>
      </c>
      <c r="Z428" s="3" t="s">
        <v>47</v>
      </c>
      <c r="AA428" t="s">
        <v>39</v>
      </c>
      <c r="AB428" t="s">
        <v>40</v>
      </c>
      <c r="AC428" t="s">
        <v>40</v>
      </c>
      <c r="AD428" t="s">
        <v>41</v>
      </c>
    </row>
    <row r="429" spans="2:30">
      <c r="B429">
        <v>7</v>
      </c>
      <c r="C429">
        <v>1020</v>
      </c>
      <c r="D429" t="s">
        <v>29</v>
      </c>
      <c r="E429">
        <v>10050631</v>
      </c>
      <c r="F429" t="s">
        <v>516</v>
      </c>
      <c r="G429" t="s">
        <v>31</v>
      </c>
      <c r="H429" t="s">
        <v>32</v>
      </c>
      <c r="I429" t="s">
        <v>33</v>
      </c>
      <c r="J429" t="s">
        <v>45</v>
      </c>
      <c r="K429" t="s">
        <v>35</v>
      </c>
      <c r="L429" t="s">
        <v>36</v>
      </c>
      <c r="M429" t="s">
        <v>55</v>
      </c>
      <c r="N429">
        <v>100</v>
      </c>
      <c r="O429">
        <v>61</v>
      </c>
      <c r="P429">
        <v>60</v>
      </c>
      <c r="Q429">
        <v>102</v>
      </c>
      <c r="R429">
        <v>282.68</v>
      </c>
      <c r="S429" t="str">
        <f t="shared" si="30"/>
        <v>PX: Baja Crit.</v>
      </c>
      <c r="T429">
        <f t="shared" si="31"/>
        <v>0</v>
      </c>
      <c r="U429">
        <f t="shared" si="32"/>
        <v>0</v>
      </c>
      <c r="V429">
        <f t="shared" si="33"/>
        <v>0</v>
      </c>
      <c r="W429">
        <f t="shared" si="34"/>
        <v>1</v>
      </c>
      <c r="X429">
        <v>1</v>
      </c>
      <c r="Y429" s="2">
        <v>45768</v>
      </c>
      <c r="Z429" s="3" t="s">
        <v>56</v>
      </c>
      <c r="AA429" t="s">
        <v>39</v>
      </c>
      <c r="AB429" t="s">
        <v>40</v>
      </c>
      <c r="AC429" t="s">
        <v>40</v>
      </c>
      <c r="AD429" t="s">
        <v>41</v>
      </c>
    </row>
    <row r="430" spans="2:30">
      <c r="B430">
        <v>7</v>
      </c>
      <c r="C430">
        <v>1020</v>
      </c>
      <c r="D430" t="s">
        <v>29</v>
      </c>
      <c r="E430">
        <v>10014006</v>
      </c>
      <c r="F430" t="s">
        <v>517</v>
      </c>
      <c r="G430" t="s">
        <v>31</v>
      </c>
      <c r="H430" t="s">
        <v>32</v>
      </c>
      <c r="I430" t="s">
        <v>33</v>
      </c>
      <c r="J430" t="s">
        <v>45</v>
      </c>
      <c r="K430" t="s">
        <v>35</v>
      </c>
      <c r="L430" t="s">
        <v>36</v>
      </c>
      <c r="M430" t="s">
        <v>37</v>
      </c>
      <c r="N430">
        <v>8</v>
      </c>
      <c r="O430">
        <v>5</v>
      </c>
      <c r="P430">
        <v>1</v>
      </c>
      <c r="Q430">
        <v>4</v>
      </c>
      <c r="R430">
        <v>283.20999999999998</v>
      </c>
      <c r="S430" t="str">
        <f t="shared" si="30"/>
        <v>PX: Baja Crit.</v>
      </c>
      <c r="T430">
        <f t="shared" si="31"/>
        <v>0</v>
      </c>
      <c r="U430">
        <f t="shared" si="32"/>
        <v>0</v>
      </c>
      <c r="V430">
        <f t="shared" si="33"/>
        <v>1</v>
      </c>
      <c r="W430">
        <f t="shared" si="34"/>
        <v>0</v>
      </c>
      <c r="X430">
        <v>1</v>
      </c>
      <c r="Y430" s="2">
        <v>45768</v>
      </c>
      <c r="Z430" s="3" t="s">
        <v>38</v>
      </c>
      <c r="AA430" t="s">
        <v>39</v>
      </c>
      <c r="AB430" t="s">
        <v>49</v>
      </c>
      <c r="AC430" s="5" t="s">
        <v>50</v>
      </c>
      <c r="AD430" t="s">
        <v>41</v>
      </c>
    </row>
    <row r="431" spans="2:30">
      <c r="B431">
        <v>7</v>
      </c>
      <c r="C431">
        <v>1020</v>
      </c>
      <c r="D431" t="s">
        <v>29</v>
      </c>
      <c r="E431">
        <v>10043445</v>
      </c>
      <c r="F431" t="s">
        <v>518</v>
      </c>
      <c r="G431" t="s">
        <v>43</v>
      </c>
      <c r="H431" t="s">
        <v>32</v>
      </c>
      <c r="I431" t="s">
        <v>33</v>
      </c>
      <c r="J431" t="s">
        <v>45</v>
      </c>
      <c r="K431" t="s">
        <v>35</v>
      </c>
      <c r="L431" t="s">
        <v>36</v>
      </c>
      <c r="M431" t="s">
        <v>46</v>
      </c>
      <c r="N431">
        <v>40</v>
      </c>
      <c r="O431">
        <v>31</v>
      </c>
      <c r="P431">
        <v>10</v>
      </c>
      <c r="Q431">
        <v>40</v>
      </c>
      <c r="R431" s="4">
        <v>1590.31</v>
      </c>
      <c r="S431" t="str">
        <f t="shared" si="30"/>
        <v>PY: Media Crit.</v>
      </c>
      <c r="T431">
        <f t="shared" si="31"/>
        <v>0</v>
      </c>
      <c r="U431">
        <f t="shared" si="32"/>
        <v>0</v>
      </c>
      <c r="V431">
        <f t="shared" si="33"/>
        <v>1</v>
      </c>
      <c r="W431">
        <f t="shared" si="34"/>
        <v>0</v>
      </c>
      <c r="X431">
        <v>1</v>
      </c>
      <c r="Y431" s="2">
        <v>45768</v>
      </c>
      <c r="Z431" s="3" t="s">
        <v>47</v>
      </c>
      <c r="AA431" t="s">
        <v>39</v>
      </c>
      <c r="AB431" t="s">
        <v>40</v>
      </c>
      <c r="AC431" t="s">
        <v>40</v>
      </c>
      <c r="AD431" t="s">
        <v>41</v>
      </c>
    </row>
    <row r="432" spans="2:30">
      <c r="B432">
        <v>7</v>
      </c>
      <c r="C432">
        <v>1020</v>
      </c>
      <c r="D432" t="s">
        <v>29</v>
      </c>
      <c r="E432">
        <v>10057115</v>
      </c>
      <c r="F432" t="s">
        <v>519</v>
      </c>
      <c r="G432" t="s">
        <v>43</v>
      </c>
      <c r="H432" t="s">
        <v>32</v>
      </c>
      <c r="I432" t="s">
        <v>33</v>
      </c>
      <c r="J432" t="s">
        <v>45</v>
      </c>
      <c r="K432" t="s">
        <v>35</v>
      </c>
      <c r="L432" t="s">
        <v>36</v>
      </c>
      <c r="M432" t="s">
        <v>46</v>
      </c>
      <c r="N432">
        <v>12</v>
      </c>
      <c r="O432">
        <v>7</v>
      </c>
      <c r="P432">
        <v>2</v>
      </c>
      <c r="Q432">
        <v>7</v>
      </c>
      <c r="R432" s="4">
        <v>2546</v>
      </c>
      <c r="S432" t="str">
        <f t="shared" si="30"/>
        <v>PY: Media Crit.</v>
      </c>
      <c r="T432">
        <f t="shared" si="31"/>
        <v>0</v>
      </c>
      <c r="U432">
        <f t="shared" si="32"/>
        <v>0</v>
      </c>
      <c r="V432">
        <f t="shared" si="33"/>
        <v>1</v>
      </c>
      <c r="W432">
        <f t="shared" si="34"/>
        <v>0</v>
      </c>
      <c r="X432">
        <v>1</v>
      </c>
      <c r="Y432" s="2">
        <v>45768</v>
      </c>
      <c r="Z432" s="3" t="s">
        <v>47</v>
      </c>
      <c r="AA432" t="s">
        <v>39</v>
      </c>
      <c r="AB432" t="s">
        <v>40</v>
      </c>
      <c r="AC432" t="s">
        <v>40</v>
      </c>
      <c r="AD432" t="s">
        <v>41</v>
      </c>
    </row>
    <row r="433" spans="2:30">
      <c r="B433">
        <v>7</v>
      </c>
      <c r="C433">
        <v>1020</v>
      </c>
      <c r="D433" t="s">
        <v>29</v>
      </c>
      <c r="E433">
        <v>10050679</v>
      </c>
      <c r="F433" t="s">
        <v>520</v>
      </c>
      <c r="G433" t="s">
        <v>31</v>
      </c>
      <c r="H433" t="s">
        <v>32</v>
      </c>
      <c r="I433" t="s">
        <v>33</v>
      </c>
      <c r="J433" t="s">
        <v>34</v>
      </c>
      <c r="K433" t="s">
        <v>35</v>
      </c>
      <c r="L433" t="s">
        <v>36</v>
      </c>
      <c r="M433" t="s">
        <v>55</v>
      </c>
      <c r="N433">
        <v>30</v>
      </c>
      <c r="O433">
        <v>21</v>
      </c>
      <c r="P433">
        <v>5</v>
      </c>
      <c r="Q433">
        <v>60</v>
      </c>
      <c r="R433">
        <v>15.48</v>
      </c>
      <c r="S433" t="str">
        <f t="shared" si="30"/>
        <v>PX: Baja Crit.</v>
      </c>
      <c r="T433">
        <f t="shared" si="31"/>
        <v>0</v>
      </c>
      <c r="U433">
        <f t="shared" si="32"/>
        <v>0</v>
      </c>
      <c r="V433">
        <f t="shared" si="33"/>
        <v>0</v>
      </c>
      <c r="W433">
        <f t="shared" si="34"/>
        <v>1</v>
      </c>
      <c r="X433">
        <v>1</v>
      </c>
      <c r="Y433" s="2">
        <v>45768</v>
      </c>
      <c r="Z433" s="3" t="s">
        <v>56</v>
      </c>
      <c r="AA433" t="s">
        <v>39</v>
      </c>
      <c r="AB433" t="s">
        <v>40</v>
      </c>
      <c r="AC433" t="s">
        <v>40</v>
      </c>
      <c r="AD433" t="s">
        <v>41</v>
      </c>
    </row>
    <row r="434" spans="2:30">
      <c r="B434">
        <v>7</v>
      </c>
      <c r="C434">
        <v>1020</v>
      </c>
      <c r="D434" t="s">
        <v>29</v>
      </c>
      <c r="E434">
        <v>14140929</v>
      </c>
      <c r="F434" t="s">
        <v>521</v>
      </c>
      <c r="G434" t="s">
        <v>43</v>
      </c>
      <c r="H434" t="s">
        <v>32</v>
      </c>
      <c r="I434" t="s">
        <v>33</v>
      </c>
      <c r="J434" t="s">
        <v>45</v>
      </c>
      <c r="K434" t="s">
        <v>35</v>
      </c>
      <c r="L434" t="s">
        <v>36</v>
      </c>
      <c r="M434" t="s">
        <v>117</v>
      </c>
      <c r="N434">
        <v>80</v>
      </c>
      <c r="O434">
        <v>51</v>
      </c>
      <c r="P434">
        <v>10</v>
      </c>
      <c r="Q434">
        <v>80</v>
      </c>
      <c r="R434" s="4">
        <v>6960</v>
      </c>
      <c r="S434" t="str">
        <f t="shared" si="30"/>
        <v>PY: Media Crit.</v>
      </c>
      <c r="T434">
        <f t="shared" si="31"/>
        <v>0</v>
      </c>
      <c r="U434">
        <f t="shared" si="32"/>
        <v>0</v>
      </c>
      <c r="V434">
        <f t="shared" si="33"/>
        <v>1</v>
      </c>
      <c r="W434">
        <f t="shared" si="34"/>
        <v>0</v>
      </c>
      <c r="X434">
        <v>1</v>
      </c>
      <c r="Y434" s="2">
        <v>45768</v>
      </c>
      <c r="Z434" s="3" t="s">
        <v>118</v>
      </c>
      <c r="AA434" t="s">
        <v>39</v>
      </c>
      <c r="AB434" t="s">
        <v>40</v>
      </c>
      <c r="AC434" t="s">
        <v>40</v>
      </c>
      <c r="AD434" t="s">
        <v>41</v>
      </c>
    </row>
    <row r="435" spans="2:30">
      <c r="B435">
        <v>7</v>
      </c>
      <c r="C435">
        <v>1020</v>
      </c>
      <c r="D435" t="s">
        <v>29</v>
      </c>
      <c r="E435">
        <v>10017518</v>
      </c>
      <c r="F435" t="s">
        <v>522</v>
      </c>
      <c r="G435" t="s">
        <v>31</v>
      </c>
      <c r="H435" t="s">
        <v>32</v>
      </c>
      <c r="I435" t="s">
        <v>33</v>
      </c>
      <c r="J435" t="s">
        <v>45</v>
      </c>
      <c r="K435" t="s">
        <v>35</v>
      </c>
      <c r="L435" t="s">
        <v>36</v>
      </c>
      <c r="M435" t="s">
        <v>37</v>
      </c>
      <c r="N435">
        <v>40</v>
      </c>
      <c r="O435">
        <v>26</v>
      </c>
      <c r="P435">
        <v>5</v>
      </c>
      <c r="Q435">
        <v>40</v>
      </c>
      <c r="R435">
        <v>80</v>
      </c>
      <c r="S435" t="str">
        <f t="shared" si="30"/>
        <v>PX: Baja Crit.</v>
      </c>
      <c r="T435">
        <f t="shared" si="31"/>
        <v>0</v>
      </c>
      <c r="U435">
        <f t="shared" si="32"/>
        <v>0</v>
      </c>
      <c r="V435">
        <f t="shared" si="33"/>
        <v>1</v>
      </c>
      <c r="W435">
        <f t="shared" si="34"/>
        <v>0</v>
      </c>
      <c r="X435">
        <v>1</v>
      </c>
      <c r="Y435" s="2">
        <v>45768</v>
      </c>
      <c r="Z435" s="3" t="s">
        <v>38</v>
      </c>
      <c r="AA435" t="s">
        <v>39</v>
      </c>
      <c r="AB435" t="s">
        <v>40</v>
      </c>
      <c r="AC435" t="s">
        <v>40</v>
      </c>
      <c r="AD435" t="s">
        <v>41</v>
      </c>
    </row>
    <row r="436" spans="2:30">
      <c r="B436">
        <v>7</v>
      </c>
      <c r="C436">
        <v>1020</v>
      </c>
      <c r="D436" t="s">
        <v>29</v>
      </c>
      <c r="E436">
        <v>10045300</v>
      </c>
      <c r="F436" t="s">
        <v>523</v>
      </c>
      <c r="G436" t="s">
        <v>31</v>
      </c>
      <c r="H436" t="s">
        <v>32</v>
      </c>
      <c r="I436" t="s">
        <v>33</v>
      </c>
      <c r="J436" t="s">
        <v>45</v>
      </c>
      <c r="K436" t="s">
        <v>35</v>
      </c>
      <c r="L436" t="s">
        <v>36</v>
      </c>
      <c r="M436" t="s">
        <v>37</v>
      </c>
      <c r="N436">
        <v>6</v>
      </c>
      <c r="O436">
        <v>4</v>
      </c>
      <c r="P436">
        <v>1</v>
      </c>
      <c r="Q436">
        <v>6</v>
      </c>
      <c r="R436" s="4">
        <v>3504.41</v>
      </c>
      <c r="S436" t="str">
        <f t="shared" si="30"/>
        <v>PX: Baja Crit.</v>
      </c>
      <c r="T436">
        <f t="shared" si="31"/>
        <v>0</v>
      </c>
      <c r="U436">
        <f t="shared" si="32"/>
        <v>0</v>
      </c>
      <c r="V436">
        <f t="shared" si="33"/>
        <v>1</v>
      </c>
      <c r="W436">
        <f t="shared" si="34"/>
        <v>0</v>
      </c>
      <c r="X436">
        <v>1</v>
      </c>
      <c r="Y436" s="2">
        <v>45768</v>
      </c>
      <c r="Z436" s="3" t="s">
        <v>38</v>
      </c>
      <c r="AA436" t="s">
        <v>39</v>
      </c>
      <c r="AB436" t="s">
        <v>40</v>
      </c>
      <c r="AC436" t="s">
        <v>40</v>
      </c>
      <c r="AD436" t="s">
        <v>41</v>
      </c>
    </row>
    <row r="437" spans="2:30">
      <c r="B437">
        <v>7</v>
      </c>
      <c r="C437">
        <v>1020</v>
      </c>
      <c r="D437" t="s">
        <v>29</v>
      </c>
      <c r="E437">
        <v>14192319</v>
      </c>
      <c r="F437" t="s">
        <v>524</v>
      </c>
      <c r="G437" t="s">
        <v>43</v>
      </c>
      <c r="H437" t="s">
        <v>44</v>
      </c>
      <c r="I437" t="s">
        <v>33</v>
      </c>
      <c r="J437" t="s">
        <v>45</v>
      </c>
      <c r="K437" t="s">
        <v>35</v>
      </c>
      <c r="L437" t="s">
        <v>36</v>
      </c>
      <c r="M437" t="s">
        <v>46</v>
      </c>
      <c r="N437">
        <v>10</v>
      </c>
      <c r="O437">
        <v>5</v>
      </c>
      <c r="P437">
        <v>0</v>
      </c>
      <c r="Q437">
        <v>11</v>
      </c>
      <c r="R437">
        <v>643.48</v>
      </c>
      <c r="S437" t="str">
        <f t="shared" si="30"/>
        <v>PY: Media Crit.</v>
      </c>
      <c r="T437">
        <f t="shared" si="31"/>
        <v>0</v>
      </c>
      <c r="U437">
        <f t="shared" si="32"/>
        <v>0</v>
      </c>
      <c r="V437">
        <f t="shared" si="33"/>
        <v>0</v>
      </c>
      <c r="W437">
        <f t="shared" si="34"/>
        <v>1</v>
      </c>
      <c r="X437">
        <v>1</v>
      </c>
      <c r="Y437" s="2">
        <v>45768</v>
      </c>
      <c r="Z437" s="3" t="s">
        <v>47</v>
      </c>
      <c r="AA437" t="s">
        <v>39</v>
      </c>
      <c r="AB437" t="s">
        <v>49</v>
      </c>
      <c r="AC437" s="5" t="s">
        <v>50</v>
      </c>
      <c r="AD437" t="s">
        <v>41</v>
      </c>
    </row>
    <row r="438" spans="2:30">
      <c r="B438">
        <v>7</v>
      </c>
      <c r="C438">
        <v>1020</v>
      </c>
      <c r="D438" t="s">
        <v>29</v>
      </c>
      <c r="E438">
        <v>10040843</v>
      </c>
      <c r="F438" t="s">
        <v>525</v>
      </c>
      <c r="G438" t="s">
        <v>31</v>
      </c>
      <c r="H438" t="s">
        <v>32</v>
      </c>
      <c r="I438" t="s">
        <v>33</v>
      </c>
      <c r="J438" t="s">
        <v>45</v>
      </c>
      <c r="K438" t="s">
        <v>35</v>
      </c>
      <c r="L438" t="s">
        <v>36</v>
      </c>
      <c r="M438" t="s">
        <v>55</v>
      </c>
      <c r="N438">
        <v>100</v>
      </c>
      <c r="O438">
        <v>61</v>
      </c>
      <c r="P438">
        <v>10</v>
      </c>
      <c r="Q438">
        <v>53</v>
      </c>
      <c r="R438">
        <v>9.5399999999999991</v>
      </c>
      <c r="S438" t="str">
        <f t="shared" si="30"/>
        <v>PX: Baja Crit.</v>
      </c>
      <c r="T438">
        <f t="shared" si="31"/>
        <v>0</v>
      </c>
      <c r="U438">
        <f t="shared" si="32"/>
        <v>0</v>
      </c>
      <c r="V438">
        <f t="shared" si="33"/>
        <v>1</v>
      </c>
      <c r="W438">
        <f t="shared" si="34"/>
        <v>0</v>
      </c>
      <c r="X438">
        <v>1</v>
      </c>
      <c r="Y438" s="2">
        <v>45768</v>
      </c>
      <c r="Z438" s="3" t="s">
        <v>56</v>
      </c>
      <c r="AA438" t="s">
        <v>39</v>
      </c>
      <c r="AB438" t="s">
        <v>49</v>
      </c>
      <c r="AC438" s="5" t="s">
        <v>50</v>
      </c>
      <c r="AD438" t="s">
        <v>41</v>
      </c>
    </row>
    <row r="439" spans="2:30">
      <c r="B439">
        <v>7</v>
      </c>
      <c r="C439">
        <v>1020</v>
      </c>
      <c r="D439" t="s">
        <v>29</v>
      </c>
      <c r="E439">
        <v>10040861</v>
      </c>
      <c r="F439" t="s">
        <v>526</v>
      </c>
      <c r="G439" t="s">
        <v>31</v>
      </c>
      <c r="H439" t="s">
        <v>32</v>
      </c>
      <c r="I439" t="s">
        <v>33</v>
      </c>
      <c r="J439" t="s">
        <v>34</v>
      </c>
      <c r="K439" t="s">
        <v>35</v>
      </c>
      <c r="L439" t="s">
        <v>36</v>
      </c>
      <c r="M439" t="s">
        <v>55</v>
      </c>
      <c r="N439">
        <v>200</v>
      </c>
      <c r="O439">
        <v>101</v>
      </c>
      <c r="P439">
        <v>20</v>
      </c>
      <c r="Q439">
        <v>180</v>
      </c>
      <c r="R439">
        <v>32.770000000000003</v>
      </c>
      <c r="S439" t="str">
        <f t="shared" si="30"/>
        <v>PX: Baja Crit.</v>
      </c>
      <c r="T439">
        <f t="shared" si="31"/>
        <v>0</v>
      </c>
      <c r="U439">
        <f t="shared" si="32"/>
        <v>0</v>
      </c>
      <c r="V439">
        <f t="shared" si="33"/>
        <v>1</v>
      </c>
      <c r="W439">
        <f t="shared" si="34"/>
        <v>0</v>
      </c>
      <c r="X439">
        <v>1</v>
      </c>
      <c r="Y439" s="2">
        <v>45768</v>
      </c>
      <c r="Z439" s="3" t="s">
        <v>56</v>
      </c>
      <c r="AA439" t="s">
        <v>39</v>
      </c>
      <c r="AB439" t="s">
        <v>40</v>
      </c>
      <c r="AC439" t="s">
        <v>40</v>
      </c>
      <c r="AD439" t="s">
        <v>41</v>
      </c>
    </row>
    <row r="440" spans="2:30">
      <c r="B440">
        <v>7</v>
      </c>
      <c r="C440">
        <v>1020</v>
      </c>
      <c r="D440" t="s">
        <v>29</v>
      </c>
      <c r="E440">
        <v>10048716</v>
      </c>
      <c r="F440" t="s">
        <v>527</v>
      </c>
      <c r="G440" t="s">
        <v>43</v>
      </c>
      <c r="H440" t="s">
        <v>32</v>
      </c>
      <c r="I440" t="s">
        <v>33</v>
      </c>
      <c r="J440" t="s">
        <v>45</v>
      </c>
      <c r="K440" t="s">
        <v>62</v>
      </c>
      <c r="L440" t="s">
        <v>36</v>
      </c>
      <c r="M440" t="s">
        <v>46</v>
      </c>
      <c r="N440">
        <v>170</v>
      </c>
      <c r="O440">
        <v>91</v>
      </c>
      <c r="P440">
        <v>20</v>
      </c>
      <c r="Q440">
        <v>41</v>
      </c>
      <c r="R440">
        <v>217.89</v>
      </c>
      <c r="S440" t="str">
        <f t="shared" si="30"/>
        <v>PY: Media Crit.</v>
      </c>
      <c r="T440">
        <f t="shared" si="31"/>
        <v>0</v>
      </c>
      <c r="U440">
        <f t="shared" si="32"/>
        <v>0</v>
      </c>
      <c r="V440">
        <f t="shared" si="33"/>
        <v>1</v>
      </c>
      <c r="W440">
        <f t="shared" si="34"/>
        <v>0</v>
      </c>
      <c r="X440">
        <v>1</v>
      </c>
      <c r="Y440" s="2">
        <v>45768</v>
      </c>
      <c r="Z440" s="3" t="s">
        <v>47</v>
      </c>
      <c r="AA440" t="s">
        <v>39</v>
      </c>
      <c r="AB440" t="s">
        <v>49</v>
      </c>
      <c r="AC440" s="5" t="s">
        <v>50</v>
      </c>
      <c r="AD440" t="s">
        <v>41</v>
      </c>
    </row>
    <row r="441" spans="2:30">
      <c r="B441">
        <v>7</v>
      </c>
      <c r="C441">
        <v>1020</v>
      </c>
      <c r="D441" t="s">
        <v>29</v>
      </c>
      <c r="E441">
        <v>10044351</v>
      </c>
      <c r="F441" t="s">
        <v>528</v>
      </c>
      <c r="G441" t="s">
        <v>43</v>
      </c>
      <c r="H441" t="s">
        <v>32</v>
      </c>
      <c r="I441" t="s">
        <v>33</v>
      </c>
      <c r="J441" t="s">
        <v>34</v>
      </c>
      <c r="K441" t="s">
        <v>35</v>
      </c>
      <c r="L441" t="s">
        <v>36</v>
      </c>
      <c r="M441" t="s">
        <v>46</v>
      </c>
      <c r="N441">
        <v>8</v>
      </c>
      <c r="O441">
        <v>7</v>
      </c>
      <c r="P441">
        <v>1</v>
      </c>
      <c r="Q441">
        <v>8</v>
      </c>
      <c r="R441" s="4">
        <v>1661.57</v>
      </c>
      <c r="S441" t="str">
        <f t="shared" si="30"/>
        <v>PY: Media Crit.</v>
      </c>
      <c r="T441">
        <f t="shared" si="31"/>
        <v>0</v>
      </c>
      <c r="U441">
        <f t="shared" si="32"/>
        <v>0</v>
      </c>
      <c r="V441">
        <f t="shared" si="33"/>
        <v>1</v>
      </c>
      <c r="W441">
        <f t="shared" si="34"/>
        <v>0</v>
      </c>
      <c r="X441">
        <v>1</v>
      </c>
      <c r="Y441" s="2">
        <v>45768</v>
      </c>
      <c r="Z441" s="3" t="s">
        <v>47</v>
      </c>
      <c r="AA441" t="s">
        <v>39</v>
      </c>
      <c r="AB441" t="s">
        <v>40</v>
      </c>
      <c r="AC441" t="s">
        <v>40</v>
      </c>
      <c r="AD441" t="s">
        <v>41</v>
      </c>
    </row>
    <row r="442" spans="2:30">
      <c r="B442">
        <v>7</v>
      </c>
      <c r="C442">
        <v>1020</v>
      </c>
      <c r="D442" t="s">
        <v>29</v>
      </c>
      <c r="E442">
        <v>10047829</v>
      </c>
      <c r="F442" t="s">
        <v>529</v>
      </c>
      <c r="G442" t="s">
        <v>43</v>
      </c>
      <c r="H442" t="s">
        <v>32</v>
      </c>
      <c r="I442" t="s">
        <v>33</v>
      </c>
      <c r="J442" t="s">
        <v>45</v>
      </c>
      <c r="K442" t="s">
        <v>35</v>
      </c>
      <c r="L442" t="s">
        <v>36</v>
      </c>
      <c r="M442" t="s">
        <v>46</v>
      </c>
      <c r="N442">
        <v>20</v>
      </c>
      <c r="O442">
        <v>10</v>
      </c>
      <c r="P442">
        <v>0</v>
      </c>
      <c r="Q442">
        <v>2</v>
      </c>
      <c r="R442">
        <v>143.68</v>
      </c>
      <c r="S442" t="str">
        <f t="shared" si="30"/>
        <v>PY: Media Crit.</v>
      </c>
      <c r="T442">
        <f t="shared" si="31"/>
        <v>0</v>
      </c>
      <c r="U442">
        <f t="shared" si="32"/>
        <v>0</v>
      </c>
      <c r="V442">
        <f t="shared" si="33"/>
        <v>1</v>
      </c>
      <c r="W442">
        <f t="shared" si="34"/>
        <v>0</v>
      </c>
      <c r="X442">
        <v>1</v>
      </c>
      <c r="Y442" s="2">
        <v>45768</v>
      </c>
      <c r="Z442" s="3" t="s">
        <v>47</v>
      </c>
      <c r="AA442" t="s">
        <v>39</v>
      </c>
      <c r="AB442" t="s">
        <v>49</v>
      </c>
      <c r="AC442" s="5" t="s">
        <v>50</v>
      </c>
      <c r="AD442" t="s">
        <v>41</v>
      </c>
    </row>
    <row r="443" spans="2:30">
      <c r="B443">
        <v>7</v>
      </c>
      <c r="C443">
        <v>1020</v>
      </c>
      <c r="D443" t="s">
        <v>29</v>
      </c>
      <c r="E443">
        <v>14059647</v>
      </c>
      <c r="F443" t="s">
        <v>530</v>
      </c>
      <c r="G443" t="s">
        <v>31</v>
      </c>
      <c r="H443" t="s">
        <v>32</v>
      </c>
      <c r="I443" t="s">
        <v>33</v>
      </c>
      <c r="J443" t="s">
        <v>34</v>
      </c>
      <c r="K443" t="s">
        <v>35</v>
      </c>
      <c r="L443" t="s">
        <v>36</v>
      </c>
      <c r="M443" t="s">
        <v>55</v>
      </c>
      <c r="N443">
        <v>120</v>
      </c>
      <c r="O443">
        <v>81</v>
      </c>
      <c r="P443">
        <v>50</v>
      </c>
      <c r="Q443">
        <v>215</v>
      </c>
      <c r="R443" s="4">
        <v>1633.86</v>
      </c>
      <c r="S443" t="str">
        <f t="shared" si="30"/>
        <v>PX: Baja Crit.</v>
      </c>
      <c r="T443">
        <f t="shared" si="31"/>
        <v>0</v>
      </c>
      <c r="U443">
        <f t="shared" si="32"/>
        <v>0</v>
      </c>
      <c r="V443">
        <f t="shared" si="33"/>
        <v>0</v>
      </c>
      <c r="W443">
        <f t="shared" si="34"/>
        <v>1</v>
      </c>
      <c r="X443">
        <v>1</v>
      </c>
      <c r="Y443" s="2">
        <v>45768</v>
      </c>
      <c r="Z443" s="3" t="s">
        <v>56</v>
      </c>
      <c r="AA443" t="s">
        <v>39</v>
      </c>
      <c r="AB443" t="s">
        <v>40</v>
      </c>
      <c r="AC443" t="s">
        <v>40</v>
      </c>
      <c r="AD443" t="s">
        <v>41</v>
      </c>
    </row>
    <row r="444" spans="2:30">
      <c r="B444">
        <v>7</v>
      </c>
      <c r="C444">
        <v>1020</v>
      </c>
      <c r="D444" t="s">
        <v>29</v>
      </c>
      <c r="E444">
        <v>14145085</v>
      </c>
      <c r="F444" t="s">
        <v>531</v>
      </c>
      <c r="G444" t="s">
        <v>43</v>
      </c>
      <c r="H444" t="s">
        <v>60</v>
      </c>
      <c r="I444" t="s">
        <v>33</v>
      </c>
      <c r="J444" t="s">
        <v>45</v>
      </c>
      <c r="K444" t="s">
        <v>35</v>
      </c>
      <c r="L444" t="s">
        <v>36</v>
      </c>
      <c r="M444" t="s">
        <v>117</v>
      </c>
      <c r="N444">
        <v>12</v>
      </c>
      <c r="O444">
        <v>7</v>
      </c>
      <c r="P444">
        <v>4</v>
      </c>
      <c r="Q444">
        <v>0</v>
      </c>
      <c r="R444">
        <v>0</v>
      </c>
      <c r="S444" t="str">
        <f t="shared" si="30"/>
        <v>PY: Media Crit.</v>
      </c>
      <c r="T444">
        <f t="shared" si="31"/>
        <v>1</v>
      </c>
      <c r="U444">
        <f t="shared" si="32"/>
        <v>0</v>
      </c>
      <c r="V444">
        <f t="shared" si="33"/>
        <v>0</v>
      </c>
      <c r="W444">
        <f t="shared" si="34"/>
        <v>0</v>
      </c>
      <c r="X444">
        <v>1</v>
      </c>
      <c r="Y444" s="2">
        <v>45768</v>
      </c>
      <c r="Z444" s="3" t="s">
        <v>118</v>
      </c>
      <c r="AA444" t="s">
        <v>39</v>
      </c>
      <c r="AB444" t="s">
        <v>49</v>
      </c>
      <c r="AC444" s="5" t="s">
        <v>50</v>
      </c>
      <c r="AD444" t="s">
        <v>41</v>
      </c>
    </row>
    <row r="445" spans="2:30">
      <c r="B445">
        <v>7</v>
      </c>
      <c r="C445">
        <v>1020</v>
      </c>
      <c r="D445" t="s">
        <v>29</v>
      </c>
      <c r="E445">
        <v>10040492</v>
      </c>
      <c r="F445" t="s">
        <v>532</v>
      </c>
      <c r="G445" t="s">
        <v>43</v>
      </c>
      <c r="H445" t="s">
        <v>32</v>
      </c>
      <c r="I445" t="s">
        <v>33</v>
      </c>
      <c r="J445" t="s">
        <v>34</v>
      </c>
      <c r="K445" t="s">
        <v>35</v>
      </c>
      <c r="L445" t="s">
        <v>36</v>
      </c>
      <c r="M445" t="s">
        <v>88</v>
      </c>
      <c r="N445">
        <v>800</v>
      </c>
      <c r="O445">
        <v>401</v>
      </c>
      <c r="P445">
        <v>100</v>
      </c>
      <c r="Q445">
        <v>400</v>
      </c>
      <c r="R445">
        <v>36</v>
      </c>
      <c r="S445" t="str">
        <f t="shared" si="30"/>
        <v>PY: Media Crit.</v>
      </c>
      <c r="T445">
        <f t="shared" si="31"/>
        <v>0</v>
      </c>
      <c r="U445">
        <f t="shared" si="32"/>
        <v>0</v>
      </c>
      <c r="V445">
        <f t="shared" si="33"/>
        <v>1</v>
      </c>
      <c r="W445">
        <f t="shared" si="34"/>
        <v>0</v>
      </c>
      <c r="X445">
        <v>1</v>
      </c>
      <c r="Y445" s="2">
        <v>45768</v>
      </c>
      <c r="Z445" s="3" t="s">
        <v>89</v>
      </c>
      <c r="AA445" t="s">
        <v>39</v>
      </c>
      <c r="AB445" t="s">
        <v>49</v>
      </c>
      <c r="AC445" s="5" t="s">
        <v>50</v>
      </c>
      <c r="AD445" t="s">
        <v>41</v>
      </c>
    </row>
    <row r="446" spans="2:30">
      <c r="B446">
        <v>7</v>
      </c>
      <c r="C446">
        <v>1020</v>
      </c>
      <c r="D446" t="s">
        <v>29</v>
      </c>
      <c r="E446">
        <v>10050651</v>
      </c>
      <c r="F446" t="s">
        <v>533</v>
      </c>
      <c r="G446" t="s">
        <v>31</v>
      </c>
      <c r="H446" t="s">
        <v>32</v>
      </c>
      <c r="I446" t="s">
        <v>33</v>
      </c>
      <c r="J446" t="s">
        <v>45</v>
      </c>
      <c r="K446" t="s">
        <v>35</v>
      </c>
      <c r="L446" t="s">
        <v>36</v>
      </c>
      <c r="M446" t="s">
        <v>55</v>
      </c>
      <c r="N446">
        <v>60</v>
      </c>
      <c r="O446">
        <v>31</v>
      </c>
      <c r="P446">
        <v>10</v>
      </c>
      <c r="Q446">
        <v>62</v>
      </c>
      <c r="R446">
        <v>243.51</v>
      </c>
      <c r="S446" t="str">
        <f t="shared" si="30"/>
        <v>PX: Baja Crit.</v>
      </c>
      <c r="T446">
        <f t="shared" si="31"/>
        <v>0</v>
      </c>
      <c r="U446">
        <f t="shared" si="32"/>
        <v>0</v>
      </c>
      <c r="V446">
        <f t="shared" si="33"/>
        <v>0</v>
      </c>
      <c r="W446">
        <f t="shared" si="34"/>
        <v>1</v>
      </c>
      <c r="X446">
        <v>1</v>
      </c>
      <c r="Y446" s="2">
        <v>45768</v>
      </c>
      <c r="Z446" s="3" t="s">
        <v>56</v>
      </c>
      <c r="AA446" t="s">
        <v>39</v>
      </c>
      <c r="AB446" t="s">
        <v>40</v>
      </c>
      <c r="AC446" t="s">
        <v>40</v>
      </c>
      <c r="AD446" t="s">
        <v>41</v>
      </c>
    </row>
    <row r="447" spans="2:30">
      <c r="B447">
        <v>7</v>
      </c>
      <c r="C447">
        <v>1020</v>
      </c>
      <c r="D447" t="s">
        <v>29</v>
      </c>
      <c r="E447">
        <v>10632547</v>
      </c>
      <c r="F447" t="s">
        <v>534</v>
      </c>
      <c r="G447" t="s">
        <v>43</v>
      </c>
      <c r="H447" t="s">
        <v>44</v>
      </c>
      <c r="I447" t="s">
        <v>33</v>
      </c>
      <c r="J447" t="s">
        <v>45</v>
      </c>
      <c r="K447" t="s">
        <v>35</v>
      </c>
      <c r="L447" t="s">
        <v>36</v>
      </c>
      <c r="M447" t="s">
        <v>69</v>
      </c>
      <c r="N447">
        <v>5</v>
      </c>
      <c r="O447">
        <v>3</v>
      </c>
      <c r="P447">
        <v>0</v>
      </c>
      <c r="Q447">
        <v>3</v>
      </c>
      <c r="R447" s="4">
        <v>3278.08</v>
      </c>
      <c r="S447" t="str">
        <f t="shared" si="30"/>
        <v>PY: Media Crit.</v>
      </c>
      <c r="T447">
        <f t="shared" si="31"/>
        <v>0</v>
      </c>
      <c r="U447">
        <f t="shared" si="32"/>
        <v>0</v>
      </c>
      <c r="V447">
        <f t="shared" si="33"/>
        <v>1</v>
      </c>
      <c r="W447">
        <f t="shared" si="34"/>
        <v>0</v>
      </c>
      <c r="X447">
        <v>1</v>
      </c>
      <c r="Y447" s="2">
        <v>45768</v>
      </c>
      <c r="Z447" s="3" t="s">
        <v>70</v>
      </c>
      <c r="AA447" t="s">
        <v>39</v>
      </c>
      <c r="AB447" t="s">
        <v>40</v>
      </c>
      <c r="AC447" t="s">
        <v>40</v>
      </c>
      <c r="AD447" t="s">
        <v>41</v>
      </c>
    </row>
    <row r="448" spans="2:30">
      <c r="B448">
        <v>7</v>
      </c>
      <c r="C448">
        <v>1020</v>
      </c>
      <c r="D448" t="s">
        <v>29</v>
      </c>
      <c r="E448">
        <v>10296081</v>
      </c>
      <c r="F448" t="s">
        <v>535</v>
      </c>
      <c r="G448" t="s">
        <v>43</v>
      </c>
      <c r="H448" t="s">
        <v>44</v>
      </c>
      <c r="I448" t="s">
        <v>33</v>
      </c>
      <c r="J448" t="s">
        <v>45</v>
      </c>
      <c r="K448" t="s">
        <v>35</v>
      </c>
      <c r="L448" t="s">
        <v>36</v>
      </c>
      <c r="M448" t="s">
        <v>69</v>
      </c>
      <c r="N448">
        <v>12</v>
      </c>
      <c r="O448">
        <v>8</v>
      </c>
      <c r="P448">
        <v>2</v>
      </c>
      <c r="Q448">
        <v>12</v>
      </c>
      <c r="R448" s="4">
        <v>6925.32</v>
      </c>
      <c r="S448" t="str">
        <f t="shared" si="30"/>
        <v>PY: Media Crit.</v>
      </c>
      <c r="T448">
        <f t="shared" si="31"/>
        <v>0</v>
      </c>
      <c r="U448">
        <f t="shared" si="32"/>
        <v>0</v>
      </c>
      <c r="V448">
        <f t="shared" si="33"/>
        <v>1</v>
      </c>
      <c r="W448">
        <f t="shared" si="34"/>
        <v>0</v>
      </c>
      <c r="X448">
        <v>1</v>
      </c>
      <c r="Y448" s="2">
        <v>45768</v>
      </c>
      <c r="Z448" s="3" t="s">
        <v>70</v>
      </c>
      <c r="AA448" t="s">
        <v>39</v>
      </c>
      <c r="AB448" t="s">
        <v>40</v>
      </c>
      <c r="AC448" t="s">
        <v>40</v>
      </c>
      <c r="AD448" t="s">
        <v>41</v>
      </c>
    </row>
    <row r="449" spans="2:30">
      <c r="B449">
        <v>7</v>
      </c>
      <c r="C449">
        <v>1020</v>
      </c>
      <c r="D449" t="s">
        <v>29</v>
      </c>
      <c r="E449">
        <v>10048271</v>
      </c>
      <c r="F449" t="s">
        <v>536</v>
      </c>
      <c r="G449" t="s">
        <v>52</v>
      </c>
      <c r="H449" t="s">
        <v>44</v>
      </c>
      <c r="I449" t="s">
        <v>33</v>
      </c>
      <c r="J449" t="s">
        <v>45</v>
      </c>
      <c r="K449" t="s">
        <v>35</v>
      </c>
      <c r="L449" t="s">
        <v>36</v>
      </c>
      <c r="M449" t="s">
        <v>46</v>
      </c>
      <c r="N449">
        <v>10</v>
      </c>
      <c r="O449">
        <v>9</v>
      </c>
      <c r="P449">
        <v>4</v>
      </c>
      <c r="Q449">
        <v>15</v>
      </c>
      <c r="R449" s="4">
        <v>9311.5400000000009</v>
      </c>
      <c r="S449" t="str">
        <f t="shared" si="30"/>
        <v>PZ: Alta Crit.</v>
      </c>
      <c r="T449">
        <f t="shared" si="31"/>
        <v>0</v>
      </c>
      <c r="U449">
        <f t="shared" si="32"/>
        <v>0</v>
      </c>
      <c r="V449">
        <f t="shared" si="33"/>
        <v>0</v>
      </c>
      <c r="W449">
        <f t="shared" si="34"/>
        <v>1</v>
      </c>
      <c r="X449">
        <v>1</v>
      </c>
      <c r="Y449" s="2">
        <v>45768</v>
      </c>
      <c r="Z449" s="3" t="s">
        <v>47</v>
      </c>
      <c r="AA449" t="s">
        <v>39</v>
      </c>
      <c r="AB449" t="s">
        <v>40</v>
      </c>
      <c r="AC449" t="s">
        <v>40</v>
      </c>
      <c r="AD449" t="s">
        <v>41</v>
      </c>
    </row>
    <row r="450" spans="2:30">
      <c r="B450">
        <v>7</v>
      </c>
      <c r="C450">
        <v>1020</v>
      </c>
      <c r="D450" t="s">
        <v>29</v>
      </c>
      <c r="E450">
        <v>10050393</v>
      </c>
      <c r="F450" t="s">
        <v>537</v>
      </c>
      <c r="G450" t="s">
        <v>31</v>
      </c>
      <c r="H450" t="s">
        <v>32</v>
      </c>
      <c r="I450" t="s">
        <v>33</v>
      </c>
      <c r="J450" t="s">
        <v>45</v>
      </c>
      <c r="K450" t="s">
        <v>35</v>
      </c>
      <c r="L450" t="s">
        <v>36</v>
      </c>
      <c r="M450" t="s">
        <v>88</v>
      </c>
      <c r="N450">
        <v>20</v>
      </c>
      <c r="O450">
        <v>11</v>
      </c>
      <c r="P450">
        <v>5</v>
      </c>
      <c r="Q450">
        <v>60</v>
      </c>
      <c r="R450">
        <v>101.4</v>
      </c>
      <c r="S450" t="str">
        <f t="shared" ref="S450:S513" si="35">+IF(G450="PZ", "PZ: Alta Crit.",IF(G450="PY","PY: Media Crit.", "PX: Baja Crit."))</f>
        <v>PX: Baja Crit.</v>
      </c>
      <c r="T450">
        <f t="shared" ref="T450:T513" si="36">+IF(Q450=0,1,0)</f>
        <v>0</v>
      </c>
      <c r="U450">
        <f t="shared" ref="U450:U513" si="37">+IF(AND(Q450&lt;=P450,Q450&gt;0),1,0)</f>
        <v>0</v>
      </c>
      <c r="V450">
        <f t="shared" ref="V450:V513" si="38">+IF(AND(Q450&gt;P450,Q450&lt;=N450),1,0)</f>
        <v>0</v>
      </c>
      <c r="W450">
        <f t="shared" ref="W450:W513" si="39">+IF(Q450&gt;N450,1,0)</f>
        <v>1</v>
      </c>
      <c r="X450">
        <v>1</v>
      </c>
      <c r="Y450" s="2">
        <v>45768</v>
      </c>
      <c r="Z450" s="3" t="s">
        <v>89</v>
      </c>
      <c r="AA450" t="s">
        <v>39</v>
      </c>
      <c r="AB450" t="s">
        <v>40</v>
      </c>
      <c r="AC450" t="s">
        <v>40</v>
      </c>
      <c r="AD450" t="s">
        <v>41</v>
      </c>
    </row>
    <row r="451" spans="2:30">
      <c r="B451">
        <v>7</v>
      </c>
      <c r="C451">
        <v>1020</v>
      </c>
      <c r="D451" t="s">
        <v>29</v>
      </c>
      <c r="E451">
        <v>10023192</v>
      </c>
      <c r="F451" t="s">
        <v>538</v>
      </c>
      <c r="G451" t="s">
        <v>43</v>
      </c>
      <c r="H451" t="s">
        <v>60</v>
      </c>
      <c r="I451" t="s">
        <v>33</v>
      </c>
      <c r="J451" t="s">
        <v>45</v>
      </c>
      <c r="K451" t="s">
        <v>260</v>
      </c>
      <c r="L451" t="s">
        <v>36</v>
      </c>
      <c r="M451" t="s">
        <v>37</v>
      </c>
      <c r="N451">
        <v>6</v>
      </c>
      <c r="O451">
        <v>4</v>
      </c>
      <c r="P451">
        <v>3</v>
      </c>
      <c r="Q451">
        <v>6</v>
      </c>
      <c r="R451" s="4">
        <v>1118.6400000000001</v>
      </c>
      <c r="S451" t="str">
        <f t="shared" si="35"/>
        <v>PY: Media Crit.</v>
      </c>
      <c r="T451">
        <f t="shared" si="36"/>
        <v>0</v>
      </c>
      <c r="U451">
        <f t="shared" si="37"/>
        <v>0</v>
      </c>
      <c r="V451">
        <f t="shared" si="38"/>
        <v>1</v>
      </c>
      <c r="W451">
        <f t="shared" si="39"/>
        <v>0</v>
      </c>
      <c r="X451">
        <v>1</v>
      </c>
      <c r="Y451" s="2">
        <v>45768</v>
      </c>
      <c r="Z451" s="3" t="s">
        <v>38</v>
      </c>
      <c r="AA451" t="s">
        <v>39</v>
      </c>
      <c r="AB451" t="s">
        <v>40</v>
      </c>
      <c r="AC451" t="s">
        <v>40</v>
      </c>
      <c r="AD451" t="s">
        <v>41</v>
      </c>
    </row>
    <row r="452" spans="2:30">
      <c r="B452">
        <v>7</v>
      </c>
      <c r="C452">
        <v>1020</v>
      </c>
      <c r="D452" t="s">
        <v>29</v>
      </c>
      <c r="E452">
        <v>10045702</v>
      </c>
      <c r="F452" t="s">
        <v>539</v>
      </c>
      <c r="G452" t="s">
        <v>31</v>
      </c>
      <c r="H452" t="s">
        <v>32</v>
      </c>
      <c r="I452" t="s">
        <v>33</v>
      </c>
      <c r="J452" t="s">
        <v>34</v>
      </c>
      <c r="K452" t="s">
        <v>35</v>
      </c>
      <c r="L452" t="s">
        <v>36</v>
      </c>
      <c r="M452" t="s">
        <v>55</v>
      </c>
      <c r="N452">
        <v>113</v>
      </c>
      <c r="O452">
        <v>40</v>
      </c>
      <c r="P452">
        <v>20</v>
      </c>
      <c r="Q452">
        <v>40</v>
      </c>
      <c r="R452">
        <v>155.15</v>
      </c>
      <c r="S452" t="str">
        <f t="shared" si="35"/>
        <v>PX: Baja Crit.</v>
      </c>
      <c r="T452">
        <f t="shared" si="36"/>
        <v>0</v>
      </c>
      <c r="U452">
        <f t="shared" si="37"/>
        <v>0</v>
      </c>
      <c r="V452">
        <f t="shared" si="38"/>
        <v>1</v>
      </c>
      <c r="W452">
        <f t="shared" si="39"/>
        <v>0</v>
      </c>
      <c r="X452">
        <v>1</v>
      </c>
      <c r="Y452" s="2">
        <v>45768</v>
      </c>
      <c r="Z452" s="3" t="s">
        <v>56</v>
      </c>
      <c r="AA452" t="s">
        <v>39</v>
      </c>
      <c r="AB452" t="s">
        <v>40</v>
      </c>
      <c r="AC452" t="s">
        <v>40</v>
      </c>
      <c r="AD452" t="s">
        <v>41</v>
      </c>
    </row>
    <row r="453" spans="2:30">
      <c r="B453">
        <v>7</v>
      </c>
      <c r="C453">
        <v>1020</v>
      </c>
      <c r="D453" t="s">
        <v>29</v>
      </c>
      <c r="E453">
        <v>10050811</v>
      </c>
      <c r="F453" t="s">
        <v>540</v>
      </c>
      <c r="G453" t="s">
        <v>31</v>
      </c>
      <c r="H453" t="s">
        <v>32</v>
      </c>
      <c r="I453" t="s">
        <v>33</v>
      </c>
      <c r="J453" t="s">
        <v>34</v>
      </c>
      <c r="K453" t="s">
        <v>35</v>
      </c>
      <c r="L453" t="s">
        <v>36</v>
      </c>
      <c r="M453" t="s">
        <v>37</v>
      </c>
      <c r="N453">
        <v>24</v>
      </c>
      <c r="O453">
        <v>13</v>
      </c>
      <c r="P453">
        <v>4</v>
      </c>
      <c r="Q453">
        <v>23</v>
      </c>
      <c r="R453">
        <v>135.69999999999999</v>
      </c>
      <c r="S453" t="str">
        <f t="shared" si="35"/>
        <v>PX: Baja Crit.</v>
      </c>
      <c r="T453">
        <f t="shared" si="36"/>
        <v>0</v>
      </c>
      <c r="U453">
        <f t="shared" si="37"/>
        <v>0</v>
      </c>
      <c r="V453">
        <f t="shared" si="38"/>
        <v>1</v>
      </c>
      <c r="W453">
        <f t="shared" si="39"/>
        <v>0</v>
      </c>
      <c r="X453">
        <v>1</v>
      </c>
      <c r="Y453" s="2">
        <v>45768</v>
      </c>
      <c r="Z453" s="3" t="s">
        <v>38</v>
      </c>
      <c r="AA453" t="s">
        <v>39</v>
      </c>
      <c r="AB453" t="s">
        <v>40</v>
      </c>
      <c r="AC453" t="s">
        <v>40</v>
      </c>
      <c r="AD453" t="s">
        <v>41</v>
      </c>
    </row>
    <row r="454" spans="2:30">
      <c r="B454">
        <v>7</v>
      </c>
      <c r="C454">
        <v>1020</v>
      </c>
      <c r="D454" t="s">
        <v>29</v>
      </c>
      <c r="E454">
        <v>10045342</v>
      </c>
      <c r="F454" t="s">
        <v>541</v>
      </c>
      <c r="G454" t="s">
        <v>43</v>
      </c>
      <c r="H454" t="s">
        <v>32</v>
      </c>
      <c r="I454" t="s">
        <v>33</v>
      </c>
      <c r="J454" t="s">
        <v>34</v>
      </c>
      <c r="K454" t="s">
        <v>35</v>
      </c>
      <c r="L454" t="s">
        <v>36</v>
      </c>
      <c r="M454" t="s">
        <v>55</v>
      </c>
      <c r="N454">
        <v>120</v>
      </c>
      <c r="O454">
        <v>71</v>
      </c>
      <c r="P454">
        <v>20</v>
      </c>
      <c r="Q454">
        <v>120</v>
      </c>
      <c r="R454">
        <v>189.85</v>
      </c>
      <c r="S454" t="str">
        <f t="shared" si="35"/>
        <v>PY: Media Crit.</v>
      </c>
      <c r="T454">
        <f t="shared" si="36"/>
        <v>0</v>
      </c>
      <c r="U454">
        <f t="shared" si="37"/>
        <v>0</v>
      </c>
      <c r="V454">
        <f t="shared" si="38"/>
        <v>1</v>
      </c>
      <c r="W454">
        <f t="shared" si="39"/>
        <v>0</v>
      </c>
      <c r="X454">
        <v>1</v>
      </c>
      <c r="Y454" s="2">
        <v>45768</v>
      </c>
      <c r="Z454" s="3" t="s">
        <v>56</v>
      </c>
      <c r="AA454" t="s">
        <v>39</v>
      </c>
      <c r="AB454" t="s">
        <v>40</v>
      </c>
      <c r="AC454" t="s">
        <v>40</v>
      </c>
      <c r="AD454" t="s">
        <v>41</v>
      </c>
    </row>
    <row r="455" spans="2:30">
      <c r="B455">
        <v>7</v>
      </c>
      <c r="C455">
        <v>1020</v>
      </c>
      <c r="D455" t="s">
        <v>29</v>
      </c>
      <c r="E455">
        <v>10050439</v>
      </c>
      <c r="F455" t="s">
        <v>542</v>
      </c>
      <c r="G455" t="s">
        <v>43</v>
      </c>
      <c r="H455" t="s">
        <v>32</v>
      </c>
      <c r="I455" t="s">
        <v>33</v>
      </c>
      <c r="J455" t="s">
        <v>34</v>
      </c>
      <c r="K455" t="s">
        <v>35</v>
      </c>
      <c r="L455" t="s">
        <v>36</v>
      </c>
      <c r="M455" t="s">
        <v>37</v>
      </c>
      <c r="N455">
        <v>10</v>
      </c>
      <c r="O455">
        <v>6</v>
      </c>
      <c r="P455">
        <v>2</v>
      </c>
      <c r="Q455">
        <v>4</v>
      </c>
      <c r="R455">
        <v>174.49</v>
      </c>
      <c r="S455" t="str">
        <f t="shared" si="35"/>
        <v>PY: Media Crit.</v>
      </c>
      <c r="T455">
        <f t="shared" si="36"/>
        <v>0</v>
      </c>
      <c r="U455">
        <f t="shared" si="37"/>
        <v>0</v>
      </c>
      <c r="V455">
        <f t="shared" si="38"/>
        <v>1</v>
      </c>
      <c r="W455">
        <f t="shared" si="39"/>
        <v>0</v>
      </c>
      <c r="X455">
        <v>1</v>
      </c>
      <c r="Y455" s="2">
        <v>45768</v>
      </c>
      <c r="Z455" s="3" t="s">
        <v>38</v>
      </c>
      <c r="AA455" t="s">
        <v>39</v>
      </c>
      <c r="AB455" t="s">
        <v>49</v>
      </c>
      <c r="AC455" s="5" t="s">
        <v>50</v>
      </c>
      <c r="AD455" t="s">
        <v>41</v>
      </c>
    </row>
    <row r="456" spans="2:30">
      <c r="B456">
        <v>7</v>
      </c>
      <c r="C456">
        <v>1020</v>
      </c>
      <c r="D456" t="s">
        <v>29</v>
      </c>
      <c r="E456">
        <v>10056503</v>
      </c>
      <c r="F456" t="s">
        <v>543</v>
      </c>
      <c r="G456" t="s">
        <v>43</v>
      </c>
      <c r="H456" t="s">
        <v>32</v>
      </c>
      <c r="I456" t="s">
        <v>33</v>
      </c>
      <c r="J456" t="s">
        <v>45</v>
      </c>
      <c r="K456" t="s">
        <v>252</v>
      </c>
      <c r="L456" t="s">
        <v>36</v>
      </c>
      <c r="M456" t="s">
        <v>46</v>
      </c>
      <c r="N456">
        <v>100</v>
      </c>
      <c r="O456">
        <v>100</v>
      </c>
      <c r="P456">
        <v>0</v>
      </c>
      <c r="Q456">
        <v>100</v>
      </c>
      <c r="R456">
        <v>953.9</v>
      </c>
      <c r="S456" t="str">
        <f t="shared" si="35"/>
        <v>PY: Media Crit.</v>
      </c>
      <c r="T456">
        <f t="shared" si="36"/>
        <v>0</v>
      </c>
      <c r="U456">
        <f t="shared" si="37"/>
        <v>0</v>
      </c>
      <c r="V456">
        <f t="shared" si="38"/>
        <v>1</v>
      </c>
      <c r="W456">
        <f t="shared" si="39"/>
        <v>0</v>
      </c>
      <c r="X456">
        <v>1</v>
      </c>
      <c r="Y456" s="2">
        <v>45768</v>
      </c>
      <c r="Z456" s="3" t="s">
        <v>47</v>
      </c>
      <c r="AA456" t="s">
        <v>39</v>
      </c>
      <c r="AB456" t="s">
        <v>40</v>
      </c>
      <c r="AC456" t="s">
        <v>40</v>
      </c>
      <c r="AD456" t="s">
        <v>41</v>
      </c>
    </row>
    <row r="457" spans="2:30">
      <c r="B457">
        <v>7</v>
      </c>
      <c r="C457">
        <v>1020</v>
      </c>
      <c r="D457" t="s">
        <v>29</v>
      </c>
      <c r="E457">
        <v>10192081</v>
      </c>
      <c r="F457" t="s">
        <v>544</v>
      </c>
      <c r="G457" t="s">
        <v>43</v>
      </c>
      <c r="H457" t="s">
        <v>60</v>
      </c>
      <c r="I457" t="s">
        <v>33</v>
      </c>
      <c r="J457" t="s">
        <v>34</v>
      </c>
      <c r="K457" t="s">
        <v>35</v>
      </c>
      <c r="L457" t="s">
        <v>36</v>
      </c>
      <c r="M457" t="s">
        <v>46</v>
      </c>
      <c r="N457">
        <v>20</v>
      </c>
      <c r="O457">
        <v>11</v>
      </c>
      <c r="P457">
        <v>7</v>
      </c>
      <c r="Q457">
        <v>28</v>
      </c>
      <c r="R457" s="4">
        <v>1527.46</v>
      </c>
      <c r="S457" t="str">
        <f t="shared" si="35"/>
        <v>PY: Media Crit.</v>
      </c>
      <c r="T457">
        <f t="shared" si="36"/>
        <v>0</v>
      </c>
      <c r="U457">
        <f t="shared" si="37"/>
        <v>0</v>
      </c>
      <c r="V457">
        <f t="shared" si="38"/>
        <v>0</v>
      </c>
      <c r="W457">
        <f t="shared" si="39"/>
        <v>1</v>
      </c>
      <c r="X457">
        <v>1</v>
      </c>
      <c r="Y457" s="2">
        <v>45768</v>
      </c>
      <c r="Z457" s="3" t="s">
        <v>47</v>
      </c>
      <c r="AA457" t="s">
        <v>39</v>
      </c>
      <c r="AB457" t="s">
        <v>49</v>
      </c>
      <c r="AC457" s="5" t="s">
        <v>50</v>
      </c>
      <c r="AD457" t="s">
        <v>41</v>
      </c>
    </row>
    <row r="458" spans="2:30">
      <c r="B458">
        <v>7</v>
      </c>
      <c r="C458">
        <v>1020</v>
      </c>
      <c r="D458" t="s">
        <v>29</v>
      </c>
      <c r="E458">
        <v>10609898</v>
      </c>
      <c r="F458" t="s">
        <v>545</v>
      </c>
      <c r="G458" t="s">
        <v>43</v>
      </c>
      <c r="H458" t="s">
        <v>32</v>
      </c>
      <c r="I458" t="s">
        <v>33</v>
      </c>
      <c r="J458" t="s">
        <v>34</v>
      </c>
      <c r="K458" t="s">
        <v>35</v>
      </c>
      <c r="L458" t="s">
        <v>36</v>
      </c>
      <c r="M458" t="s">
        <v>88</v>
      </c>
      <c r="N458">
        <v>50</v>
      </c>
      <c r="O458">
        <v>31</v>
      </c>
      <c r="P458">
        <v>5</v>
      </c>
      <c r="Q458">
        <v>35</v>
      </c>
      <c r="R458" s="4">
        <v>1957.06</v>
      </c>
      <c r="S458" t="str">
        <f t="shared" si="35"/>
        <v>PY: Media Crit.</v>
      </c>
      <c r="T458">
        <f t="shared" si="36"/>
        <v>0</v>
      </c>
      <c r="U458">
        <f t="shared" si="37"/>
        <v>0</v>
      </c>
      <c r="V458">
        <f t="shared" si="38"/>
        <v>1</v>
      </c>
      <c r="W458">
        <f t="shared" si="39"/>
        <v>0</v>
      </c>
      <c r="X458">
        <v>1</v>
      </c>
      <c r="Y458" s="2">
        <v>45768</v>
      </c>
      <c r="Z458" s="3" t="s">
        <v>89</v>
      </c>
      <c r="AA458" t="s">
        <v>39</v>
      </c>
      <c r="AB458" t="s">
        <v>40</v>
      </c>
      <c r="AC458" t="s">
        <v>40</v>
      </c>
      <c r="AD458" t="s">
        <v>41</v>
      </c>
    </row>
    <row r="459" spans="2:30">
      <c r="B459">
        <v>7</v>
      </c>
      <c r="C459">
        <v>1020</v>
      </c>
      <c r="D459" t="s">
        <v>29</v>
      </c>
      <c r="E459">
        <v>10040525</v>
      </c>
      <c r="F459" t="s">
        <v>546</v>
      </c>
      <c r="G459" t="s">
        <v>43</v>
      </c>
      <c r="H459" t="s">
        <v>32</v>
      </c>
      <c r="I459" t="s">
        <v>33</v>
      </c>
      <c r="J459" t="s">
        <v>34</v>
      </c>
      <c r="K459" t="s">
        <v>35</v>
      </c>
      <c r="L459" t="s">
        <v>36</v>
      </c>
      <c r="M459" t="s">
        <v>88</v>
      </c>
      <c r="N459">
        <v>130</v>
      </c>
      <c r="O459">
        <v>91</v>
      </c>
      <c r="P459">
        <v>30</v>
      </c>
      <c r="Q459">
        <v>130</v>
      </c>
      <c r="R459">
        <v>286</v>
      </c>
      <c r="S459" t="str">
        <f t="shared" si="35"/>
        <v>PY: Media Crit.</v>
      </c>
      <c r="T459">
        <f t="shared" si="36"/>
        <v>0</v>
      </c>
      <c r="U459">
        <f t="shared" si="37"/>
        <v>0</v>
      </c>
      <c r="V459">
        <f t="shared" si="38"/>
        <v>1</v>
      </c>
      <c r="W459">
        <f t="shared" si="39"/>
        <v>0</v>
      </c>
      <c r="X459">
        <v>1</v>
      </c>
      <c r="Y459" s="2">
        <v>45768</v>
      </c>
      <c r="Z459" s="3" t="s">
        <v>89</v>
      </c>
      <c r="AA459" t="s">
        <v>39</v>
      </c>
      <c r="AB459" t="s">
        <v>40</v>
      </c>
      <c r="AC459" t="s">
        <v>40</v>
      </c>
      <c r="AD459" t="s">
        <v>41</v>
      </c>
    </row>
    <row r="460" spans="2:30">
      <c r="B460">
        <v>7</v>
      </c>
      <c r="C460">
        <v>1020</v>
      </c>
      <c r="D460" t="s">
        <v>29</v>
      </c>
      <c r="E460">
        <v>14211099</v>
      </c>
      <c r="F460" t="s">
        <v>547</v>
      </c>
      <c r="G460" t="s">
        <v>43</v>
      </c>
      <c r="H460" t="s">
        <v>60</v>
      </c>
      <c r="I460" t="s">
        <v>33</v>
      </c>
      <c r="J460" t="s">
        <v>45</v>
      </c>
      <c r="K460" t="s">
        <v>35</v>
      </c>
      <c r="L460" t="s">
        <v>36</v>
      </c>
      <c r="M460" t="s">
        <v>117</v>
      </c>
      <c r="N460">
        <v>110</v>
      </c>
      <c r="O460">
        <v>60</v>
      </c>
      <c r="P460">
        <v>30</v>
      </c>
      <c r="Q460">
        <v>90</v>
      </c>
      <c r="R460" s="4">
        <v>15300</v>
      </c>
      <c r="S460" t="str">
        <f t="shared" si="35"/>
        <v>PY: Media Crit.</v>
      </c>
      <c r="T460">
        <f t="shared" si="36"/>
        <v>0</v>
      </c>
      <c r="U460">
        <f t="shared" si="37"/>
        <v>0</v>
      </c>
      <c r="V460">
        <f t="shared" si="38"/>
        <v>1</v>
      </c>
      <c r="W460">
        <f t="shared" si="39"/>
        <v>0</v>
      </c>
      <c r="X460">
        <v>1</v>
      </c>
      <c r="Y460" s="2">
        <v>45768</v>
      </c>
      <c r="Z460" s="3" t="s">
        <v>118</v>
      </c>
      <c r="AA460" t="s">
        <v>39</v>
      </c>
      <c r="AB460" t="s">
        <v>76</v>
      </c>
      <c r="AC460" s="5" t="s">
        <v>77</v>
      </c>
      <c r="AD460" t="s">
        <v>41</v>
      </c>
    </row>
    <row r="461" spans="2:30">
      <c r="B461">
        <v>7</v>
      </c>
      <c r="C461">
        <v>1020</v>
      </c>
      <c r="D461" t="s">
        <v>29</v>
      </c>
      <c r="E461">
        <v>10050589</v>
      </c>
      <c r="F461" t="s">
        <v>548</v>
      </c>
      <c r="G461" t="s">
        <v>43</v>
      </c>
      <c r="H461" t="s">
        <v>32</v>
      </c>
      <c r="I461" t="s">
        <v>33</v>
      </c>
      <c r="J461" t="s">
        <v>45</v>
      </c>
      <c r="K461" t="s">
        <v>35</v>
      </c>
      <c r="L461" t="s">
        <v>36</v>
      </c>
      <c r="M461" t="s">
        <v>55</v>
      </c>
      <c r="N461">
        <v>20</v>
      </c>
      <c r="O461">
        <v>11</v>
      </c>
      <c r="P461">
        <v>2</v>
      </c>
      <c r="Q461">
        <v>0</v>
      </c>
      <c r="R461">
        <v>0</v>
      </c>
      <c r="S461" t="str">
        <f t="shared" si="35"/>
        <v>PY: Media Crit.</v>
      </c>
      <c r="T461">
        <f t="shared" si="36"/>
        <v>1</v>
      </c>
      <c r="U461">
        <f t="shared" si="37"/>
        <v>0</v>
      </c>
      <c r="V461">
        <f t="shared" si="38"/>
        <v>0</v>
      </c>
      <c r="W461">
        <f t="shared" si="39"/>
        <v>0</v>
      </c>
      <c r="X461">
        <v>1</v>
      </c>
      <c r="Y461" s="2">
        <v>45768</v>
      </c>
      <c r="Z461" s="3" t="s">
        <v>56</v>
      </c>
      <c r="AA461" t="s">
        <v>39</v>
      </c>
      <c r="AB461" t="s">
        <v>49</v>
      </c>
      <c r="AC461" s="5" t="s">
        <v>50</v>
      </c>
      <c r="AD461" t="s">
        <v>41</v>
      </c>
    </row>
    <row r="462" spans="2:30">
      <c r="B462">
        <v>7</v>
      </c>
      <c r="C462">
        <v>1020</v>
      </c>
      <c r="D462" t="s">
        <v>29</v>
      </c>
      <c r="E462">
        <v>10619982</v>
      </c>
      <c r="F462" t="s">
        <v>549</v>
      </c>
      <c r="G462" t="s">
        <v>43</v>
      </c>
      <c r="H462" t="s">
        <v>32</v>
      </c>
      <c r="I462" t="s">
        <v>33</v>
      </c>
      <c r="J462" t="s">
        <v>34</v>
      </c>
      <c r="K462" t="s">
        <v>35</v>
      </c>
      <c r="L462" t="s">
        <v>36</v>
      </c>
      <c r="M462" t="s">
        <v>117</v>
      </c>
      <c r="N462">
        <v>20</v>
      </c>
      <c r="O462">
        <v>12</v>
      </c>
      <c r="P462">
        <v>6</v>
      </c>
      <c r="Q462">
        <v>7</v>
      </c>
      <c r="R462" s="4">
        <v>1680</v>
      </c>
      <c r="S462" t="str">
        <f t="shared" si="35"/>
        <v>PY: Media Crit.</v>
      </c>
      <c r="T462">
        <f t="shared" si="36"/>
        <v>0</v>
      </c>
      <c r="U462">
        <f t="shared" si="37"/>
        <v>0</v>
      </c>
      <c r="V462">
        <f t="shared" si="38"/>
        <v>1</v>
      </c>
      <c r="W462">
        <f t="shared" si="39"/>
        <v>0</v>
      </c>
      <c r="X462">
        <v>1</v>
      </c>
      <c r="Y462" s="2">
        <v>45768</v>
      </c>
      <c r="Z462" s="3" t="s">
        <v>118</v>
      </c>
      <c r="AA462" t="s">
        <v>39</v>
      </c>
      <c r="AB462" t="s">
        <v>76</v>
      </c>
      <c r="AC462" s="5" t="s">
        <v>77</v>
      </c>
      <c r="AD462" t="s">
        <v>41</v>
      </c>
    </row>
    <row r="463" spans="2:30">
      <c r="B463">
        <v>7</v>
      </c>
      <c r="C463">
        <v>1020</v>
      </c>
      <c r="D463" t="s">
        <v>29</v>
      </c>
      <c r="E463">
        <v>10042109</v>
      </c>
      <c r="F463" t="s">
        <v>550</v>
      </c>
      <c r="G463" t="s">
        <v>43</v>
      </c>
      <c r="H463" t="s">
        <v>44</v>
      </c>
      <c r="I463" t="s">
        <v>33</v>
      </c>
      <c r="J463" t="s">
        <v>45</v>
      </c>
      <c r="K463" t="s">
        <v>35</v>
      </c>
      <c r="L463" t="s">
        <v>36</v>
      </c>
      <c r="M463" t="s">
        <v>117</v>
      </c>
      <c r="N463">
        <v>10</v>
      </c>
      <c r="O463">
        <v>7</v>
      </c>
      <c r="P463">
        <v>2</v>
      </c>
      <c r="Q463">
        <v>8</v>
      </c>
      <c r="R463" s="4">
        <v>3229.4</v>
      </c>
      <c r="S463" t="str">
        <f t="shared" si="35"/>
        <v>PY: Media Crit.</v>
      </c>
      <c r="T463">
        <f t="shared" si="36"/>
        <v>0</v>
      </c>
      <c r="U463">
        <f t="shared" si="37"/>
        <v>0</v>
      </c>
      <c r="V463">
        <f t="shared" si="38"/>
        <v>1</v>
      </c>
      <c r="W463">
        <f t="shared" si="39"/>
        <v>0</v>
      </c>
      <c r="X463">
        <v>1</v>
      </c>
      <c r="Y463" s="2">
        <v>45768</v>
      </c>
      <c r="Z463" s="3" t="s">
        <v>118</v>
      </c>
      <c r="AA463" t="s">
        <v>39</v>
      </c>
      <c r="AB463" t="s">
        <v>49</v>
      </c>
      <c r="AC463" s="5" t="s">
        <v>50</v>
      </c>
      <c r="AD463" t="s">
        <v>41</v>
      </c>
    </row>
    <row r="464" spans="2:30">
      <c r="B464">
        <v>7</v>
      </c>
      <c r="C464">
        <v>1020</v>
      </c>
      <c r="D464" t="s">
        <v>29</v>
      </c>
      <c r="E464">
        <v>10044648</v>
      </c>
      <c r="F464" t="s">
        <v>551</v>
      </c>
      <c r="G464" t="s">
        <v>43</v>
      </c>
      <c r="H464" t="s">
        <v>32</v>
      </c>
      <c r="I464" t="s">
        <v>33</v>
      </c>
      <c r="J464" t="s">
        <v>34</v>
      </c>
      <c r="K464" t="s">
        <v>35</v>
      </c>
      <c r="L464" t="s">
        <v>36</v>
      </c>
      <c r="M464" t="s">
        <v>37</v>
      </c>
      <c r="N464">
        <v>143</v>
      </c>
      <c r="O464">
        <v>51</v>
      </c>
      <c r="P464">
        <v>18</v>
      </c>
      <c r="Q464">
        <v>59</v>
      </c>
      <c r="R464">
        <v>280.04000000000002</v>
      </c>
      <c r="S464" t="str">
        <f t="shared" si="35"/>
        <v>PY: Media Crit.</v>
      </c>
      <c r="T464">
        <f t="shared" si="36"/>
        <v>0</v>
      </c>
      <c r="U464">
        <f t="shared" si="37"/>
        <v>0</v>
      </c>
      <c r="V464">
        <f t="shared" si="38"/>
        <v>1</v>
      </c>
      <c r="W464">
        <f t="shared" si="39"/>
        <v>0</v>
      </c>
      <c r="X464">
        <v>1</v>
      </c>
      <c r="Y464" s="2">
        <v>45768</v>
      </c>
      <c r="Z464" s="3" t="s">
        <v>38</v>
      </c>
      <c r="AA464" t="s">
        <v>39</v>
      </c>
      <c r="AB464" t="s">
        <v>40</v>
      </c>
      <c r="AC464" t="s">
        <v>40</v>
      </c>
      <c r="AD464" t="s">
        <v>41</v>
      </c>
    </row>
    <row r="465" spans="2:30">
      <c r="B465">
        <v>7</v>
      </c>
      <c r="C465">
        <v>1020</v>
      </c>
      <c r="D465" t="s">
        <v>29</v>
      </c>
      <c r="E465">
        <v>10045529</v>
      </c>
      <c r="F465" t="s">
        <v>552</v>
      </c>
      <c r="G465" t="s">
        <v>31</v>
      </c>
      <c r="H465" t="s">
        <v>32</v>
      </c>
      <c r="I465" t="s">
        <v>33</v>
      </c>
      <c r="J465" t="s">
        <v>45</v>
      </c>
      <c r="K465" t="s">
        <v>35</v>
      </c>
      <c r="L465" t="s">
        <v>36</v>
      </c>
      <c r="M465" t="s">
        <v>88</v>
      </c>
      <c r="N465">
        <v>50</v>
      </c>
      <c r="O465">
        <v>31</v>
      </c>
      <c r="P465">
        <v>0</v>
      </c>
      <c r="Q465">
        <v>48</v>
      </c>
      <c r="R465">
        <v>220.26</v>
      </c>
      <c r="S465" t="str">
        <f t="shared" si="35"/>
        <v>PX: Baja Crit.</v>
      </c>
      <c r="T465">
        <f t="shared" si="36"/>
        <v>0</v>
      </c>
      <c r="U465">
        <f t="shared" si="37"/>
        <v>0</v>
      </c>
      <c r="V465">
        <f t="shared" si="38"/>
        <v>1</v>
      </c>
      <c r="W465">
        <f t="shared" si="39"/>
        <v>0</v>
      </c>
      <c r="X465">
        <v>1</v>
      </c>
      <c r="Y465" s="2">
        <v>45768</v>
      </c>
      <c r="Z465" s="3" t="s">
        <v>89</v>
      </c>
      <c r="AA465" t="s">
        <v>39</v>
      </c>
      <c r="AB465" t="s">
        <v>40</v>
      </c>
      <c r="AC465" t="s">
        <v>40</v>
      </c>
      <c r="AD465" t="s">
        <v>41</v>
      </c>
    </row>
    <row r="466" spans="2:30">
      <c r="B466">
        <v>7</v>
      </c>
      <c r="C466">
        <v>1020</v>
      </c>
      <c r="D466" t="s">
        <v>29</v>
      </c>
      <c r="E466">
        <v>10599477</v>
      </c>
      <c r="F466" t="s">
        <v>553</v>
      </c>
      <c r="G466" t="s">
        <v>52</v>
      </c>
      <c r="H466" t="s">
        <v>60</v>
      </c>
      <c r="I466" t="s">
        <v>33</v>
      </c>
      <c r="J466" t="s">
        <v>34</v>
      </c>
      <c r="K466" t="s">
        <v>35</v>
      </c>
      <c r="L466" t="s">
        <v>36</v>
      </c>
      <c r="M466" t="s">
        <v>117</v>
      </c>
      <c r="N466">
        <v>250</v>
      </c>
      <c r="O466">
        <v>150</v>
      </c>
      <c r="P466">
        <v>50</v>
      </c>
      <c r="Q466">
        <v>100</v>
      </c>
      <c r="R466" s="4">
        <v>3345.97</v>
      </c>
      <c r="S466" t="str">
        <f t="shared" si="35"/>
        <v>PZ: Alta Crit.</v>
      </c>
      <c r="T466">
        <f t="shared" si="36"/>
        <v>0</v>
      </c>
      <c r="U466">
        <f t="shared" si="37"/>
        <v>0</v>
      </c>
      <c r="V466">
        <f t="shared" si="38"/>
        <v>1</v>
      </c>
      <c r="W466">
        <f t="shared" si="39"/>
        <v>0</v>
      </c>
      <c r="X466">
        <v>1</v>
      </c>
      <c r="Y466" s="2">
        <v>45768</v>
      </c>
      <c r="Z466" s="3" t="s">
        <v>118</v>
      </c>
      <c r="AA466" t="s">
        <v>39</v>
      </c>
      <c r="AB466" t="s">
        <v>76</v>
      </c>
      <c r="AC466" s="5" t="s">
        <v>77</v>
      </c>
      <c r="AD466" t="s">
        <v>41</v>
      </c>
    </row>
    <row r="467" spans="2:30">
      <c r="B467">
        <v>7</v>
      </c>
      <c r="C467">
        <v>1020</v>
      </c>
      <c r="D467" t="s">
        <v>29</v>
      </c>
      <c r="E467">
        <v>14192312</v>
      </c>
      <c r="F467" t="s">
        <v>554</v>
      </c>
      <c r="G467" t="s">
        <v>43</v>
      </c>
      <c r="H467" t="s">
        <v>44</v>
      </c>
      <c r="I467" t="s">
        <v>33</v>
      </c>
      <c r="J467" t="s">
        <v>45</v>
      </c>
      <c r="K467" t="s">
        <v>35</v>
      </c>
      <c r="L467" t="s">
        <v>36</v>
      </c>
      <c r="M467" t="s">
        <v>46</v>
      </c>
      <c r="N467">
        <v>9</v>
      </c>
      <c r="O467">
        <v>4</v>
      </c>
      <c r="P467">
        <v>0</v>
      </c>
      <c r="Q467">
        <v>20</v>
      </c>
      <c r="R467" s="4">
        <v>1096.6400000000001</v>
      </c>
      <c r="S467" t="str">
        <f t="shared" si="35"/>
        <v>PY: Media Crit.</v>
      </c>
      <c r="T467">
        <f t="shared" si="36"/>
        <v>0</v>
      </c>
      <c r="U467">
        <f t="shared" si="37"/>
        <v>0</v>
      </c>
      <c r="V467">
        <f t="shared" si="38"/>
        <v>0</v>
      </c>
      <c r="W467">
        <f t="shared" si="39"/>
        <v>1</v>
      </c>
      <c r="X467">
        <v>1</v>
      </c>
      <c r="Y467" s="2">
        <v>45768</v>
      </c>
      <c r="Z467" s="3" t="s">
        <v>47</v>
      </c>
      <c r="AA467" t="s">
        <v>39</v>
      </c>
      <c r="AB467" t="s">
        <v>40</v>
      </c>
      <c r="AC467" t="s">
        <v>40</v>
      </c>
      <c r="AD467" t="s">
        <v>41</v>
      </c>
    </row>
    <row r="468" spans="2:30">
      <c r="B468">
        <v>7</v>
      </c>
      <c r="C468">
        <v>1020</v>
      </c>
      <c r="D468" t="s">
        <v>29</v>
      </c>
      <c r="E468">
        <v>10043452</v>
      </c>
      <c r="F468" t="s">
        <v>555</v>
      </c>
      <c r="G468" t="s">
        <v>43</v>
      </c>
      <c r="H468" t="s">
        <v>44</v>
      </c>
      <c r="I468" t="s">
        <v>33</v>
      </c>
      <c r="J468" t="s">
        <v>45</v>
      </c>
      <c r="K468" t="s">
        <v>35</v>
      </c>
      <c r="L468" t="s">
        <v>36</v>
      </c>
      <c r="M468" t="s">
        <v>46</v>
      </c>
      <c r="N468">
        <v>17</v>
      </c>
      <c r="O468">
        <v>10</v>
      </c>
      <c r="P468">
        <v>7</v>
      </c>
      <c r="Q468">
        <v>18</v>
      </c>
      <c r="R468" s="4">
        <v>2791.81</v>
      </c>
      <c r="S468" t="str">
        <f t="shared" si="35"/>
        <v>PY: Media Crit.</v>
      </c>
      <c r="T468">
        <f t="shared" si="36"/>
        <v>0</v>
      </c>
      <c r="U468">
        <f t="shared" si="37"/>
        <v>0</v>
      </c>
      <c r="V468">
        <f t="shared" si="38"/>
        <v>0</v>
      </c>
      <c r="W468">
        <f t="shared" si="39"/>
        <v>1</v>
      </c>
      <c r="X468">
        <v>1</v>
      </c>
      <c r="Y468" s="2">
        <v>45768</v>
      </c>
      <c r="Z468" s="3" t="s">
        <v>47</v>
      </c>
      <c r="AA468" t="s">
        <v>39</v>
      </c>
      <c r="AB468" t="s">
        <v>76</v>
      </c>
      <c r="AC468" s="5" t="s">
        <v>77</v>
      </c>
      <c r="AD468" t="s">
        <v>41</v>
      </c>
    </row>
    <row r="469" spans="2:30">
      <c r="B469">
        <v>7</v>
      </c>
      <c r="C469">
        <v>1020</v>
      </c>
      <c r="D469" t="s">
        <v>29</v>
      </c>
      <c r="E469">
        <v>10044021</v>
      </c>
      <c r="F469" t="s">
        <v>556</v>
      </c>
      <c r="G469" t="s">
        <v>43</v>
      </c>
      <c r="H469" t="s">
        <v>32</v>
      </c>
      <c r="I469" t="s">
        <v>33</v>
      </c>
      <c r="J469" t="s">
        <v>34</v>
      </c>
      <c r="K469" t="s">
        <v>35</v>
      </c>
      <c r="L469" t="s">
        <v>36</v>
      </c>
      <c r="M469" t="s">
        <v>46</v>
      </c>
      <c r="N469">
        <v>10</v>
      </c>
      <c r="O469">
        <v>6</v>
      </c>
      <c r="P469">
        <v>3</v>
      </c>
      <c r="Q469">
        <v>7</v>
      </c>
      <c r="R469">
        <v>560</v>
      </c>
      <c r="S469" t="str">
        <f t="shared" si="35"/>
        <v>PY: Media Crit.</v>
      </c>
      <c r="T469">
        <f t="shared" si="36"/>
        <v>0</v>
      </c>
      <c r="U469">
        <f t="shared" si="37"/>
        <v>0</v>
      </c>
      <c r="V469">
        <f t="shared" si="38"/>
        <v>1</v>
      </c>
      <c r="W469">
        <f t="shared" si="39"/>
        <v>0</v>
      </c>
      <c r="X469">
        <v>1</v>
      </c>
      <c r="Y469" s="2">
        <v>45768</v>
      </c>
      <c r="Z469" s="3" t="s">
        <v>47</v>
      </c>
      <c r="AA469" t="s">
        <v>39</v>
      </c>
      <c r="AB469" t="s">
        <v>40</v>
      </c>
      <c r="AC469" t="s">
        <v>40</v>
      </c>
      <c r="AD469" t="s">
        <v>41</v>
      </c>
    </row>
    <row r="470" spans="2:30">
      <c r="B470">
        <v>7</v>
      </c>
      <c r="C470">
        <v>1020</v>
      </c>
      <c r="D470" t="s">
        <v>29</v>
      </c>
      <c r="E470">
        <v>10045220</v>
      </c>
      <c r="F470" t="s">
        <v>557</v>
      </c>
      <c r="G470" t="s">
        <v>31</v>
      </c>
      <c r="H470" t="s">
        <v>32</v>
      </c>
      <c r="I470" t="s">
        <v>33</v>
      </c>
      <c r="J470" t="s">
        <v>45</v>
      </c>
      <c r="K470" t="s">
        <v>35</v>
      </c>
      <c r="L470" t="s">
        <v>36</v>
      </c>
      <c r="M470" t="s">
        <v>88</v>
      </c>
      <c r="N470">
        <v>10</v>
      </c>
      <c r="O470">
        <v>6</v>
      </c>
      <c r="P470">
        <v>2</v>
      </c>
      <c r="Q470">
        <v>16</v>
      </c>
      <c r="R470">
        <v>101.42</v>
      </c>
      <c r="S470" t="str">
        <f t="shared" si="35"/>
        <v>PX: Baja Crit.</v>
      </c>
      <c r="T470">
        <f t="shared" si="36"/>
        <v>0</v>
      </c>
      <c r="U470">
        <f t="shared" si="37"/>
        <v>0</v>
      </c>
      <c r="V470">
        <f t="shared" si="38"/>
        <v>0</v>
      </c>
      <c r="W470">
        <f t="shared" si="39"/>
        <v>1</v>
      </c>
      <c r="X470">
        <v>1</v>
      </c>
      <c r="Y470" s="2">
        <v>45768</v>
      </c>
      <c r="Z470" s="3" t="s">
        <v>89</v>
      </c>
      <c r="AA470" t="s">
        <v>39</v>
      </c>
      <c r="AB470" t="s">
        <v>40</v>
      </c>
      <c r="AC470" t="s">
        <v>40</v>
      </c>
      <c r="AD470" t="s">
        <v>41</v>
      </c>
    </row>
    <row r="471" spans="2:30">
      <c r="B471">
        <v>7</v>
      </c>
      <c r="C471">
        <v>1020</v>
      </c>
      <c r="D471" t="s">
        <v>29</v>
      </c>
      <c r="E471">
        <v>10004699</v>
      </c>
      <c r="F471" t="s">
        <v>558</v>
      </c>
      <c r="G471" t="s">
        <v>43</v>
      </c>
      <c r="H471" t="s">
        <v>32</v>
      </c>
      <c r="I471" t="s">
        <v>33</v>
      </c>
      <c r="J471" t="s">
        <v>45</v>
      </c>
      <c r="K471" t="s">
        <v>35</v>
      </c>
      <c r="L471" t="s">
        <v>36</v>
      </c>
      <c r="M471" t="s">
        <v>37</v>
      </c>
      <c r="N471">
        <v>4</v>
      </c>
      <c r="O471">
        <v>2</v>
      </c>
      <c r="P471">
        <v>1</v>
      </c>
      <c r="Q471">
        <v>2</v>
      </c>
      <c r="R471">
        <v>267.94</v>
      </c>
      <c r="S471" t="str">
        <f t="shared" si="35"/>
        <v>PY: Media Crit.</v>
      </c>
      <c r="T471">
        <f t="shared" si="36"/>
        <v>0</v>
      </c>
      <c r="U471">
        <f t="shared" si="37"/>
        <v>0</v>
      </c>
      <c r="V471">
        <f t="shared" si="38"/>
        <v>1</v>
      </c>
      <c r="W471">
        <f t="shared" si="39"/>
        <v>0</v>
      </c>
      <c r="X471">
        <v>1</v>
      </c>
      <c r="Y471" s="2">
        <v>45768</v>
      </c>
      <c r="Z471" s="3" t="s">
        <v>38</v>
      </c>
      <c r="AA471" t="s">
        <v>39</v>
      </c>
      <c r="AB471" t="s">
        <v>40</v>
      </c>
      <c r="AC471" t="s">
        <v>40</v>
      </c>
      <c r="AD471" t="s">
        <v>41</v>
      </c>
    </row>
    <row r="472" spans="2:30">
      <c r="B472">
        <v>7</v>
      </c>
      <c r="C472">
        <v>1020</v>
      </c>
      <c r="D472" t="s">
        <v>29</v>
      </c>
      <c r="E472">
        <v>10042387</v>
      </c>
      <c r="F472" t="s">
        <v>559</v>
      </c>
      <c r="G472" t="s">
        <v>43</v>
      </c>
      <c r="H472" t="s">
        <v>32</v>
      </c>
      <c r="I472" t="s">
        <v>33</v>
      </c>
      <c r="J472" t="s">
        <v>45</v>
      </c>
      <c r="K472" t="s">
        <v>35</v>
      </c>
      <c r="L472" t="s">
        <v>36</v>
      </c>
      <c r="M472" t="s">
        <v>117</v>
      </c>
      <c r="N472">
        <v>6</v>
      </c>
      <c r="O472">
        <v>5</v>
      </c>
      <c r="P472">
        <v>2</v>
      </c>
      <c r="Q472">
        <v>10</v>
      </c>
      <c r="R472">
        <v>950</v>
      </c>
      <c r="S472" t="str">
        <f t="shared" si="35"/>
        <v>PY: Media Crit.</v>
      </c>
      <c r="T472">
        <f t="shared" si="36"/>
        <v>0</v>
      </c>
      <c r="U472">
        <f t="shared" si="37"/>
        <v>0</v>
      </c>
      <c r="V472">
        <f t="shared" si="38"/>
        <v>0</v>
      </c>
      <c r="W472">
        <f t="shared" si="39"/>
        <v>1</v>
      </c>
      <c r="X472">
        <v>1</v>
      </c>
      <c r="Y472" s="2">
        <v>45768</v>
      </c>
      <c r="Z472" s="3" t="s">
        <v>118</v>
      </c>
      <c r="AA472" t="s">
        <v>39</v>
      </c>
      <c r="AB472" t="s">
        <v>40</v>
      </c>
      <c r="AC472" t="s">
        <v>40</v>
      </c>
      <c r="AD472" t="s">
        <v>41</v>
      </c>
    </row>
    <row r="473" spans="2:30">
      <c r="B473">
        <v>7</v>
      </c>
      <c r="C473">
        <v>1020</v>
      </c>
      <c r="D473" t="s">
        <v>29</v>
      </c>
      <c r="E473">
        <v>10055245</v>
      </c>
      <c r="F473" t="s">
        <v>560</v>
      </c>
      <c r="G473" t="s">
        <v>43</v>
      </c>
      <c r="H473" t="s">
        <v>32</v>
      </c>
      <c r="I473" t="s">
        <v>33</v>
      </c>
      <c r="J473" t="s">
        <v>34</v>
      </c>
      <c r="K473" t="s">
        <v>35</v>
      </c>
      <c r="L473" t="s">
        <v>36</v>
      </c>
      <c r="M473" t="s">
        <v>55</v>
      </c>
      <c r="N473">
        <v>80</v>
      </c>
      <c r="O473">
        <v>41</v>
      </c>
      <c r="P473">
        <v>10</v>
      </c>
      <c r="Q473">
        <v>80</v>
      </c>
      <c r="R473">
        <v>190.82</v>
      </c>
      <c r="S473" t="str">
        <f t="shared" si="35"/>
        <v>PY: Media Crit.</v>
      </c>
      <c r="T473">
        <f t="shared" si="36"/>
        <v>0</v>
      </c>
      <c r="U473">
        <f t="shared" si="37"/>
        <v>0</v>
      </c>
      <c r="V473">
        <f t="shared" si="38"/>
        <v>1</v>
      </c>
      <c r="W473">
        <f t="shared" si="39"/>
        <v>0</v>
      </c>
      <c r="X473">
        <v>1</v>
      </c>
      <c r="Y473" s="2">
        <v>45768</v>
      </c>
      <c r="Z473" s="3" t="s">
        <v>56</v>
      </c>
      <c r="AA473" t="s">
        <v>39</v>
      </c>
      <c r="AB473" t="s">
        <v>40</v>
      </c>
      <c r="AC473" t="s">
        <v>40</v>
      </c>
      <c r="AD473" t="s">
        <v>41</v>
      </c>
    </row>
    <row r="474" spans="2:30">
      <c r="B474">
        <v>7</v>
      </c>
      <c r="C474">
        <v>1020</v>
      </c>
      <c r="D474" t="s">
        <v>29</v>
      </c>
      <c r="E474">
        <v>10056331</v>
      </c>
      <c r="F474" t="s">
        <v>561</v>
      </c>
      <c r="G474" t="s">
        <v>31</v>
      </c>
      <c r="H474" t="s">
        <v>32</v>
      </c>
      <c r="I474" t="s">
        <v>33</v>
      </c>
      <c r="J474" t="s">
        <v>45</v>
      </c>
      <c r="K474" t="s">
        <v>35</v>
      </c>
      <c r="L474" t="s">
        <v>36</v>
      </c>
      <c r="M474" t="s">
        <v>88</v>
      </c>
      <c r="N474">
        <v>8</v>
      </c>
      <c r="O474">
        <v>5</v>
      </c>
      <c r="P474">
        <v>1</v>
      </c>
      <c r="Q474">
        <v>2</v>
      </c>
      <c r="R474">
        <v>103.42</v>
      </c>
      <c r="S474" t="str">
        <f t="shared" si="35"/>
        <v>PX: Baja Crit.</v>
      </c>
      <c r="T474">
        <f t="shared" si="36"/>
        <v>0</v>
      </c>
      <c r="U474">
        <f t="shared" si="37"/>
        <v>0</v>
      </c>
      <c r="V474">
        <f t="shared" si="38"/>
        <v>1</v>
      </c>
      <c r="W474">
        <f t="shared" si="39"/>
        <v>0</v>
      </c>
      <c r="X474">
        <v>1</v>
      </c>
      <c r="Y474" s="2">
        <v>45768</v>
      </c>
      <c r="Z474" s="3" t="s">
        <v>89</v>
      </c>
      <c r="AA474" t="s">
        <v>39</v>
      </c>
      <c r="AB474" t="s">
        <v>49</v>
      </c>
      <c r="AC474" s="5" t="s">
        <v>50</v>
      </c>
      <c r="AD474" t="s">
        <v>41</v>
      </c>
    </row>
    <row r="475" spans="2:30">
      <c r="B475">
        <v>7</v>
      </c>
      <c r="C475">
        <v>1020</v>
      </c>
      <c r="D475" t="s">
        <v>29</v>
      </c>
      <c r="E475">
        <v>10054091</v>
      </c>
      <c r="F475" t="s">
        <v>562</v>
      </c>
      <c r="G475" t="s">
        <v>43</v>
      </c>
      <c r="H475" t="s">
        <v>32</v>
      </c>
      <c r="I475" t="s">
        <v>33</v>
      </c>
      <c r="J475" t="s">
        <v>45</v>
      </c>
      <c r="K475" t="s">
        <v>35</v>
      </c>
      <c r="L475" t="s">
        <v>36</v>
      </c>
      <c r="M475" t="s">
        <v>117</v>
      </c>
      <c r="N475">
        <v>15</v>
      </c>
      <c r="O475">
        <v>7</v>
      </c>
      <c r="P475">
        <v>5</v>
      </c>
      <c r="Q475">
        <v>30</v>
      </c>
      <c r="R475" s="4">
        <v>1381.8</v>
      </c>
      <c r="S475" t="str">
        <f t="shared" si="35"/>
        <v>PY: Media Crit.</v>
      </c>
      <c r="T475">
        <f t="shared" si="36"/>
        <v>0</v>
      </c>
      <c r="U475">
        <f t="shared" si="37"/>
        <v>0</v>
      </c>
      <c r="V475">
        <f t="shared" si="38"/>
        <v>0</v>
      </c>
      <c r="W475">
        <f t="shared" si="39"/>
        <v>1</v>
      </c>
      <c r="X475">
        <v>1</v>
      </c>
      <c r="Y475" s="2">
        <v>45768</v>
      </c>
      <c r="Z475" s="3" t="s">
        <v>118</v>
      </c>
      <c r="AA475" t="s">
        <v>39</v>
      </c>
      <c r="AB475" t="s">
        <v>40</v>
      </c>
      <c r="AC475" t="s">
        <v>40</v>
      </c>
      <c r="AD475" t="s">
        <v>41</v>
      </c>
    </row>
    <row r="476" spans="2:30">
      <c r="B476">
        <v>7</v>
      </c>
      <c r="C476">
        <v>1020</v>
      </c>
      <c r="D476" t="s">
        <v>29</v>
      </c>
      <c r="E476">
        <v>10048552</v>
      </c>
      <c r="F476" t="s">
        <v>563</v>
      </c>
      <c r="G476" t="s">
        <v>52</v>
      </c>
      <c r="H476" t="s">
        <v>60</v>
      </c>
      <c r="I476" t="s">
        <v>33</v>
      </c>
      <c r="J476" t="s">
        <v>45</v>
      </c>
      <c r="K476" t="s">
        <v>35</v>
      </c>
      <c r="L476" t="s">
        <v>36</v>
      </c>
      <c r="M476" t="s">
        <v>37</v>
      </c>
      <c r="N476">
        <v>40</v>
      </c>
      <c r="O476">
        <v>15</v>
      </c>
      <c r="P476">
        <v>10</v>
      </c>
      <c r="Q476">
        <v>0</v>
      </c>
      <c r="R476">
        <v>0</v>
      </c>
      <c r="S476" t="str">
        <f t="shared" si="35"/>
        <v>PZ: Alta Crit.</v>
      </c>
      <c r="T476">
        <f t="shared" si="36"/>
        <v>1</v>
      </c>
      <c r="U476">
        <f t="shared" si="37"/>
        <v>0</v>
      </c>
      <c r="V476">
        <f t="shared" si="38"/>
        <v>0</v>
      </c>
      <c r="W476">
        <f t="shared" si="39"/>
        <v>0</v>
      </c>
      <c r="X476">
        <v>1</v>
      </c>
      <c r="Y476" s="2">
        <v>45768</v>
      </c>
      <c r="Z476" s="3" t="s">
        <v>38</v>
      </c>
      <c r="AA476" t="s">
        <v>39</v>
      </c>
      <c r="AB476" t="s">
        <v>76</v>
      </c>
      <c r="AC476" s="5" t="s">
        <v>77</v>
      </c>
      <c r="AD476" t="s">
        <v>41</v>
      </c>
    </row>
    <row r="477" spans="2:30">
      <c r="B477">
        <v>7</v>
      </c>
      <c r="C477">
        <v>1020</v>
      </c>
      <c r="D477" t="s">
        <v>29</v>
      </c>
      <c r="E477">
        <v>10050389</v>
      </c>
      <c r="F477" t="s">
        <v>564</v>
      </c>
      <c r="G477" t="s">
        <v>43</v>
      </c>
      <c r="H477" t="s">
        <v>32</v>
      </c>
      <c r="I477" t="s">
        <v>33</v>
      </c>
      <c r="J477" t="s">
        <v>34</v>
      </c>
      <c r="K477" t="s">
        <v>35</v>
      </c>
      <c r="L477" t="s">
        <v>36</v>
      </c>
      <c r="M477" t="s">
        <v>88</v>
      </c>
      <c r="N477">
        <v>30</v>
      </c>
      <c r="O477">
        <v>19</v>
      </c>
      <c r="P477">
        <v>6</v>
      </c>
      <c r="Q477">
        <v>30</v>
      </c>
      <c r="R477">
        <v>198.3</v>
      </c>
      <c r="S477" t="str">
        <f t="shared" si="35"/>
        <v>PY: Media Crit.</v>
      </c>
      <c r="T477">
        <f t="shared" si="36"/>
        <v>0</v>
      </c>
      <c r="U477">
        <f t="shared" si="37"/>
        <v>0</v>
      </c>
      <c r="V477">
        <f t="shared" si="38"/>
        <v>1</v>
      </c>
      <c r="W477">
        <f t="shared" si="39"/>
        <v>0</v>
      </c>
      <c r="X477">
        <v>1</v>
      </c>
      <c r="Y477" s="2">
        <v>45768</v>
      </c>
      <c r="Z477" s="3" t="s">
        <v>89</v>
      </c>
      <c r="AA477" t="s">
        <v>39</v>
      </c>
      <c r="AB477" t="s">
        <v>40</v>
      </c>
      <c r="AC477" t="s">
        <v>40</v>
      </c>
      <c r="AD477" t="s">
        <v>41</v>
      </c>
    </row>
    <row r="478" spans="2:30">
      <c r="B478">
        <v>7</v>
      </c>
      <c r="C478">
        <v>1020</v>
      </c>
      <c r="D478" t="s">
        <v>29</v>
      </c>
      <c r="E478">
        <v>10056548</v>
      </c>
      <c r="F478" t="s">
        <v>565</v>
      </c>
      <c r="G478" t="s">
        <v>43</v>
      </c>
      <c r="H478" t="s">
        <v>32</v>
      </c>
      <c r="I478" t="s">
        <v>33</v>
      </c>
      <c r="J478" t="s">
        <v>45</v>
      </c>
      <c r="K478" t="s">
        <v>35</v>
      </c>
      <c r="L478" t="s">
        <v>36</v>
      </c>
      <c r="M478" t="s">
        <v>88</v>
      </c>
      <c r="N478">
        <v>8</v>
      </c>
      <c r="O478">
        <v>5</v>
      </c>
      <c r="P478">
        <v>4</v>
      </c>
      <c r="Q478">
        <v>8</v>
      </c>
      <c r="R478">
        <v>41.65</v>
      </c>
      <c r="S478" t="str">
        <f t="shared" si="35"/>
        <v>PY: Media Crit.</v>
      </c>
      <c r="T478">
        <f t="shared" si="36"/>
        <v>0</v>
      </c>
      <c r="U478">
        <f t="shared" si="37"/>
        <v>0</v>
      </c>
      <c r="V478">
        <f t="shared" si="38"/>
        <v>1</v>
      </c>
      <c r="W478">
        <f t="shared" si="39"/>
        <v>0</v>
      </c>
      <c r="X478">
        <v>1</v>
      </c>
      <c r="Y478" s="2">
        <v>45768</v>
      </c>
      <c r="Z478" s="3" t="s">
        <v>89</v>
      </c>
      <c r="AA478" t="s">
        <v>39</v>
      </c>
      <c r="AB478" t="s">
        <v>40</v>
      </c>
      <c r="AC478" t="s">
        <v>40</v>
      </c>
      <c r="AD478" t="s">
        <v>41</v>
      </c>
    </row>
    <row r="479" spans="2:30">
      <c r="B479">
        <v>7</v>
      </c>
      <c r="C479">
        <v>1020</v>
      </c>
      <c r="D479" t="s">
        <v>29</v>
      </c>
      <c r="E479">
        <v>10294246</v>
      </c>
      <c r="F479" t="s">
        <v>566</v>
      </c>
      <c r="G479" t="s">
        <v>31</v>
      </c>
      <c r="H479" t="s">
        <v>32</v>
      </c>
      <c r="I479" t="s">
        <v>33</v>
      </c>
      <c r="J479" t="s">
        <v>45</v>
      </c>
      <c r="K479" t="s">
        <v>35</v>
      </c>
      <c r="L479" t="s">
        <v>36</v>
      </c>
      <c r="M479" t="s">
        <v>117</v>
      </c>
      <c r="N479">
        <v>30</v>
      </c>
      <c r="O479">
        <v>20</v>
      </c>
      <c r="P479">
        <v>0</v>
      </c>
      <c r="Q479">
        <v>22</v>
      </c>
      <c r="R479">
        <v>327.72</v>
      </c>
      <c r="S479" t="str">
        <f t="shared" si="35"/>
        <v>PX: Baja Crit.</v>
      </c>
      <c r="T479">
        <f t="shared" si="36"/>
        <v>0</v>
      </c>
      <c r="U479">
        <f t="shared" si="37"/>
        <v>0</v>
      </c>
      <c r="V479">
        <f t="shared" si="38"/>
        <v>1</v>
      </c>
      <c r="W479">
        <f t="shared" si="39"/>
        <v>0</v>
      </c>
      <c r="X479">
        <v>1</v>
      </c>
      <c r="Y479" s="2">
        <v>45768</v>
      </c>
      <c r="Z479" s="3" t="s">
        <v>118</v>
      </c>
      <c r="AA479" t="s">
        <v>39</v>
      </c>
      <c r="AB479" t="s">
        <v>40</v>
      </c>
      <c r="AC479" t="s">
        <v>40</v>
      </c>
      <c r="AD479" t="s">
        <v>41</v>
      </c>
    </row>
    <row r="480" spans="2:30">
      <c r="B480">
        <v>7</v>
      </c>
      <c r="C480">
        <v>1020</v>
      </c>
      <c r="D480" t="s">
        <v>29</v>
      </c>
      <c r="E480">
        <v>10056739</v>
      </c>
      <c r="F480" t="s">
        <v>567</v>
      </c>
      <c r="G480" t="s">
        <v>31</v>
      </c>
      <c r="H480" t="s">
        <v>32</v>
      </c>
      <c r="I480" t="s">
        <v>33</v>
      </c>
      <c r="J480" t="s">
        <v>34</v>
      </c>
      <c r="K480" t="s">
        <v>35</v>
      </c>
      <c r="L480" t="s">
        <v>36</v>
      </c>
      <c r="M480" t="s">
        <v>46</v>
      </c>
      <c r="N480">
        <v>30</v>
      </c>
      <c r="O480">
        <v>16</v>
      </c>
      <c r="P480">
        <v>5</v>
      </c>
      <c r="Q480">
        <v>34</v>
      </c>
      <c r="R480" s="4">
        <v>2229.73</v>
      </c>
      <c r="S480" t="str">
        <f t="shared" si="35"/>
        <v>PX: Baja Crit.</v>
      </c>
      <c r="T480">
        <f t="shared" si="36"/>
        <v>0</v>
      </c>
      <c r="U480">
        <f t="shared" si="37"/>
        <v>0</v>
      </c>
      <c r="V480">
        <f t="shared" si="38"/>
        <v>0</v>
      </c>
      <c r="W480">
        <f t="shared" si="39"/>
        <v>1</v>
      </c>
      <c r="X480">
        <v>1</v>
      </c>
      <c r="Y480" s="2">
        <v>45768</v>
      </c>
      <c r="Z480" s="3" t="s">
        <v>47</v>
      </c>
      <c r="AA480" t="s">
        <v>39</v>
      </c>
      <c r="AB480" t="s">
        <v>76</v>
      </c>
      <c r="AC480" s="5" t="s">
        <v>77</v>
      </c>
      <c r="AD480" t="s">
        <v>41</v>
      </c>
    </row>
    <row r="481" spans="2:30">
      <c r="B481">
        <v>7</v>
      </c>
      <c r="C481">
        <v>1020</v>
      </c>
      <c r="D481" t="s">
        <v>29</v>
      </c>
      <c r="E481">
        <v>10041711</v>
      </c>
      <c r="F481" t="s">
        <v>568</v>
      </c>
      <c r="G481" t="s">
        <v>43</v>
      </c>
      <c r="H481" t="s">
        <v>32</v>
      </c>
      <c r="I481" t="s">
        <v>33</v>
      </c>
      <c r="J481" t="s">
        <v>45</v>
      </c>
      <c r="K481" t="s">
        <v>35</v>
      </c>
      <c r="L481" t="s">
        <v>36</v>
      </c>
      <c r="M481" t="s">
        <v>37</v>
      </c>
      <c r="N481">
        <v>6</v>
      </c>
      <c r="O481">
        <v>4</v>
      </c>
      <c r="P481">
        <v>2</v>
      </c>
      <c r="Q481">
        <v>6</v>
      </c>
      <c r="R481">
        <v>553.16</v>
      </c>
      <c r="S481" t="str">
        <f t="shared" si="35"/>
        <v>PY: Media Crit.</v>
      </c>
      <c r="T481">
        <f t="shared" si="36"/>
        <v>0</v>
      </c>
      <c r="U481">
        <f t="shared" si="37"/>
        <v>0</v>
      </c>
      <c r="V481">
        <f t="shared" si="38"/>
        <v>1</v>
      </c>
      <c r="W481">
        <f t="shared" si="39"/>
        <v>0</v>
      </c>
      <c r="X481">
        <v>1</v>
      </c>
      <c r="Y481" s="2">
        <v>45768</v>
      </c>
      <c r="Z481" s="3" t="s">
        <v>38</v>
      </c>
      <c r="AA481" t="s">
        <v>39</v>
      </c>
      <c r="AB481" t="s">
        <v>40</v>
      </c>
      <c r="AC481" t="s">
        <v>40</v>
      </c>
      <c r="AD481" t="s">
        <v>41</v>
      </c>
    </row>
    <row r="482" spans="2:30">
      <c r="B482">
        <v>7</v>
      </c>
      <c r="C482">
        <v>1020</v>
      </c>
      <c r="D482" t="s">
        <v>29</v>
      </c>
      <c r="E482">
        <v>10043334</v>
      </c>
      <c r="F482" t="s">
        <v>569</v>
      </c>
      <c r="G482" t="s">
        <v>43</v>
      </c>
      <c r="H482" t="s">
        <v>44</v>
      </c>
      <c r="I482" t="s">
        <v>33</v>
      </c>
      <c r="J482" t="s">
        <v>34</v>
      </c>
      <c r="K482" t="s">
        <v>35</v>
      </c>
      <c r="L482" t="s">
        <v>36</v>
      </c>
      <c r="M482" t="s">
        <v>46</v>
      </c>
      <c r="N482">
        <v>8</v>
      </c>
      <c r="O482">
        <v>6</v>
      </c>
      <c r="P482">
        <v>2</v>
      </c>
      <c r="Q482">
        <v>2</v>
      </c>
      <c r="R482" s="4">
        <v>7591.79</v>
      </c>
      <c r="S482" t="str">
        <f t="shared" si="35"/>
        <v>PY: Media Crit.</v>
      </c>
      <c r="T482">
        <f t="shared" si="36"/>
        <v>0</v>
      </c>
      <c r="U482">
        <f t="shared" si="37"/>
        <v>1</v>
      </c>
      <c r="V482">
        <f t="shared" si="38"/>
        <v>0</v>
      </c>
      <c r="W482">
        <f t="shared" si="39"/>
        <v>0</v>
      </c>
      <c r="X482">
        <v>1</v>
      </c>
      <c r="Y482" s="2">
        <v>45768</v>
      </c>
      <c r="Z482" s="3" t="s">
        <v>47</v>
      </c>
      <c r="AA482" t="s">
        <v>39</v>
      </c>
      <c r="AB482" t="s">
        <v>76</v>
      </c>
      <c r="AC482" s="5" t="s">
        <v>77</v>
      </c>
      <c r="AD482" t="s">
        <v>41</v>
      </c>
    </row>
    <row r="483" spans="2:30">
      <c r="B483">
        <v>7</v>
      </c>
      <c r="C483">
        <v>1020</v>
      </c>
      <c r="D483" t="s">
        <v>29</v>
      </c>
      <c r="E483">
        <v>10306561</v>
      </c>
      <c r="F483" t="s">
        <v>570</v>
      </c>
      <c r="G483" t="s">
        <v>52</v>
      </c>
      <c r="H483" t="s">
        <v>60</v>
      </c>
      <c r="I483" t="s">
        <v>33</v>
      </c>
      <c r="J483" t="s">
        <v>45</v>
      </c>
      <c r="K483" t="s">
        <v>35</v>
      </c>
      <c r="L483" t="s">
        <v>36</v>
      </c>
      <c r="M483" t="s">
        <v>46</v>
      </c>
      <c r="N483">
        <v>6</v>
      </c>
      <c r="O483">
        <v>4</v>
      </c>
      <c r="P483">
        <v>2</v>
      </c>
      <c r="Q483">
        <v>35</v>
      </c>
      <c r="R483" s="4">
        <v>4463.9399999999996</v>
      </c>
      <c r="S483" t="str">
        <f t="shared" si="35"/>
        <v>PZ: Alta Crit.</v>
      </c>
      <c r="T483">
        <f t="shared" si="36"/>
        <v>0</v>
      </c>
      <c r="U483">
        <f t="shared" si="37"/>
        <v>0</v>
      </c>
      <c r="V483">
        <f t="shared" si="38"/>
        <v>0</v>
      </c>
      <c r="W483">
        <f t="shared" si="39"/>
        <v>1</v>
      </c>
      <c r="X483">
        <v>1</v>
      </c>
      <c r="Y483" s="2">
        <v>45768</v>
      </c>
      <c r="Z483" s="3" t="s">
        <v>47</v>
      </c>
      <c r="AA483" t="s">
        <v>39</v>
      </c>
      <c r="AB483" t="s">
        <v>49</v>
      </c>
      <c r="AC483" s="5" t="s">
        <v>50</v>
      </c>
      <c r="AD483" t="s">
        <v>41</v>
      </c>
    </row>
    <row r="484" spans="2:30">
      <c r="B484">
        <v>7</v>
      </c>
      <c r="C484">
        <v>1020</v>
      </c>
      <c r="D484" t="s">
        <v>29</v>
      </c>
      <c r="E484">
        <v>14062506</v>
      </c>
      <c r="F484" t="s">
        <v>571</v>
      </c>
      <c r="G484" t="s">
        <v>31</v>
      </c>
      <c r="H484" t="s">
        <v>32</v>
      </c>
      <c r="I484" t="s">
        <v>33</v>
      </c>
      <c r="J484" t="s">
        <v>45</v>
      </c>
      <c r="K484" t="s">
        <v>35</v>
      </c>
      <c r="L484" t="s">
        <v>36</v>
      </c>
      <c r="M484" t="s">
        <v>88</v>
      </c>
      <c r="N484">
        <v>90</v>
      </c>
      <c r="O484">
        <v>30</v>
      </c>
      <c r="P484">
        <v>10</v>
      </c>
      <c r="Q484">
        <v>90</v>
      </c>
      <c r="R484">
        <v>787.67</v>
      </c>
      <c r="S484" t="str">
        <f t="shared" si="35"/>
        <v>PX: Baja Crit.</v>
      </c>
      <c r="T484">
        <f t="shared" si="36"/>
        <v>0</v>
      </c>
      <c r="U484">
        <f t="shared" si="37"/>
        <v>0</v>
      </c>
      <c r="V484">
        <f t="shared" si="38"/>
        <v>1</v>
      </c>
      <c r="W484">
        <f t="shared" si="39"/>
        <v>0</v>
      </c>
      <c r="X484">
        <v>1</v>
      </c>
      <c r="Y484" s="2">
        <v>45768</v>
      </c>
      <c r="Z484" s="3" t="s">
        <v>89</v>
      </c>
      <c r="AA484" t="s">
        <v>39</v>
      </c>
      <c r="AB484" t="s">
        <v>40</v>
      </c>
      <c r="AC484" t="s">
        <v>40</v>
      </c>
      <c r="AD484" t="s">
        <v>41</v>
      </c>
    </row>
    <row r="485" spans="2:30">
      <c r="B485">
        <v>7</v>
      </c>
      <c r="C485">
        <v>1020</v>
      </c>
      <c r="D485" t="s">
        <v>29</v>
      </c>
      <c r="E485">
        <v>14223299</v>
      </c>
      <c r="F485" t="s">
        <v>572</v>
      </c>
      <c r="G485" t="s">
        <v>43</v>
      </c>
      <c r="H485" t="s">
        <v>60</v>
      </c>
      <c r="I485" t="s">
        <v>33</v>
      </c>
      <c r="J485" t="s">
        <v>45</v>
      </c>
      <c r="K485" t="s">
        <v>252</v>
      </c>
      <c r="L485" t="s">
        <v>36</v>
      </c>
      <c r="M485" t="s">
        <v>46</v>
      </c>
      <c r="N485">
        <v>11</v>
      </c>
      <c r="O485">
        <v>6</v>
      </c>
      <c r="P485">
        <v>0</v>
      </c>
      <c r="Q485">
        <v>0</v>
      </c>
      <c r="R485">
        <v>0</v>
      </c>
      <c r="S485" t="str">
        <f t="shared" si="35"/>
        <v>PY: Media Crit.</v>
      </c>
      <c r="T485">
        <f t="shared" si="36"/>
        <v>1</v>
      </c>
      <c r="U485">
        <f t="shared" si="37"/>
        <v>0</v>
      </c>
      <c r="V485">
        <f t="shared" si="38"/>
        <v>0</v>
      </c>
      <c r="W485">
        <f t="shared" si="39"/>
        <v>0</v>
      </c>
      <c r="X485">
        <v>1</v>
      </c>
      <c r="Y485" s="2">
        <v>45768</v>
      </c>
      <c r="Z485" s="3" t="s">
        <v>47</v>
      </c>
      <c r="AA485" t="s">
        <v>39</v>
      </c>
      <c r="AB485" t="s">
        <v>76</v>
      </c>
      <c r="AC485" s="5" t="s">
        <v>77</v>
      </c>
      <c r="AD485" t="s">
        <v>41</v>
      </c>
    </row>
    <row r="486" spans="2:30">
      <c r="B486">
        <v>7</v>
      </c>
      <c r="C486">
        <v>1020</v>
      </c>
      <c r="D486" t="s">
        <v>29</v>
      </c>
      <c r="E486">
        <v>10045962</v>
      </c>
      <c r="F486" t="s">
        <v>573</v>
      </c>
      <c r="G486" t="s">
        <v>52</v>
      </c>
      <c r="H486" t="s">
        <v>60</v>
      </c>
      <c r="I486" t="s">
        <v>33</v>
      </c>
      <c r="J486" t="s">
        <v>34</v>
      </c>
      <c r="K486" t="s">
        <v>35</v>
      </c>
      <c r="L486" t="s">
        <v>36</v>
      </c>
      <c r="M486" t="s">
        <v>46</v>
      </c>
      <c r="N486">
        <v>6</v>
      </c>
      <c r="O486">
        <v>5</v>
      </c>
      <c r="P486">
        <v>2</v>
      </c>
      <c r="Q486">
        <v>3</v>
      </c>
      <c r="R486" s="4">
        <v>2911.36</v>
      </c>
      <c r="S486" t="str">
        <f t="shared" si="35"/>
        <v>PZ: Alta Crit.</v>
      </c>
      <c r="T486">
        <f t="shared" si="36"/>
        <v>0</v>
      </c>
      <c r="U486">
        <f t="shared" si="37"/>
        <v>0</v>
      </c>
      <c r="V486">
        <f t="shared" si="38"/>
        <v>1</v>
      </c>
      <c r="W486">
        <f t="shared" si="39"/>
        <v>0</v>
      </c>
      <c r="X486">
        <v>1</v>
      </c>
      <c r="Y486" s="2">
        <v>45768</v>
      </c>
      <c r="Z486" s="3" t="s">
        <v>47</v>
      </c>
      <c r="AA486" t="s">
        <v>39</v>
      </c>
      <c r="AB486" t="s">
        <v>49</v>
      </c>
      <c r="AC486" s="5" t="s">
        <v>50</v>
      </c>
      <c r="AD486" t="s">
        <v>41</v>
      </c>
    </row>
    <row r="487" spans="2:30">
      <c r="B487">
        <v>7</v>
      </c>
      <c r="C487">
        <v>1020</v>
      </c>
      <c r="D487" t="s">
        <v>29</v>
      </c>
      <c r="E487">
        <v>10055236</v>
      </c>
      <c r="F487" t="s">
        <v>574</v>
      </c>
      <c r="G487" t="s">
        <v>52</v>
      </c>
      <c r="H487" t="s">
        <v>60</v>
      </c>
      <c r="I487" t="s">
        <v>33</v>
      </c>
      <c r="J487" t="s">
        <v>34</v>
      </c>
      <c r="K487" t="s">
        <v>35</v>
      </c>
      <c r="L487" t="s">
        <v>36</v>
      </c>
      <c r="M487" t="s">
        <v>46</v>
      </c>
      <c r="N487">
        <v>8</v>
      </c>
      <c r="O487">
        <v>5</v>
      </c>
      <c r="P487">
        <v>2</v>
      </c>
      <c r="Q487">
        <v>10</v>
      </c>
      <c r="R487" s="4">
        <v>3340.18</v>
      </c>
      <c r="S487" t="str">
        <f t="shared" si="35"/>
        <v>PZ: Alta Crit.</v>
      </c>
      <c r="T487">
        <f t="shared" si="36"/>
        <v>0</v>
      </c>
      <c r="U487">
        <f t="shared" si="37"/>
        <v>0</v>
      </c>
      <c r="V487">
        <f t="shared" si="38"/>
        <v>0</v>
      </c>
      <c r="W487">
        <f t="shared" si="39"/>
        <v>1</v>
      </c>
      <c r="X487">
        <v>1</v>
      </c>
      <c r="Y487" s="2">
        <v>45768</v>
      </c>
      <c r="Z487" s="3" t="s">
        <v>47</v>
      </c>
      <c r="AA487" t="s">
        <v>39</v>
      </c>
      <c r="AB487" t="s">
        <v>40</v>
      </c>
      <c r="AC487" t="s">
        <v>40</v>
      </c>
      <c r="AD487" t="s">
        <v>41</v>
      </c>
    </row>
    <row r="488" spans="2:30">
      <c r="B488">
        <v>7</v>
      </c>
      <c r="C488">
        <v>1020</v>
      </c>
      <c r="D488" t="s">
        <v>29</v>
      </c>
      <c r="E488">
        <v>10046701</v>
      </c>
      <c r="F488" t="s">
        <v>575</v>
      </c>
      <c r="G488" t="s">
        <v>52</v>
      </c>
      <c r="H488" t="s">
        <v>44</v>
      </c>
      <c r="I488" t="s">
        <v>33</v>
      </c>
      <c r="J488" t="s">
        <v>45</v>
      </c>
      <c r="K488" t="s">
        <v>35</v>
      </c>
      <c r="L488" t="s">
        <v>36</v>
      </c>
      <c r="M488" t="s">
        <v>46</v>
      </c>
      <c r="N488">
        <v>4</v>
      </c>
      <c r="O488">
        <v>3</v>
      </c>
      <c r="P488">
        <v>2</v>
      </c>
      <c r="Q488">
        <v>5</v>
      </c>
      <c r="R488" s="4">
        <v>10474.82</v>
      </c>
      <c r="S488" t="str">
        <f t="shared" si="35"/>
        <v>PZ: Alta Crit.</v>
      </c>
      <c r="T488">
        <f t="shared" si="36"/>
        <v>0</v>
      </c>
      <c r="U488">
        <f t="shared" si="37"/>
        <v>0</v>
      </c>
      <c r="V488">
        <f t="shared" si="38"/>
        <v>0</v>
      </c>
      <c r="W488">
        <f t="shared" si="39"/>
        <v>1</v>
      </c>
      <c r="X488">
        <v>1</v>
      </c>
      <c r="Y488" s="2">
        <v>45768</v>
      </c>
      <c r="Z488" s="3" t="s">
        <v>47</v>
      </c>
      <c r="AA488" t="s">
        <v>39</v>
      </c>
      <c r="AB488" t="s">
        <v>40</v>
      </c>
      <c r="AC488" t="s">
        <v>40</v>
      </c>
      <c r="AD488" t="s">
        <v>41</v>
      </c>
    </row>
    <row r="489" spans="2:30">
      <c r="B489">
        <v>7</v>
      </c>
      <c r="C489">
        <v>1020</v>
      </c>
      <c r="D489" t="s">
        <v>172</v>
      </c>
      <c r="E489">
        <v>10040568</v>
      </c>
      <c r="F489" t="s">
        <v>576</v>
      </c>
      <c r="G489" t="s">
        <v>52</v>
      </c>
      <c r="H489" t="s">
        <v>32</v>
      </c>
      <c r="I489" t="s">
        <v>174</v>
      </c>
      <c r="J489" t="s">
        <v>45</v>
      </c>
      <c r="K489" t="s">
        <v>65</v>
      </c>
      <c r="L489" t="s">
        <v>175</v>
      </c>
      <c r="M489" t="s">
        <v>46</v>
      </c>
      <c r="N489">
        <v>0</v>
      </c>
      <c r="O489">
        <v>0</v>
      </c>
      <c r="P489">
        <v>0</v>
      </c>
      <c r="Q489" s="8">
        <v>20414</v>
      </c>
      <c r="R489" s="4">
        <v>40222.71</v>
      </c>
      <c r="S489" t="str">
        <f t="shared" si="35"/>
        <v>PZ: Alta Crit.</v>
      </c>
      <c r="T489">
        <f t="shared" si="36"/>
        <v>0</v>
      </c>
      <c r="U489">
        <f t="shared" si="37"/>
        <v>0</v>
      </c>
      <c r="V489">
        <f t="shared" si="38"/>
        <v>0</v>
      </c>
      <c r="W489">
        <f t="shared" si="39"/>
        <v>1</v>
      </c>
      <c r="X489">
        <v>1</v>
      </c>
      <c r="Y489" s="2">
        <v>45768</v>
      </c>
      <c r="Z489" s="3" t="s">
        <v>47</v>
      </c>
      <c r="AA489" t="s">
        <v>39</v>
      </c>
      <c r="AB489" t="s">
        <v>40</v>
      </c>
      <c r="AC489" t="s">
        <v>40</v>
      </c>
      <c r="AD489" t="s">
        <v>176</v>
      </c>
    </row>
    <row r="490" spans="2:30">
      <c r="B490">
        <v>7</v>
      </c>
      <c r="C490">
        <v>1020</v>
      </c>
      <c r="D490" t="s">
        <v>29</v>
      </c>
      <c r="E490">
        <v>10040766</v>
      </c>
      <c r="F490" t="s">
        <v>577</v>
      </c>
      <c r="G490" t="s">
        <v>43</v>
      </c>
      <c r="H490" t="s">
        <v>32</v>
      </c>
      <c r="I490" t="s">
        <v>33</v>
      </c>
      <c r="J490" t="s">
        <v>45</v>
      </c>
      <c r="K490" t="s">
        <v>252</v>
      </c>
      <c r="L490" t="s">
        <v>36</v>
      </c>
      <c r="M490" t="s">
        <v>37</v>
      </c>
      <c r="N490">
        <v>25</v>
      </c>
      <c r="O490">
        <v>10</v>
      </c>
      <c r="P490">
        <v>0</v>
      </c>
      <c r="Q490">
        <v>25</v>
      </c>
      <c r="R490">
        <v>293.13</v>
      </c>
      <c r="S490" t="str">
        <f t="shared" si="35"/>
        <v>PY: Media Crit.</v>
      </c>
      <c r="T490">
        <f t="shared" si="36"/>
        <v>0</v>
      </c>
      <c r="U490">
        <f t="shared" si="37"/>
        <v>0</v>
      </c>
      <c r="V490">
        <f t="shared" si="38"/>
        <v>1</v>
      </c>
      <c r="W490">
        <f t="shared" si="39"/>
        <v>0</v>
      </c>
      <c r="X490">
        <v>1</v>
      </c>
      <c r="Y490" s="2">
        <v>45768</v>
      </c>
      <c r="Z490" s="3" t="s">
        <v>38</v>
      </c>
      <c r="AA490" t="s">
        <v>39</v>
      </c>
      <c r="AB490" t="s">
        <v>76</v>
      </c>
      <c r="AC490" s="5" t="s">
        <v>77</v>
      </c>
      <c r="AD490" t="s">
        <v>41</v>
      </c>
    </row>
    <row r="491" spans="2:30">
      <c r="B491">
        <v>7</v>
      </c>
      <c r="C491">
        <v>1020</v>
      </c>
      <c r="D491" t="s">
        <v>384</v>
      </c>
      <c r="E491">
        <v>10046856</v>
      </c>
      <c r="F491" t="s">
        <v>578</v>
      </c>
      <c r="G491" t="s">
        <v>31</v>
      </c>
      <c r="H491" t="s">
        <v>32</v>
      </c>
      <c r="I491" t="s">
        <v>386</v>
      </c>
      <c r="J491" t="s">
        <v>45</v>
      </c>
      <c r="K491" t="s">
        <v>35</v>
      </c>
      <c r="L491" t="s">
        <v>175</v>
      </c>
      <c r="M491" t="s">
        <v>55</v>
      </c>
      <c r="N491">
        <v>0</v>
      </c>
      <c r="O491">
        <v>0</v>
      </c>
      <c r="P491">
        <v>0</v>
      </c>
      <c r="Q491">
        <v>96</v>
      </c>
      <c r="R491" s="4">
        <v>2153.94</v>
      </c>
      <c r="S491" t="str">
        <f t="shared" si="35"/>
        <v>PX: Baja Crit.</v>
      </c>
      <c r="T491">
        <f t="shared" si="36"/>
        <v>0</v>
      </c>
      <c r="U491">
        <f t="shared" si="37"/>
        <v>0</v>
      </c>
      <c r="V491">
        <f t="shared" si="38"/>
        <v>0</v>
      </c>
      <c r="W491">
        <f t="shared" si="39"/>
        <v>1</v>
      </c>
      <c r="X491">
        <v>1</v>
      </c>
      <c r="Y491" s="2">
        <v>45768</v>
      </c>
      <c r="Z491" s="3" t="s">
        <v>56</v>
      </c>
      <c r="AA491" t="s">
        <v>39</v>
      </c>
      <c r="AB491" t="s">
        <v>40</v>
      </c>
      <c r="AC491" t="s">
        <v>40</v>
      </c>
      <c r="AD491" t="s">
        <v>387</v>
      </c>
    </row>
    <row r="492" spans="2:30">
      <c r="B492">
        <v>7</v>
      </c>
      <c r="C492">
        <v>1020</v>
      </c>
      <c r="D492" t="s">
        <v>29</v>
      </c>
      <c r="E492">
        <v>10048803</v>
      </c>
      <c r="F492" t="s">
        <v>579</v>
      </c>
      <c r="G492" t="s">
        <v>43</v>
      </c>
      <c r="H492" t="s">
        <v>44</v>
      </c>
      <c r="I492" t="s">
        <v>33</v>
      </c>
      <c r="J492" t="s">
        <v>34</v>
      </c>
      <c r="K492" t="s">
        <v>35</v>
      </c>
      <c r="L492" t="s">
        <v>36</v>
      </c>
      <c r="M492" t="s">
        <v>69</v>
      </c>
      <c r="N492">
        <v>35</v>
      </c>
      <c r="O492">
        <v>21</v>
      </c>
      <c r="P492">
        <v>15</v>
      </c>
      <c r="Q492">
        <v>7</v>
      </c>
      <c r="R492" s="4">
        <v>6446.26</v>
      </c>
      <c r="S492" t="str">
        <f t="shared" si="35"/>
        <v>PY: Media Crit.</v>
      </c>
      <c r="T492">
        <f t="shared" si="36"/>
        <v>0</v>
      </c>
      <c r="U492">
        <f t="shared" si="37"/>
        <v>1</v>
      </c>
      <c r="V492">
        <f t="shared" si="38"/>
        <v>0</v>
      </c>
      <c r="W492">
        <f t="shared" si="39"/>
        <v>0</v>
      </c>
      <c r="X492">
        <v>1</v>
      </c>
      <c r="Y492" s="2">
        <v>45768</v>
      </c>
      <c r="Z492" s="3" t="s">
        <v>70</v>
      </c>
      <c r="AA492" t="s">
        <v>39</v>
      </c>
      <c r="AB492" t="s">
        <v>49</v>
      </c>
      <c r="AC492" s="5" t="s">
        <v>50</v>
      </c>
      <c r="AD492" t="s">
        <v>41</v>
      </c>
    </row>
    <row r="493" spans="2:30">
      <c r="B493">
        <v>7</v>
      </c>
      <c r="C493">
        <v>1020</v>
      </c>
      <c r="D493" t="s">
        <v>388</v>
      </c>
      <c r="E493">
        <v>10615556</v>
      </c>
      <c r="F493" t="s">
        <v>580</v>
      </c>
      <c r="G493" t="s">
        <v>52</v>
      </c>
      <c r="H493" t="s">
        <v>32</v>
      </c>
      <c r="I493" t="s">
        <v>390</v>
      </c>
      <c r="J493" t="s">
        <v>45</v>
      </c>
      <c r="K493" t="s">
        <v>35</v>
      </c>
      <c r="L493" t="s">
        <v>175</v>
      </c>
      <c r="M493" t="s">
        <v>69</v>
      </c>
      <c r="N493">
        <v>0</v>
      </c>
      <c r="O493">
        <v>0</v>
      </c>
      <c r="P493">
        <v>1</v>
      </c>
      <c r="Q493">
        <v>1</v>
      </c>
      <c r="R493" s="4">
        <v>2579.12</v>
      </c>
      <c r="S493" t="str">
        <f t="shared" si="35"/>
        <v>PZ: Alta Crit.</v>
      </c>
      <c r="T493">
        <f t="shared" si="36"/>
        <v>0</v>
      </c>
      <c r="U493">
        <f t="shared" si="37"/>
        <v>1</v>
      </c>
      <c r="V493">
        <f t="shared" si="38"/>
        <v>0</v>
      </c>
      <c r="W493">
        <f t="shared" si="39"/>
        <v>1</v>
      </c>
      <c r="X493">
        <v>1</v>
      </c>
      <c r="Y493" s="2">
        <v>45768</v>
      </c>
      <c r="Z493" s="3" t="s">
        <v>70</v>
      </c>
      <c r="AA493" t="s">
        <v>39</v>
      </c>
      <c r="AB493" t="s">
        <v>40</v>
      </c>
      <c r="AC493" t="s">
        <v>40</v>
      </c>
      <c r="AD493" t="s">
        <v>391</v>
      </c>
    </row>
    <row r="494" spans="2:30">
      <c r="B494">
        <v>7</v>
      </c>
      <c r="C494">
        <v>1020</v>
      </c>
      <c r="D494" t="s">
        <v>384</v>
      </c>
      <c r="E494">
        <v>14130242</v>
      </c>
      <c r="F494" t="s">
        <v>581</v>
      </c>
      <c r="G494" t="s">
        <v>43</v>
      </c>
      <c r="H494" t="s">
        <v>32</v>
      </c>
      <c r="I494" t="s">
        <v>386</v>
      </c>
      <c r="J494" t="s">
        <v>582</v>
      </c>
      <c r="K494" t="s">
        <v>35</v>
      </c>
      <c r="L494" t="s">
        <v>175</v>
      </c>
      <c r="M494" t="s">
        <v>117</v>
      </c>
      <c r="N494">
        <v>0</v>
      </c>
      <c r="O494">
        <v>0</v>
      </c>
      <c r="P494">
        <v>0</v>
      </c>
      <c r="Q494">
        <v>40</v>
      </c>
      <c r="R494" s="4">
        <v>10096.24</v>
      </c>
      <c r="S494" t="str">
        <f t="shared" si="35"/>
        <v>PY: Media Crit.</v>
      </c>
      <c r="T494">
        <f t="shared" si="36"/>
        <v>0</v>
      </c>
      <c r="U494">
        <f t="shared" si="37"/>
        <v>0</v>
      </c>
      <c r="V494">
        <f t="shared" si="38"/>
        <v>0</v>
      </c>
      <c r="W494">
        <f t="shared" si="39"/>
        <v>1</v>
      </c>
      <c r="X494">
        <v>1</v>
      </c>
      <c r="Y494" s="2">
        <v>45768</v>
      </c>
      <c r="Z494" s="3" t="s">
        <v>118</v>
      </c>
      <c r="AA494" t="s">
        <v>39</v>
      </c>
      <c r="AB494" t="s">
        <v>40</v>
      </c>
      <c r="AC494" t="s">
        <v>40</v>
      </c>
      <c r="AD494" t="s">
        <v>387</v>
      </c>
    </row>
    <row r="495" spans="2:30">
      <c r="B495">
        <v>7</v>
      </c>
      <c r="C495">
        <v>1020</v>
      </c>
      <c r="D495" t="s">
        <v>172</v>
      </c>
      <c r="E495">
        <v>14222078</v>
      </c>
      <c r="F495" t="s">
        <v>583</v>
      </c>
      <c r="G495" t="s">
        <v>52</v>
      </c>
      <c r="H495" t="s">
        <v>32</v>
      </c>
      <c r="I495" t="s">
        <v>584</v>
      </c>
      <c r="J495" t="s">
        <v>45</v>
      </c>
      <c r="K495" t="s">
        <v>35</v>
      </c>
      <c r="L495" t="s">
        <v>175</v>
      </c>
      <c r="M495" t="s">
        <v>117</v>
      </c>
      <c r="N495">
        <v>0</v>
      </c>
      <c r="O495">
        <v>0</v>
      </c>
      <c r="P495">
        <v>0</v>
      </c>
      <c r="Q495">
        <v>5</v>
      </c>
      <c r="R495" s="4">
        <v>134619.78</v>
      </c>
      <c r="S495" t="str">
        <f t="shared" si="35"/>
        <v>PZ: Alta Crit.</v>
      </c>
      <c r="T495">
        <f t="shared" si="36"/>
        <v>0</v>
      </c>
      <c r="U495">
        <f t="shared" si="37"/>
        <v>0</v>
      </c>
      <c r="V495">
        <f t="shared" si="38"/>
        <v>0</v>
      </c>
      <c r="W495">
        <f t="shared" si="39"/>
        <v>1</v>
      </c>
      <c r="X495">
        <v>1</v>
      </c>
      <c r="Y495" s="2">
        <v>45768</v>
      </c>
      <c r="Z495" s="3" t="s">
        <v>118</v>
      </c>
      <c r="AA495" t="s">
        <v>39</v>
      </c>
      <c r="AB495" t="s">
        <v>49</v>
      </c>
      <c r="AC495" s="5" t="s">
        <v>50</v>
      </c>
      <c r="AD495" t="s">
        <v>585</v>
      </c>
    </row>
    <row r="496" spans="2:30">
      <c r="B496">
        <v>7</v>
      </c>
      <c r="C496">
        <v>1020</v>
      </c>
      <c r="D496" t="s">
        <v>29</v>
      </c>
      <c r="E496">
        <v>14304061</v>
      </c>
      <c r="F496" t="s">
        <v>586</v>
      </c>
      <c r="G496" t="s">
        <v>52</v>
      </c>
      <c r="H496" t="s">
        <v>32</v>
      </c>
      <c r="I496" t="s">
        <v>33</v>
      </c>
      <c r="J496" t="s">
        <v>45</v>
      </c>
      <c r="K496" t="s">
        <v>35</v>
      </c>
      <c r="L496" t="s">
        <v>36</v>
      </c>
      <c r="M496" t="s">
        <v>37</v>
      </c>
      <c r="N496">
        <v>100</v>
      </c>
      <c r="O496">
        <v>51</v>
      </c>
      <c r="P496">
        <v>0</v>
      </c>
      <c r="Q496">
        <v>50</v>
      </c>
      <c r="R496">
        <v>140</v>
      </c>
      <c r="S496" t="str">
        <f t="shared" si="35"/>
        <v>PZ: Alta Crit.</v>
      </c>
      <c r="T496">
        <f t="shared" si="36"/>
        <v>0</v>
      </c>
      <c r="U496">
        <f t="shared" si="37"/>
        <v>0</v>
      </c>
      <c r="V496">
        <f t="shared" si="38"/>
        <v>1</v>
      </c>
      <c r="W496">
        <f t="shared" si="39"/>
        <v>0</v>
      </c>
      <c r="X496">
        <v>1</v>
      </c>
      <c r="Y496" s="2">
        <v>45768</v>
      </c>
      <c r="Z496" s="3" t="s">
        <v>38</v>
      </c>
      <c r="AA496" t="s">
        <v>39</v>
      </c>
      <c r="AB496" t="s">
        <v>49</v>
      </c>
      <c r="AC496" s="5" t="s">
        <v>50</v>
      </c>
      <c r="AD496" t="s">
        <v>41</v>
      </c>
    </row>
    <row r="497" spans="2:30">
      <c r="B497">
        <v>6</v>
      </c>
      <c r="C497">
        <v>1020</v>
      </c>
      <c r="D497" t="s">
        <v>29</v>
      </c>
      <c r="E497">
        <v>10041415</v>
      </c>
      <c r="F497" t="s">
        <v>587</v>
      </c>
      <c r="G497" t="s">
        <v>31</v>
      </c>
      <c r="H497" t="s">
        <v>32</v>
      </c>
      <c r="I497" t="s">
        <v>588</v>
      </c>
      <c r="J497" t="s">
        <v>45</v>
      </c>
      <c r="K497" t="s">
        <v>35</v>
      </c>
      <c r="L497" t="s">
        <v>36</v>
      </c>
      <c r="M497" t="s">
        <v>46</v>
      </c>
      <c r="N497">
        <v>80</v>
      </c>
      <c r="O497">
        <v>5</v>
      </c>
      <c r="P497">
        <v>0</v>
      </c>
      <c r="Q497">
        <v>695</v>
      </c>
      <c r="R497" s="4">
        <v>18901.009999999998</v>
      </c>
      <c r="S497" t="str">
        <f t="shared" si="35"/>
        <v>PX: Baja Crit.</v>
      </c>
      <c r="T497">
        <f t="shared" si="36"/>
        <v>0</v>
      </c>
      <c r="U497">
        <f t="shared" si="37"/>
        <v>0</v>
      </c>
      <c r="V497">
        <f t="shared" si="38"/>
        <v>0</v>
      </c>
      <c r="W497">
        <f t="shared" si="39"/>
        <v>1</v>
      </c>
      <c r="X497">
        <v>1</v>
      </c>
      <c r="Y497" s="2">
        <v>45768</v>
      </c>
      <c r="Z497" s="3" t="s">
        <v>47</v>
      </c>
      <c r="AA497" t="s">
        <v>39</v>
      </c>
      <c r="AB497" t="s">
        <v>40</v>
      </c>
      <c r="AC497" t="s">
        <v>40</v>
      </c>
      <c r="AD497" t="s">
        <v>589</v>
      </c>
    </row>
    <row r="498" spans="2:30">
      <c r="B498">
        <v>6</v>
      </c>
      <c r="C498">
        <v>1020</v>
      </c>
      <c r="D498" t="s">
        <v>29</v>
      </c>
      <c r="E498">
        <v>10044296</v>
      </c>
      <c r="F498" t="s">
        <v>590</v>
      </c>
      <c r="G498" t="s">
        <v>43</v>
      </c>
      <c r="H498" t="s">
        <v>32</v>
      </c>
      <c r="I498" t="s">
        <v>588</v>
      </c>
      <c r="J498" t="s">
        <v>34</v>
      </c>
      <c r="K498" t="s">
        <v>35</v>
      </c>
      <c r="L498" t="s">
        <v>36</v>
      </c>
      <c r="M498" t="s">
        <v>46</v>
      </c>
      <c r="N498">
        <v>14</v>
      </c>
      <c r="O498">
        <v>9</v>
      </c>
      <c r="P498">
        <v>4</v>
      </c>
      <c r="Q498">
        <v>14</v>
      </c>
      <c r="R498" s="4">
        <v>1247.77</v>
      </c>
      <c r="S498" t="str">
        <f t="shared" si="35"/>
        <v>PY: Media Crit.</v>
      </c>
      <c r="T498">
        <f t="shared" si="36"/>
        <v>0</v>
      </c>
      <c r="U498">
        <f t="shared" si="37"/>
        <v>0</v>
      </c>
      <c r="V498">
        <f t="shared" si="38"/>
        <v>1</v>
      </c>
      <c r="W498">
        <f t="shared" si="39"/>
        <v>0</v>
      </c>
      <c r="X498">
        <v>1</v>
      </c>
      <c r="Y498" s="2">
        <v>45768</v>
      </c>
      <c r="Z498" s="3" t="s">
        <v>47</v>
      </c>
      <c r="AA498" t="s">
        <v>39</v>
      </c>
      <c r="AB498" t="s">
        <v>40</v>
      </c>
      <c r="AC498" t="s">
        <v>40</v>
      </c>
      <c r="AD498" t="s">
        <v>589</v>
      </c>
    </row>
    <row r="499" spans="2:30">
      <c r="B499">
        <v>6</v>
      </c>
      <c r="C499">
        <v>1020</v>
      </c>
      <c r="D499" t="s">
        <v>29</v>
      </c>
      <c r="E499">
        <v>10053020</v>
      </c>
      <c r="F499" t="s">
        <v>591</v>
      </c>
      <c r="G499" t="s">
        <v>52</v>
      </c>
      <c r="H499" t="s">
        <v>32</v>
      </c>
      <c r="I499" t="s">
        <v>588</v>
      </c>
      <c r="J499" t="s">
        <v>45</v>
      </c>
      <c r="K499" t="s">
        <v>35</v>
      </c>
      <c r="L499" t="s">
        <v>36</v>
      </c>
      <c r="M499" t="s">
        <v>88</v>
      </c>
      <c r="N499">
        <v>16</v>
      </c>
      <c r="O499">
        <v>9</v>
      </c>
      <c r="P499">
        <v>2</v>
      </c>
      <c r="Q499">
        <v>12</v>
      </c>
      <c r="R499" s="4">
        <v>2102.7600000000002</v>
      </c>
      <c r="S499" t="str">
        <f t="shared" si="35"/>
        <v>PZ: Alta Crit.</v>
      </c>
      <c r="T499">
        <f t="shared" si="36"/>
        <v>0</v>
      </c>
      <c r="U499">
        <f t="shared" si="37"/>
        <v>0</v>
      </c>
      <c r="V499">
        <f t="shared" si="38"/>
        <v>1</v>
      </c>
      <c r="W499">
        <f t="shared" si="39"/>
        <v>0</v>
      </c>
      <c r="X499">
        <v>1</v>
      </c>
      <c r="Y499" s="2">
        <v>45768</v>
      </c>
      <c r="Z499" s="3" t="s">
        <v>89</v>
      </c>
      <c r="AA499" t="s">
        <v>39</v>
      </c>
      <c r="AB499" t="s">
        <v>40</v>
      </c>
      <c r="AC499" t="s">
        <v>40</v>
      </c>
      <c r="AD499" t="s">
        <v>589</v>
      </c>
    </row>
    <row r="500" spans="2:30">
      <c r="B500">
        <v>6</v>
      </c>
      <c r="C500">
        <v>1020</v>
      </c>
      <c r="D500" t="s">
        <v>29</v>
      </c>
      <c r="E500">
        <v>10043572</v>
      </c>
      <c r="F500" t="s">
        <v>592</v>
      </c>
      <c r="G500" t="s">
        <v>31</v>
      </c>
      <c r="H500" t="s">
        <v>32</v>
      </c>
      <c r="I500" t="s">
        <v>588</v>
      </c>
      <c r="J500" t="s">
        <v>45</v>
      </c>
      <c r="K500" t="s">
        <v>35</v>
      </c>
      <c r="L500" t="s">
        <v>36</v>
      </c>
      <c r="M500" t="s">
        <v>37</v>
      </c>
      <c r="N500">
        <v>10</v>
      </c>
      <c r="O500">
        <v>6</v>
      </c>
      <c r="P500">
        <v>2</v>
      </c>
      <c r="Q500">
        <v>10</v>
      </c>
      <c r="R500">
        <v>103</v>
      </c>
      <c r="S500" t="str">
        <f t="shared" si="35"/>
        <v>PX: Baja Crit.</v>
      </c>
      <c r="T500">
        <f t="shared" si="36"/>
        <v>0</v>
      </c>
      <c r="U500">
        <f t="shared" si="37"/>
        <v>0</v>
      </c>
      <c r="V500">
        <f t="shared" si="38"/>
        <v>1</v>
      </c>
      <c r="W500">
        <f t="shared" si="39"/>
        <v>0</v>
      </c>
      <c r="X500">
        <v>1</v>
      </c>
      <c r="Y500" s="2">
        <v>45768</v>
      </c>
      <c r="Z500" s="3" t="s">
        <v>38</v>
      </c>
      <c r="AA500" t="s">
        <v>39</v>
      </c>
      <c r="AB500" t="s">
        <v>40</v>
      </c>
      <c r="AC500" t="s">
        <v>40</v>
      </c>
      <c r="AD500" t="s">
        <v>589</v>
      </c>
    </row>
    <row r="501" spans="2:30">
      <c r="B501">
        <v>6</v>
      </c>
      <c r="C501">
        <v>1020</v>
      </c>
      <c r="D501" t="s">
        <v>29</v>
      </c>
      <c r="E501">
        <v>10046126</v>
      </c>
      <c r="F501" t="s">
        <v>593</v>
      </c>
      <c r="G501" t="s">
        <v>43</v>
      </c>
      <c r="H501" t="s">
        <v>60</v>
      </c>
      <c r="I501" t="s">
        <v>588</v>
      </c>
      <c r="J501" t="s">
        <v>45</v>
      </c>
      <c r="K501" t="s">
        <v>35</v>
      </c>
      <c r="L501" t="s">
        <v>36</v>
      </c>
      <c r="M501" t="s">
        <v>117</v>
      </c>
      <c r="N501">
        <v>2</v>
      </c>
      <c r="O501">
        <v>1</v>
      </c>
      <c r="P501">
        <v>1</v>
      </c>
      <c r="Q501">
        <v>2</v>
      </c>
      <c r="R501" s="4">
        <v>1228.1600000000001</v>
      </c>
      <c r="S501" t="str">
        <f t="shared" si="35"/>
        <v>PY: Media Crit.</v>
      </c>
      <c r="T501">
        <f t="shared" si="36"/>
        <v>0</v>
      </c>
      <c r="U501">
        <f t="shared" si="37"/>
        <v>0</v>
      </c>
      <c r="V501">
        <f t="shared" si="38"/>
        <v>1</v>
      </c>
      <c r="W501">
        <f t="shared" si="39"/>
        <v>0</v>
      </c>
      <c r="X501">
        <v>1</v>
      </c>
      <c r="Y501" s="2">
        <v>45768</v>
      </c>
      <c r="Z501" s="3" t="s">
        <v>118</v>
      </c>
      <c r="AA501" t="s">
        <v>39</v>
      </c>
      <c r="AB501" t="s">
        <v>40</v>
      </c>
      <c r="AC501" t="s">
        <v>40</v>
      </c>
      <c r="AD501" t="s">
        <v>589</v>
      </c>
    </row>
    <row r="502" spans="2:30">
      <c r="B502">
        <v>6</v>
      </c>
      <c r="C502">
        <v>1020</v>
      </c>
      <c r="D502" t="s">
        <v>29</v>
      </c>
      <c r="E502">
        <v>10045226</v>
      </c>
      <c r="F502" t="s">
        <v>594</v>
      </c>
      <c r="G502" t="s">
        <v>52</v>
      </c>
      <c r="H502" t="s">
        <v>32</v>
      </c>
      <c r="I502" t="s">
        <v>588</v>
      </c>
      <c r="J502" t="s">
        <v>34</v>
      </c>
      <c r="K502" t="s">
        <v>35</v>
      </c>
      <c r="L502" t="s">
        <v>36</v>
      </c>
      <c r="M502" t="s">
        <v>88</v>
      </c>
      <c r="N502">
        <v>60</v>
      </c>
      <c r="O502">
        <v>31</v>
      </c>
      <c r="P502">
        <v>17</v>
      </c>
      <c r="Q502">
        <v>40</v>
      </c>
      <c r="R502">
        <v>149.61000000000001</v>
      </c>
      <c r="S502" t="str">
        <f t="shared" si="35"/>
        <v>PZ: Alta Crit.</v>
      </c>
      <c r="T502">
        <f t="shared" si="36"/>
        <v>0</v>
      </c>
      <c r="U502">
        <f t="shared" si="37"/>
        <v>0</v>
      </c>
      <c r="V502">
        <f t="shared" si="38"/>
        <v>1</v>
      </c>
      <c r="W502">
        <f t="shared" si="39"/>
        <v>0</v>
      </c>
      <c r="X502">
        <v>1</v>
      </c>
      <c r="Y502" s="2">
        <v>45768</v>
      </c>
      <c r="Z502" s="3" t="s">
        <v>89</v>
      </c>
      <c r="AA502" t="s">
        <v>39</v>
      </c>
      <c r="AB502" t="s">
        <v>49</v>
      </c>
      <c r="AC502" s="5" t="s">
        <v>50</v>
      </c>
      <c r="AD502" t="s">
        <v>589</v>
      </c>
    </row>
    <row r="503" spans="2:30">
      <c r="B503">
        <v>6</v>
      </c>
      <c r="C503">
        <v>1020</v>
      </c>
      <c r="D503" t="s">
        <v>29</v>
      </c>
      <c r="E503">
        <v>10033961</v>
      </c>
      <c r="F503" t="s">
        <v>595</v>
      </c>
      <c r="G503" t="s">
        <v>31</v>
      </c>
      <c r="H503" t="s">
        <v>32</v>
      </c>
      <c r="I503" t="s">
        <v>588</v>
      </c>
      <c r="J503" t="s">
        <v>45</v>
      </c>
      <c r="K503" t="s">
        <v>35</v>
      </c>
      <c r="L503" t="s">
        <v>36</v>
      </c>
      <c r="M503" t="s">
        <v>88</v>
      </c>
      <c r="N503">
        <v>10</v>
      </c>
      <c r="O503">
        <v>6</v>
      </c>
      <c r="P503">
        <v>2</v>
      </c>
      <c r="Q503">
        <v>10</v>
      </c>
      <c r="R503">
        <v>376.5</v>
      </c>
      <c r="S503" t="str">
        <f t="shared" si="35"/>
        <v>PX: Baja Crit.</v>
      </c>
      <c r="T503">
        <f t="shared" si="36"/>
        <v>0</v>
      </c>
      <c r="U503">
        <f t="shared" si="37"/>
        <v>0</v>
      </c>
      <c r="V503">
        <f t="shared" si="38"/>
        <v>1</v>
      </c>
      <c r="W503">
        <f t="shared" si="39"/>
        <v>0</v>
      </c>
      <c r="X503">
        <v>1</v>
      </c>
      <c r="Y503" s="2">
        <v>45768</v>
      </c>
      <c r="Z503" s="3" t="s">
        <v>89</v>
      </c>
      <c r="AA503" t="s">
        <v>39</v>
      </c>
      <c r="AB503" t="s">
        <v>40</v>
      </c>
      <c r="AC503" t="s">
        <v>40</v>
      </c>
      <c r="AD503" t="s">
        <v>589</v>
      </c>
    </row>
    <row r="504" spans="2:30">
      <c r="B504">
        <v>6</v>
      </c>
      <c r="C504">
        <v>1020</v>
      </c>
      <c r="D504" t="s">
        <v>29</v>
      </c>
      <c r="E504">
        <v>10048635</v>
      </c>
      <c r="F504" t="s">
        <v>596</v>
      </c>
      <c r="G504" t="s">
        <v>43</v>
      </c>
      <c r="H504" t="s">
        <v>60</v>
      </c>
      <c r="I504" t="s">
        <v>588</v>
      </c>
      <c r="J504" t="s">
        <v>45</v>
      </c>
      <c r="K504" t="s">
        <v>35</v>
      </c>
      <c r="L504" t="s">
        <v>36</v>
      </c>
      <c r="M504" t="s">
        <v>46</v>
      </c>
      <c r="N504">
        <v>12</v>
      </c>
      <c r="O504">
        <v>6</v>
      </c>
      <c r="P504">
        <v>3</v>
      </c>
      <c r="Q504">
        <v>11</v>
      </c>
      <c r="R504" s="4">
        <v>2639.73</v>
      </c>
      <c r="S504" t="str">
        <f t="shared" si="35"/>
        <v>PY: Media Crit.</v>
      </c>
      <c r="T504">
        <f t="shared" si="36"/>
        <v>0</v>
      </c>
      <c r="U504">
        <f t="shared" si="37"/>
        <v>0</v>
      </c>
      <c r="V504">
        <f t="shared" si="38"/>
        <v>1</v>
      </c>
      <c r="W504">
        <f t="shared" si="39"/>
        <v>0</v>
      </c>
      <c r="X504">
        <v>1</v>
      </c>
      <c r="Y504" s="2">
        <v>45768</v>
      </c>
      <c r="Z504" s="3" t="s">
        <v>47</v>
      </c>
      <c r="AA504" t="s">
        <v>39</v>
      </c>
      <c r="AB504" t="s">
        <v>40</v>
      </c>
      <c r="AC504" t="s">
        <v>40</v>
      </c>
      <c r="AD504" t="s">
        <v>589</v>
      </c>
    </row>
    <row r="505" spans="2:30">
      <c r="B505">
        <v>6</v>
      </c>
      <c r="C505">
        <v>1020</v>
      </c>
      <c r="D505" t="s">
        <v>29</v>
      </c>
      <c r="E505">
        <v>10728182</v>
      </c>
      <c r="F505" t="s">
        <v>597</v>
      </c>
      <c r="G505" t="s">
        <v>43</v>
      </c>
      <c r="H505" t="s">
        <v>32</v>
      </c>
      <c r="I505" t="s">
        <v>588</v>
      </c>
      <c r="J505" t="s">
        <v>45</v>
      </c>
      <c r="K505" t="s">
        <v>35</v>
      </c>
      <c r="L505" t="s">
        <v>36</v>
      </c>
      <c r="M505" t="s">
        <v>117</v>
      </c>
      <c r="N505">
        <v>6</v>
      </c>
      <c r="O505">
        <v>3</v>
      </c>
      <c r="P505">
        <v>2</v>
      </c>
      <c r="Q505">
        <v>4</v>
      </c>
      <c r="R505">
        <v>916.3</v>
      </c>
      <c r="S505" t="str">
        <f t="shared" si="35"/>
        <v>PY: Media Crit.</v>
      </c>
      <c r="T505">
        <f t="shared" si="36"/>
        <v>0</v>
      </c>
      <c r="U505">
        <f t="shared" si="37"/>
        <v>0</v>
      </c>
      <c r="V505">
        <f t="shared" si="38"/>
        <v>1</v>
      </c>
      <c r="W505">
        <f t="shared" si="39"/>
        <v>0</v>
      </c>
      <c r="X505">
        <v>1</v>
      </c>
      <c r="Y505" s="2">
        <v>45768</v>
      </c>
      <c r="Z505" s="3" t="s">
        <v>118</v>
      </c>
      <c r="AA505" t="s">
        <v>39</v>
      </c>
      <c r="AB505" t="s">
        <v>40</v>
      </c>
      <c r="AC505" t="s">
        <v>40</v>
      </c>
      <c r="AD505" t="s">
        <v>589</v>
      </c>
    </row>
    <row r="506" spans="2:30">
      <c r="B506">
        <v>6</v>
      </c>
      <c r="C506">
        <v>1020</v>
      </c>
      <c r="D506" t="s">
        <v>29</v>
      </c>
      <c r="E506">
        <v>14055882</v>
      </c>
      <c r="F506" t="s">
        <v>598</v>
      </c>
      <c r="G506" t="s">
        <v>31</v>
      </c>
      <c r="H506" t="s">
        <v>32</v>
      </c>
      <c r="I506" t="s">
        <v>588</v>
      </c>
      <c r="J506" t="s">
        <v>45</v>
      </c>
      <c r="K506" t="s">
        <v>35</v>
      </c>
      <c r="L506" t="s">
        <v>36</v>
      </c>
      <c r="M506" t="s">
        <v>55</v>
      </c>
      <c r="N506">
        <v>200</v>
      </c>
      <c r="O506">
        <v>51</v>
      </c>
      <c r="P506">
        <v>0</v>
      </c>
      <c r="Q506">
        <v>44</v>
      </c>
      <c r="R506">
        <v>29.22</v>
      </c>
      <c r="S506" t="str">
        <f t="shared" si="35"/>
        <v>PX: Baja Crit.</v>
      </c>
      <c r="T506">
        <f t="shared" si="36"/>
        <v>0</v>
      </c>
      <c r="U506">
        <f t="shared" si="37"/>
        <v>0</v>
      </c>
      <c r="V506">
        <f t="shared" si="38"/>
        <v>1</v>
      </c>
      <c r="W506">
        <f t="shared" si="39"/>
        <v>0</v>
      </c>
      <c r="X506">
        <v>1</v>
      </c>
      <c r="Y506" s="2">
        <v>45768</v>
      </c>
      <c r="Z506" s="3" t="s">
        <v>56</v>
      </c>
      <c r="AA506" t="s">
        <v>39</v>
      </c>
      <c r="AB506" t="s">
        <v>76</v>
      </c>
      <c r="AC506" s="5" t="s">
        <v>77</v>
      </c>
      <c r="AD506" t="s">
        <v>589</v>
      </c>
    </row>
    <row r="507" spans="2:30">
      <c r="B507">
        <v>6</v>
      </c>
      <c r="C507">
        <v>1020</v>
      </c>
      <c r="D507" t="s">
        <v>29</v>
      </c>
      <c r="E507">
        <v>10601709</v>
      </c>
      <c r="F507" t="s">
        <v>599</v>
      </c>
      <c r="G507" t="s">
        <v>43</v>
      </c>
      <c r="H507" t="s">
        <v>32</v>
      </c>
      <c r="I507" t="s">
        <v>588</v>
      </c>
      <c r="J507" t="s">
        <v>34</v>
      </c>
      <c r="K507" t="s">
        <v>35</v>
      </c>
      <c r="L507" t="s">
        <v>36</v>
      </c>
      <c r="M507" t="s">
        <v>88</v>
      </c>
      <c r="N507">
        <v>40</v>
      </c>
      <c r="O507">
        <v>21</v>
      </c>
      <c r="P507">
        <v>5</v>
      </c>
      <c r="Q507">
        <v>45</v>
      </c>
      <c r="R507">
        <v>84.87</v>
      </c>
      <c r="S507" t="str">
        <f t="shared" si="35"/>
        <v>PY: Media Crit.</v>
      </c>
      <c r="T507">
        <f t="shared" si="36"/>
        <v>0</v>
      </c>
      <c r="U507">
        <f t="shared" si="37"/>
        <v>0</v>
      </c>
      <c r="V507">
        <f t="shared" si="38"/>
        <v>0</v>
      </c>
      <c r="W507">
        <f t="shared" si="39"/>
        <v>1</v>
      </c>
      <c r="X507">
        <v>1</v>
      </c>
      <c r="Y507" s="2">
        <v>45768</v>
      </c>
      <c r="Z507" s="3" t="s">
        <v>89</v>
      </c>
      <c r="AA507" t="s">
        <v>39</v>
      </c>
      <c r="AB507" t="s">
        <v>40</v>
      </c>
      <c r="AC507" t="s">
        <v>40</v>
      </c>
      <c r="AD507" t="s">
        <v>589</v>
      </c>
    </row>
    <row r="508" spans="2:30">
      <c r="B508">
        <v>6</v>
      </c>
      <c r="C508">
        <v>1020</v>
      </c>
      <c r="D508" t="s">
        <v>29</v>
      </c>
      <c r="E508">
        <v>10006887</v>
      </c>
      <c r="F508" t="s">
        <v>600</v>
      </c>
      <c r="G508" t="s">
        <v>31</v>
      </c>
      <c r="H508" t="s">
        <v>32</v>
      </c>
      <c r="I508" t="s">
        <v>588</v>
      </c>
      <c r="J508" t="s">
        <v>34</v>
      </c>
      <c r="K508" t="s">
        <v>35</v>
      </c>
      <c r="L508" t="s">
        <v>36</v>
      </c>
      <c r="M508" t="s">
        <v>55</v>
      </c>
      <c r="N508">
        <v>120</v>
      </c>
      <c r="O508">
        <v>81</v>
      </c>
      <c r="P508">
        <v>20</v>
      </c>
      <c r="Q508">
        <v>100</v>
      </c>
      <c r="R508">
        <v>192.62</v>
      </c>
      <c r="S508" t="str">
        <f t="shared" si="35"/>
        <v>PX: Baja Crit.</v>
      </c>
      <c r="T508">
        <f t="shared" si="36"/>
        <v>0</v>
      </c>
      <c r="U508">
        <f t="shared" si="37"/>
        <v>0</v>
      </c>
      <c r="V508">
        <f t="shared" si="38"/>
        <v>1</v>
      </c>
      <c r="W508">
        <f t="shared" si="39"/>
        <v>0</v>
      </c>
      <c r="X508">
        <v>1</v>
      </c>
      <c r="Y508" s="2">
        <v>45768</v>
      </c>
      <c r="Z508" s="3" t="s">
        <v>56</v>
      </c>
      <c r="AA508" t="s">
        <v>39</v>
      </c>
      <c r="AB508" t="s">
        <v>40</v>
      </c>
      <c r="AC508" t="s">
        <v>40</v>
      </c>
      <c r="AD508" t="s">
        <v>589</v>
      </c>
    </row>
    <row r="509" spans="2:30">
      <c r="B509">
        <v>6</v>
      </c>
      <c r="C509">
        <v>1020</v>
      </c>
      <c r="D509" t="s">
        <v>29</v>
      </c>
      <c r="E509">
        <v>10043446</v>
      </c>
      <c r="F509" t="s">
        <v>601</v>
      </c>
      <c r="G509" t="s">
        <v>43</v>
      </c>
      <c r="H509" t="s">
        <v>32</v>
      </c>
      <c r="I509" t="s">
        <v>588</v>
      </c>
      <c r="J509" t="s">
        <v>45</v>
      </c>
      <c r="K509" t="s">
        <v>35</v>
      </c>
      <c r="L509" t="s">
        <v>36</v>
      </c>
      <c r="M509" t="s">
        <v>46</v>
      </c>
      <c r="N509">
        <v>20</v>
      </c>
      <c r="O509">
        <v>11</v>
      </c>
      <c r="P509">
        <v>5</v>
      </c>
      <c r="Q509">
        <v>15</v>
      </c>
      <c r="R509">
        <v>328.75</v>
      </c>
      <c r="S509" t="str">
        <f t="shared" si="35"/>
        <v>PY: Media Crit.</v>
      </c>
      <c r="T509">
        <f t="shared" si="36"/>
        <v>0</v>
      </c>
      <c r="U509">
        <f t="shared" si="37"/>
        <v>0</v>
      </c>
      <c r="V509">
        <f t="shared" si="38"/>
        <v>1</v>
      </c>
      <c r="W509">
        <f t="shared" si="39"/>
        <v>0</v>
      </c>
      <c r="X509">
        <v>1</v>
      </c>
      <c r="Y509" s="2">
        <v>45768</v>
      </c>
      <c r="Z509" s="3" t="s">
        <v>47</v>
      </c>
      <c r="AA509" t="s">
        <v>39</v>
      </c>
      <c r="AB509" t="s">
        <v>40</v>
      </c>
      <c r="AC509" t="s">
        <v>40</v>
      </c>
      <c r="AD509" t="s">
        <v>589</v>
      </c>
    </row>
    <row r="510" spans="2:30">
      <c r="B510">
        <v>6</v>
      </c>
      <c r="C510">
        <v>1020</v>
      </c>
      <c r="D510" t="s">
        <v>29</v>
      </c>
      <c r="E510">
        <v>10054053</v>
      </c>
      <c r="F510" t="s">
        <v>602</v>
      </c>
      <c r="G510" t="s">
        <v>43</v>
      </c>
      <c r="H510" t="s">
        <v>32</v>
      </c>
      <c r="I510" t="s">
        <v>588</v>
      </c>
      <c r="J510" t="s">
        <v>45</v>
      </c>
      <c r="K510" t="s">
        <v>35</v>
      </c>
      <c r="L510" t="s">
        <v>36</v>
      </c>
      <c r="M510" t="s">
        <v>117</v>
      </c>
      <c r="N510">
        <v>16</v>
      </c>
      <c r="O510">
        <v>8</v>
      </c>
      <c r="P510">
        <v>4</v>
      </c>
      <c r="Q510">
        <v>16</v>
      </c>
      <c r="R510" s="4">
        <v>2696.96</v>
      </c>
      <c r="S510" t="str">
        <f t="shared" si="35"/>
        <v>PY: Media Crit.</v>
      </c>
      <c r="T510">
        <f t="shared" si="36"/>
        <v>0</v>
      </c>
      <c r="U510">
        <f t="shared" si="37"/>
        <v>0</v>
      </c>
      <c r="V510">
        <f t="shared" si="38"/>
        <v>1</v>
      </c>
      <c r="W510">
        <f t="shared" si="39"/>
        <v>0</v>
      </c>
      <c r="X510">
        <v>1</v>
      </c>
      <c r="Y510" s="2">
        <v>45768</v>
      </c>
      <c r="Z510" s="3" t="s">
        <v>118</v>
      </c>
      <c r="AA510" t="s">
        <v>39</v>
      </c>
      <c r="AB510" t="s">
        <v>40</v>
      </c>
      <c r="AC510" t="s">
        <v>40</v>
      </c>
      <c r="AD510" t="s">
        <v>589</v>
      </c>
    </row>
    <row r="511" spans="2:30">
      <c r="B511">
        <v>6</v>
      </c>
      <c r="C511">
        <v>1020</v>
      </c>
      <c r="D511" t="s">
        <v>29</v>
      </c>
      <c r="E511">
        <v>10050814</v>
      </c>
      <c r="F511" t="s">
        <v>603</v>
      </c>
      <c r="G511" t="s">
        <v>31</v>
      </c>
      <c r="H511" t="s">
        <v>32</v>
      </c>
      <c r="I511" t="s">
        <v>588</v>
      </c>
      <c r="J511" t="s">
        <v>34</v>
      </c>
      <c r="K511" t="s">
        <v>35</v>
      </c>
      <c r="L511" t="s">
        <v>36</v>
      </c>
      <c r="M511" t="s">
        <v>69</v>
      </c>
      <c r="N511">
        <v>30</v>
      </c>
      <c r="O511">
        <v>16</v>
      </c>
      <c r="P511">
        <v>2</v>
      </c>
      <c r="Q511">
        <v>17</v>
      </c>
      <c r="R511">
        <v>369.4</v>
      </c>
      <c r="S511" t="str">
        <f t="shared" si="35"/>
        <v>PX: Baja Crit.</v>
      </c>
      <c r="T511">
        <f t="shared" si="36"/>
        <v>0</v>
      </c>
      <c r="U511">
        <f t="shared" si="37"/>
        <v>0</v>
      </c>
      <c r="V511">
        <f t="shared" si="38"/>
        <v>1</v>
      </c>
      <c r="W511">
        <f t="shared" si="39"/>
        <v>0</v>
      </c>
      <c r="X511">
        <v>1</v>
      </c>
      <c r="Y511" s="2">
        <v>45768</v>
      </c>
      <c r="Z511" s="3" t="s">
        <v>70</v>
      </c>
      <c r="AA511" t="s">
        <v>39</v>
      </c>
      <c r="AB511" t="s">
        <v>40</v>
      </c>
      <c r="AC511" t="s">
        <v>40</v>
      </c>
      <c r="AD511" t="s">
        <v>589</v>
      </c>
    </row>
    <row r="512" spans="2:30">
      <c r="B512">
        <v>6</v>
      </c>
      <c r="C512">
        <v>1020</v>
      </c>
      <c r="D512" t="s">
        <v>29</v>
      </c>
      <c r="E512">
        <v>14077410</v>
      </c>
      <c r="F512" t="s">
        <v>604</v>
      </c>
      <c r="G512" t="s">
        <v>43</v>
      </c>
      <c r="H512" t="s">
        <v>32</v>
      </c>
      <c r="I512" t="s">
        <v>588</v>
      </c>
      <c r="J512" t="s">
        <v>45</v>
      </c>
      <c r="K512" t="s">
        <v>35</v>
      </c>
      <c r="L512" t="s">
        <v>36</v>
      </c>
      <c r="M512" t="s">
        <v>37</v>
      </c>
      <c r="N512">
        <v>10</v>
      </c>
      <c r="O512">
        <v>7</v>
      </c>
      <c r="P512">
        <v>4</v>
      </c>
      <c r="Q512">
        <v>10</v>
      </c>
      <c r="R512" s="4">
        <v>2727.84</v>
      </c>
      <c r="S512" t="str">
        <f t="shared" si="35"/>
        <v>PY: Media Crit.</v>
      </c>
      <c r="T512">
        <f t="shared" si="36"/>
        <v>0</v>
      </c>
      <c r="U512">
        <f t="shared" si="37"/>
        <v>0</v>
      </c>
      <c r="V512">
        <f t="shared" si="38"/>
        <v>1</v>
      </c>
      <c r="W512">
        <f t="shared" si="39"/>
        <v>0</v>
      </c>
      <c r="X512">
        <v>1</v>
      </c>
      <c r="Y512" s="2">
        <v>45768</v>
      </c>
      <c r="Z512" s="3" t="s">
        <v>38</v>
      </c>
      <c r="AA512" t="s">
        <v>39</v>
      </c>
      <c r="AB512" t="s">
        <v>40</v>
      </c>
      <c r="AC512" t="s">
        <v>40</v>
      </c>
      <c r="AD512" t="s">
        <v>589</v>
      </c>
    </row>
    <row r="513" spans="2:30">
      <c r="B513">
        <v>6</v>
      </c>
      <c r="C513">
        <v>1020</v>
      </c>
      <c r="D513" t="s">
        <v>29</v>
      </c>
      <c r="E513">
        <v>10045457</v>
      </c>
      <c r="F513" t="s">
        <v>605</v>
      </c>
      <c r="G513" t="s">
        <v>31</v>
      </c>
      <c r="H513" t="s">
        <v>32</v>
      </c>
      <c r="I513" t="s">
        <v>588</v>
      </c>
      <c r="J513" t="s">
        <v>45</v>
      </c>
      <c r="K513" t="s">
        <v>35</v>
      </c>
      <c r="L513" t="s">
        <v>36</v>
      </c>
      <c r="M513" t="s">
        <v>55</v>
      </c>
      <c r="N513">
        <v>70</v>
      </c>
      <c r="O513">
        <v>41</v>
      </c>
      <c r="P513">
        <v>5</v>
      </c>
      <c r="Q513">
        <v>80</v>
      </c>
      <c r="R513">
        <v>32.04</v>
      </c>
      <c r="S513" t="str">
        <f t="shared" si="35"/>
        <v>PX: Baja Crit.</v>
      </c>
      <c r="T513">
        <f t="shared" si="36"/>
        <v>0</v>
      </c>
      <c r="U513">
        <f t="shared" si="37"/>
        <v>0</v>
      </c>
      <c r="V513">
        <f t="shared" si="38"/>
        <v>0</v>
      </c>
      <c r="W513">
        <f t="shared" si="39"/>
        <v>1</v>
      </c>
      <c r="X513">
        <v>1</v>
      </c>
      <c r="Y513" s="2">
        <v>45768</v>
      </c>
      <c r="Z513" s="3" t="s">
        <v>56</v>
      </c>
      <c r="AA513" t="s">
        <v>39</v>
      </c>
      <c r="AB513" t="s">
        <v>40</v>
      </c>
      <c r="AC513" t="s">
        <v>40</v>
      </c>
      <c r="AD513" t="s">
        <v>589</v>
      </c>
    </row>
    <row r="514" spans="2:30">
      <c r="B514">
        <v>6</v>
      </c>
      <c r="C514">
        <v>1020</v>
      </c>
      <c r="D514" t="s">
        <v>29</v>
      </c>
      <c r="E514">
        <v>10050285</v>
      </c>
      <c r="F514" t="s">
        <v>606</v>
      </c>
      <c r="G514" t="s">
        <v>52</v>
      </c>
      <c r="H514" t="s">
        <v>32</v>
      </c>
      <c r="I514" t="s">
        <v>588</v>
      </c>
      <c r="J514" t="s">
        <v>34</v>
      </c>
      <c r="K514" t="s">
        <v>35</v>
      </c>
      <c r="L514" t="s">
        <v>36</v>
      </c>
      <c r="M514" t="s">
        <v>37</v>
      </c>
      <c r="N514">
        <v>30</v>
      </c>
      <c r="O514">
        <v>11</v>
      </c>
      <c r="P514">
        <v>6</v>
      </c>
      <c r="Q514">
        <v>24</v>
      </c>
      <c r="R514">
        <v>172.8</v>
      </c>
      <c r="S514" t="str">
        <f t="shared" ref="S514:S577" si="40">+IF(G514="PZ", "PZ: Alta Crit.",IF(G514="PY","PY: Media Crit.", "PX: Baja Crit."))</f>
        <v>PZ: Alta Crit.</v>
      </c>
      <c r="T514">
        <f t="shared" ref="T514:T577" si="41">+IF(Q514=0,1,0)</f>
        <v>0</v>
      </c>
      <c r="U514">
        <f t="shared" ref="U514:U577" si="42">+IF(AND(Q514&lt;=P514,Q514&gt;0),1,0)</f>
        <v>0</v>
      </c>
      <c r="V514">
        <f t="shared" ref="V514:V577" si="43">+IF(AND(Q514&gt;P514,Q514&lt;=N514),1,0)</f>
        <v>1</v>
      </c>
      <c r="W514">
        <f t="shared" ref="W514:W577" si="44">+IF(Q514&gt;N514,1,0)</f>
        <v>0</v>
      </c>
      <c r="X514">
        <v>1</v>
      </c>
      <c r="Y514" s="2">
        <v>45768</v>
      </c>
      <c r="Z514" s="3" t="s">
        <v>38</v>
      </c>
      <c r="AA514" t="s">
        <v>39</v>
      </c>
      <c r="AB514" t="s">
        <v>40</v>
      </c>
      <c r="AC514" t="s">
        <v>40</v>
      </c>
      <c r="AD514" t="s">
        <v>589</v>
      </c>
    </row>
    <row r="515" spans="2:30">
      <c r="B515">
        <v>6</v>
      </c>
      <c r="C515">
        <v>1020</v>
      </c>
      <c r="D515" t="s">
        <v>29</v>
      </c>
      <c r="E515">
        <v>10052297</v>
      </c>
      <c r="F515" t="s">
        <v>607</v>
      </c>
      <c r="G515" t="s">
        <v>31</v>
      </c>
      <c r="H515" t="s">
        <v>32</v>
      </c>
      <c r="I515" t="s">
        <v>588</v>
      </c>
      <c r="J515" t="s">
        <v>45</v>
      </c>
      <c r="K515" t="s">
        <v>35</v>
      </c>
      <c r="L515" t="s">
        <v>36</v>
      </c>
      <c r="M515" t="s">
        <v>46</v>
      </c>
      <c r="N515">
        <v>12</v>
      </c>
      <c r="O515">
        <v>8</v>
      </c>
      <c r="P515">
        <v>2</v>
      </c>
      <c r="Q515">
        <v>14</v>
      </c>
      <c r="R515">
        <v>90.82</v>
      </c>
      <c r="S515" t="str">
        <f t="shared" si="40"/>
        <v>PX: Baja Crit.</v>
      </c>
      <c r="T515">
        <f t="shared" si="41"/>
        <v>0</v>
      </c>
      <c r="U515">
        <f t="shared" si="42"/>
        <v>0</v>
      </c>
      <c r="V515">
        <f t="shared" si="43"/>
        <v>0</v>
      </c>
      <c r="W515">
        <f t="shared" si="44"/>
        <v>1</v>
      </c>
      <c r="X515">
        <v>1</v>
      </c>
      <c r="Y515" s="2">
        <v>45768</v>
      </c>
      <c r="Z515" s="3" t="s">
        <v>47</v>
      </c>
      <c r="AA515" t="s">
        <v>39</v>
      </c>
      <c r="AB515" t="s">
        <v>40</v>
      </c>
      <c r="AC515" t="s">
        <v>40</v>
      </c>
      <c r="AD515" t="s">
        <v>589</v>
      </c>
    </row>
    <row r="516" spans="2:30">
      <c r="B516">
        <v>6</v>
      </c>
      <c r="C516">
        <v>1020</v>
      </c>
      <c r="D516" t="s">
        <v>29</v>
      </c>
      <c r="E516">
        <v>10049478</v>
      </c>
      <c r="F516" t="s">
        <v>608</v>
      </c>
      <c r="G516" t="s">
        <v>43</v>
      </c>
      <c r="H516" t="s">
        <v>32</v>
      </c>
      <c r="I516" t="s">
        <v>588</v>
      </c>
      <c r="J516" t="s">
        <v>45</v>
      </c>
      <c r="K516" t="s">
        <v>35</v>
      </c>
      <c r="L516" t="s">
        <v>36</v>
      </c>
      <c r="M516" t="s">
        <v>46</v>
      </c>
      <c r="N516">
        <v>3</v>
      </c>
      <c r="O516">
        <v>2</v>
      </c>
      <c r="P516">
        <v>1</v>
      </c>
      <c r="Q516">
        <v>2</v>
      </c>
      <c r="R516">
        <v>134.33000000000001</v>
      </c>
      <c r="S516" t="str">
        <f t="shared" si="40"/>
        <v>PY: Media Crit.</v>
      </c>
      <c r="T516">
        <f t="shared" si="41"/>
        <v>0</v>
      </c>
      <c r="U516">
        <f t="shared" si="42"/>
        <v>0</v>
      </c>
      <c r="V516">
        <f t="shared" si="43"/>
        <v>1</v>
      </c>
      <c r="W516">
        <f t="shared" si="44"/>
        <v>0</v>
      </c>
      <c r="X516">
        <v>1</v>
      </c>
      <c r="Y516" s="2">
        <v>45768</v>
      </c>
      <c r="Z516" s="3" t="s">
        <v>47</v>
      </c>
      <c r="AA516" t="s">
        <v>39</v>
      </c>
      <c r="AB516" t="s">
        <v>40</v>
      </c>
      <c r="AC516" t="s">
        <v>40</v>
      </c>
      <c r="AD516" t="s">
        <v>589</v>
      </c>
    </row>
    <row r="517" spans="2:30">
      <c r="B517">
        <v>6</v>
      </c>
      <c r="C517">
        <v>1020</v>
      </c>
      <c r="D517" t="s">
        <v>29</v>
      </c>
      <c r="E517">
        <v>10055274</v>
      </c>
      <c r="F517" t="s">
        <v>609</v>
      </c>
      <c r="G517" t="s">
        <v>43</v>
      </c>
      <c r="H517" t="s">
        <v>32</v>
      </c>
      <c r="I517" t="s">
        <v>588</v>
      </c>
      <c r="J517" t="s">
        <v>45</v>
      </c>
      <c r="K517" t="s">
        <v>35</v>
      </c>
      <c r="L517" t="s">
        <v>36</v>
      </c>
      <c r="M517" t="s">
        <v>46</v>
      </c>
      <c r="N517">
        <v>6</v>
      </c>
      <c r="O517">
        <v>5</v>
      </c>
      <c r="P517">
        <v>1</v>
      </c>
      <c r="Q517">
        <v>6</v>
      </c>
      <c r="R517">
        <v>748.29</v>
      </c>
      <c r="S517" t="str">
        <f t="shared" si="40"/>
        <v>PY: Media Crit.</v>
      </c>
      <c r="T517">
        <f t="shared" si="41"/>
        <v>0</v>
      </c>
      <c r="U517">
        <f t="shared" si="42"/>
        <v>0</v>
      </c>
      <c r="V517">
        <f t="shared" si="43"/>
        <v>1</v>
      </c>
      <c r="W517">
        <f t="shared" si="44"/>
        <v>0</v>
      </c>
      <c r="X517">
        <v>1</v>
      </c>
      <c r="Y517" s="2">
        <v>45768</v>
      </c>
      <c r="Z517" s="3" t="s">
        <v>47</v>
      </c>
      <c r="AA517" t="s">
        <v>39</v>
      </c>
      <c r="AB517" t="s">
        <v>40</v>
      </c>
      <c r="AC517" t="s">
        <v>40</v>
      </c>
      <c r="AD517" t="s">
        <v>589</v>
      </c>
    </row>
    <row r="518" spans="2:30">
      <c r="B518">
        <v>6</v>
      </c>
      <c r="C518">
        <v>1020</v>
      </c>
      <c r="D518" t="s">
        <v>29</v>
      </c>
      <c r="E518">
        <v>14167759</v>
      </c>
      <c r="F518" t="s">
        <v>610</v>
      </c>
      <c r="G518" t="s">
        <v>52</v>
      </c>
      <c r="H518" t="s">
        <v>44</v>
      </c>
      <c r="I518" t="s">
        <v>588</v>
      </c>
      <c r="J518" t="s">
        <v>45</v>
      </c>
      <c r="K518" t="s">
        <v>35</v>
      </c>
      <c r="L518" t="s">
        <v>36</v>
      </c>
      <c r="M518" t="s">
        <v>46</v>
      </c>
      <c r="N518">
        <v>4</v>
      </c>
      <c r="O518">
        <v>3</v>
      </c>
      <c r="P518">
        <v>0</v>
      </c>
      <c r="Q518">
        <v>5</v>
      </c>
      <c r="R518" s="4">
        <v>3269.22</v>
      </c>
      <c r="S518" t="str">
        <f t="shared" si="40"/>
        <v>PZ: Alta Crit.</v>
      </c>
      <c r="T518">
        <f t="shared" si="41"/>
        <v>0</v>
      </c>
      <c r="U518">
        <f t="shared" si="42"/>
        <v>0</v>
      </c>
      <c r="V518">
        <f t="shared" si="43"/>
        <v>0</v>
      </c>
      <c r="W518">
        <f t="shared" si="44"/>
        <v>1</v>
      </c>
      <c r="X518">
        <v>1</v>
      </c>
      <c r="Y518" s="2">
        <v>45768</v>
      </c>
      <c r="Z518" s="3" t="s">
        <v>47</v>
      </c>
      <c r="AA518" t="s">
        <v>39</v>
      </c>
      <c r="AB518" t="s">
        <v>40</v>
      </c>
      <c r="AC518" t="s">
        <v>40</v>
      </c>
      <c r="AD518" t="s">
        <v>589</v>
      </c>
    </row>
    <row r="519" spans="2:30">
      <c r="B519">
        <v>6</v>
      </c>
      <c r="C519">
        <v>1020</v>
      </c>
      <c r="D519" t="s">
        <v>29</v>
      </c>
      <c r="E519">
        <v>10306127</v>
      </c>
      <c r="F519" t="s">
        <v>611</v>
      </c>
      <c r="G519" t="s">
        <v>31</v>
      </c>
      <c r="H519" t="s">
        <v>32</v>
      </c>
      <c r="I519" t="s">
        <v>588</v>
      </c>
      <c r="J519" t="s">
        <v>45</v>
      </c>
      <c r="K519" t="s">
        <v>35</v>
      </c>
      <c r="L519" t="s">
        <v>36</v>
      </c>
      <c r="M519" t="s">
        <v>46</v>
      </c>
      <c r="N519">
        <v>8</v>
      </c>
      <c r="O519">
        <v>5</v>
      </c>
      <c r="P519">
        <v>1</v>
      </c>
      <c r="Q519">
        <v>15</v>
      </c>
      <c r="R519" s="4">
        <v>1677.49</v>
      </c>
      <c r="S519" t="str">
        <f t="shared" si="40"/>
        <v>PX: Baja Crit.</v>
      </c>
      <c r="T519">
        <f t="shared" si="41"/>
        <v>0</v>
      </c>
      <c r="U519">
        <f t="shared" si="42"/>
        <v>0</v>
      </c>
      <c r="V519">
        <f t="shared" si="43"/>
        <v>0</v>
      </c>
      <c r="W519">
        <f t="shared" si="44"/>
        <v>1</v>
      </c>
      <c r="X519">
        <v>1</v>
      </c>
      <c r="Y519" s="2">
        <v>45768</v>
      </c>
      <c r="Z519" s="3" t="s">
        <v>47</v>
      </c>
      <c r="AA519" t="s">
        <v>39</v>
      </c>
      <c r="AB519" t="s">
        <v>40</v>
      </c>
      <c r="AC519" t="s">
        <v>40</v>
      </c>
      <c r="AD519" t="s">
        <v>589</v>
      </c>
    </row>
    <row r="520" spans="2:30">
      <c r="B520">
        <v>6</v>
      </c>
      <c r="C520">
        <v>1020</v>
      </c>
      <c r="D520" t="s">
        <v>29</v>
      </c>
      <c r="E520">
        <v>14011621</v>
      </c>
      <c r="F520" t="s">
        <v>612</v>
      </c>
      <c r="G520" t="s">
        <v>31</v>
      </c>
      <c r="H520" t="s">
        <v>60</v>
      </c>
      <c r="I520" t="s">
        <v>588</v>
      </c>
      <c r="J520" t="s">
        <v>45</v>
      </c>
      <c r="K520" t="s">
        <v>35</v>
      </c>
      <c r="L520" t="s">
        <v>36</v>
      </c>
      <c r="M520" t="s">
        <v>117</v>
      </c>
      <c r="N520">
        <v>12</v>
      </c>
      <c r="O520">
        <v>9</v>
      </c>
      <c r="P520">
        <v>0</v>
      </c>
      <c r="Q520">
        <v>12</v>
      </c>
      <c r="R520">
        <v>706.46</v>
      </c>
      <c r="S520" t="str">
        <f t="shared" si="40"/>
        <v>PX: Baja Crit.</v>
      </c>
      <c r="T520">
        <f t="shared" si="41"/>
        <v>0</v>
      </c>
      <c r="U520">
        <f t="shared" si="42"/>
        <v>0</v>
      </c>
      <c r="V520">
        <f t="shared" si="43"/>
        <v>1</v>
      </c>
      <c r="W520">
        <f t="shared" si="44"/>
        <v>0</v>
      </c>
      <c r="X520">
        <v>1</v>
      </c>
      <c r="Y520" s="2">
        <v>45768</v>
      </c>
      <c r="Z520" s="3" t="s">
        <v>118</v>
      </c>
      <c r="AA520" t="s">
        <v>39</v>
      </c>
      <c r="AB520" t="s">
        <v>40</v>
      </c>
      <c r="AC520" t="s">
        <v>40</v>
      </c>
      <c r="AD520" t="s">
        <v>589</v>
      </c>
    </row>
    <row r="521" spans="2:30">
      <c r="B521">
        <v>6</v>
      </c>
      <c r="C521">
        <v>1020</v>
      </c>
      <c r="D521" t="s">
        <v>29</v>
      </c>
      <c r="E521">
        <v>10306126</v>
      </c>
      <c r="F521" t="s">
        <v>613</v>
      </c>
      <c r="G521" t="s">
        <v>31</v>
      </c>
      <c r="H521" t="s">
        <v>32</v>
      </c>
      <c r="I521" t="s">
        <v>588</v>
      </c>
      <c r="J521" t="s">
        <v>45</v>
      </c>
      <c r="K521" t="s">
        <v>35</v>
      </c>
      <c r="L521" t="s">
        <v>36</v>
      </c>
      <c r="M521" t="s">
        <v>46</v>
      </c>
      <c r="N521">
        <v>15</v>
      </c>
      <c r="O521">
        <v>5</v>
      </c>
      <c r="P521">
        <v>3</v>
      </c>
      <c r="Q521">
        <v>30</v>
      </c>
      <c r="R521" s="4">
        <v>3327.41</v>
      </c>
      <c r="S521" t="str">
        <f t="shared" si="40"/>
        <v>PX: Baja Crit.</v>
      </c>
      <c r="T521">
        <f t="shared" si="41"/>
        <v>0</v>
      </c>
      <c r="U521">
        <f t="shared" si="42"/>
        <v>0</v>
      </c>
      <c r="V521">
        <f t="shared" si="43"/>
        <v>0</v>
      </c>
      <c r="W521">
        <f t="shared" si="44"/>
        <v>1</v>
      </c>
      <c r="X521">
        <v>1</v>
      </c>
      <c r="Y521" s="2">
        <v>45768</v>
      </c>
      <c r="Z521" s="3" t="s">
        <v>47</v>
      </c>
      <c r="AA521" t="s">
        <v>39</v>
      </c>
      <c r="AB521" t="s">
        <v>40</v>
      </c>
      <c r="AC521" t="s">
        <v>40</v>
      </c>
      <c r="AD521" t="s">
        <v>589</v>
      </c>
    </row>
    <row r="522" spans="2:30">
      <c r="B522">
        <v>6</v>
      </c>
      <c r="C522">
        <v>1020</v>
      </c>
      <c r="D522" t="s">
        <v>29</v>
      </c>
      <c r="E522">
        <v>10047016</v>
      </c>
      <c r="F522" t="s">
        <v>614</v>
      </c>
      <c r="G522" t="s">
        <v>43</v>
      </c>
      <c r="H522" t="s">
        <v>32</v>
      </c>
      <c r="I522" t="s">
        <v>588</v>
      </c>
      <c r="J522" t="s">
        <v>45</v>
      </c>
      <c r="K522" t="s">
        <v>35</v>
      </c>
      <c r="L522" t="s">
        <v>36</v>
      </c>
      <c r="M522" t="s">
        <v>55</v>
      </c>
      <c r="N522">
        <v>20</v>
      </c>
      <c r="O522">
        <v>12</v>
      </c>
      <c r="P522">
        <v>4</v>
      </c>
      <c r="Q522">
        <v>10</v>
      </c>
      <c r="R522">
        <v>434.88</v>
      </c>
      <c r="S522" t="str">
        <f t="shared" si="40"/>
        <v>PY: Media Crit.</v>
      </c>
      <c r="T522">
        <f t="shared" si="41"/>
        <v>0</v>
      </c>
      <c r="U522">
        <f t="shared" si="42"/>
        <v>0</v>
      </c>
      <c r="V522">
        <f t="shared" si="43"/>
        <v>1</v>
      </c>
      <c r="W522">
        <f t="shared" si="44"/>
        <v>0</v>
      </c>
      <c r="X522">
        <v>1</v>
      </c>
      <c r="Y522" s="2">
        <v>45768</v>
      </c>
      <c r="Z522" s="3" t="s">
        <v>56</v>
      </c>
      <c r="AA522" t="s">
        <v>39</v>
      </c>
      <c r="AB522" t="s">
        <v>76</v>
      </c>
      <c r="AC522" s="5" t="s">
        <v>77</v>
      </c>
      <c r="AD522" t="s">
        <v>589</v>
      </c>
    </row>
    <row r="523" spans="2:30">
      <c r="B523">
        <v>6</v>
      </c>
      <c r="C523">
        <v>1020</v>
      </c>
      <c r="D523" t="s">
        <v>29</v>
      </c>
      <c r="E523">
        <v>10001204</v>
      </c>
      <c r="F523" t="s">
        <v>615</v>
      </c>
      <c r="G523" t="s">
        <v>31</v>
      </c>
      <c r="H523" t="s">
        <v>32</v>
      </c>
      <c r="I523" t="s">
        <v>588</v>
      </c>
      <c r="J523" t="s">
        <v>34</v>
      </c>
      <c r="K523" t="s">
        <v>35</v>
      </c>
      <c r="L523" t="s">
        <v>36</v>
      </c>
      <c r="M523" t="s">
        <v>88</v>
      </c>
      <c r="N523">
        <v>40</v>
      </c>
      <c r="O523">
        <v>21</v>
      </c>
      <c r="P523">
        <v>5</v>
      </c>
      <c r="Q523">
        <v>26</v>
      </c>
      <c r="R523">
        <v>189.39</v>
      </c>
      <c r="S523" t="str">
        <f t="shared" si="40"/>
        <v>PX: Baja Crit.</v>
      </c>
      <c r="T523">
        <f t="shared" si="41"/>
        <v>0</v>
      </c>
      <c r="U523">
        <f t="shared" si="42"/>
        <v>0</v>
      </c>
      <c r="V523">
        <f t="shared" si="43"/>
        <v>1</v>
      </c>
      <c r="W523">
        <f t="shared" si="44"/>
        <v>0</v>
      </c>
      <c r="X523">
        <v>1</v>
      </c>
      <c r="Y523" s="2">
        <v>45768</v>
      </c>
      <c r="Z523" s="3" t="s">
        <v>89</v>
      </c>
      <c r="AA523" t="s">
        <v>39</v>
      </c>
      <c r="AB523" t="s">
        <v>40</v>
      </c>
      <c r="AC523" t="s">
        <v>40</v>
      </c>
      <c r="AD523" t="s">
        <v>589</v>
      </c>
    </row>
    <row r="524" spans="2:30">
      <c r="B524">
        <v>6</v>
      </c>
      <c r="C524">
        <v>1020</v>
      </c>
      <c r="D524" t="s">
        <v>29</v>
      </c>
      <c r="E524">
        <v>10045406</v>
      </c>
      <c r="F524" t="s">
        <v>616</v>
      </c>
      <c r="G524" t="s">
        <v>31</v>
      </c>
      <c r="H524" t="s">
        <v>32</v>
      </c>
      <c r="I524" t="s">
        <v>588</v>
      </c>
      <c r="J524" t="s">
        <v>34</v>
      </c>
      <c r="K524" t="s">
        <v>35</v>
      </c>
      <c r="L524" t="s">
        <v>36</v>
      </c>
      <c r="M524" t="s">
        <v>55</v>
      </c>
      <c r="N524">
        <v>100</v>
      </c>
      <c r="O524">
        <v>61</v>
      </c>
      <c r="P524">
        <v>10</v>
      </c>
      <c r="Q524">
        <v>70</v>
      </c>
      <c r="R524">
        <v>252.08</v>
      </c>
      <c r="S524" t="str">
        <f t="shared" si="40"/>
        <v>PX: Baja Crit.</v>
      </c>
      <c r="T524">
        <f t="shared" si="41"/>
        <v>0</v>
      </c>
      <c r="U524">
        <f t="shared" si="42"/>
        <v>0</v>
      </c>
      <c r="V524">
        <f t="shared" si="43"/>
        <v>1</v>
      </c>
      <c r="W524">
        <f t="shared" si="44"/>
        <v>0</v>
      </c>
      <c r="X524">
        <v>1</v>
      </c>
      <c r="Y524" s="2">
        <v>45768</v>
      </c>
      <c r="Z524" s="3" t="s">
        <v>56</v>
      </c>
      <c r="AA524" t="s">
        <v>39</v>
      </c>
      <c r="AB524" t="s">
        <v>40</v>
      </c>
      <c r="AC524" t="s">
        <v>40</v>
      </c>
      <c r="AD524" t="s">
        <v>589</v>
      </c>
    </row>
    <row r="525" spans="2:30">
      <c r="B525">
        <v>6</v>
      </c>
      <c r="C525">
        <v>1020</v>
      </c>
      <c r="D525" t="s">
        <v>29</v>
      </c>
      <c r="E525">
        <v>10047728</v>
      </c>
      <c r="F525" t="s">
        <v>617</v>
      </c>
      <c r="G525" t="s">
        <v>43</v>
      </c>
      <c r="H525" t="s">
        <v>32</v>
      </c>
      <c r="I525" t="s">
        <v>588</v>
      </c>
      <c r="J525" t="s">
        <v>34</v>
      </c>
      <c r="K525" t="s">
        <v>35</v>
      </c>
      <c r="L525" t="s">
        <v>36</v>
      </c>
      <c r="M525" t="s">
        <v>46</v>
      </c>
      <c r="N525">
        <v>30</v>
      </c>
      <c r="O525">
        <v>16</v>
      </c>
      <c r="P525">
        <v>5</v>
      </c>
      <c r="Q525">
        <v>10</v>
      </c>
      <c r="R525">
        <v>149.84</v>
      </c>
      <c r="S525" t="str">
        <f t="shared" si="40"/>
        <v>PY: Media Crit.</v>
      </c>
      <c r="T525">
        <f t="shared" si="41"/>
        <v>0</v>
      </c>
      <c r="U525">
        <f t="shared" si="42"/>
        <v>0</v>
      </c>
      <c r="V525">
        <f t="shared" si="43"/>
        <v>1</v>
      </c>
      <c r="W525">
        <f t="shared" si="44"/>
        <v>0</v>
      </c>
      <c r="X525">
        <v>1</v>
      </c>
      <c r="Y525" s="2">
        <v>45768</v>
      </c>
      <c r="Z525" s="3" t="s">
        <v>47</v>
      </c>
      <c r="AA525" t="s">
        <v>39</v>
      </c>
      <c r="AB525" t="s">
        <v>49</v>
      </c>
      <c r="AC525" s="5" t="s">
        <v>50</v>
      </c>
      <c r="AD525" t="s">
        <v>589</v>
      </c>
    </row>
    <row r="526" spans="2:30">
      <c r="B526">
        <v>6</v>
      </c>
      <c r="C526">
        <v>1020</v>
      </c>
      <c r="D526" t="s">
        <v>29</v>
      </c>
      <c r="E526">
        <v>10048748</v>
      </c>
      <c r="F526" t="s">
        <v>618</v>
      </c>
      <c r="G526" t="s">
        <v>31</v>
      </c>
      <c r="H526" t="s">
        <v>32</v>
      </c>
      <c r="I526" t="s">
        <v>588</v>
      </c>
      <c r="J526" t="s">
        <v>45</v>
      </c>
      <c r="K526" t="s">
        <v>35</v>
      </c>
      <c r="L526" t="s">
        <v>36</v>
      </c>
      <c r="M526" t="s">
        <v>69</v>
      </c>
      <c r="N526">
        <v>120</v>
      </c>
      <c r="O526">
        <v>51</v>
      </c>
      <c r="P526">
        <v>22</v>
      </c>
      <c r="Q526">
        <v>61</v>
      </c>
      <c r="R526">
        <v>191.19</v>
      </c>
      <c r="S526" t="str">
        <f t="shared" si="40"/>
        <v>PX: Baja Crit.</v>
      </c>
      <c r="T526">
        <f t="shared" si="41"/>
        <v>0</v>
      </c>
      <c r="U526">
        <f t="shared" si="42"/>
        <v>0</v>
      </c>
      <c r="V526">
        <f t="shared" si="43"/>
        <v>1</v>
      </c>
      <c r="W526">
        <f t="shared" si="44"/>
        <v>0</v>
      </c>
      <c r="X526">
        <v>1</v>
      </c>
      <c r="Y526" s="2">
        <v>45768</v>
      </c>
      <c r="Z526" s="3" t="s">
        <v>70</v>
      </c>
      <c r="AA526" t="s">
        <v>39</v>
      </c>
      <c r="AB526" t="s">
        <v>40</v>
      </c>
      <c r="AC526" t="s">
        <v>40</v>
      </c>
      <c r="AD526" t="s">
        <v>589</v>
      </c>
    </row>
    <row r="527" spans="2:30">
      <c r="B527">
        <v>6</v>
      </c>
      <c r="C527">
        <v>1020</v>
      </c>
      <c r="D527" t="s">
        <v>29</v>
      </c>
      <c r="E527">
        <v>10054046</v>
      </c>
      <c r="F527" t="s">
        <v>619</v>
      </c>
      <c r="G527" t="s">
        <v>43</v>
      </c>
      <c r="H527" t="s">
        <v>32</v>
      </c>
      <c r="I527" t="s">
        <v>588</v>
      </c>
      <c r="J527" t="s">
        <v>45</v>
      </c>
      <c r="K527" t="s">
        <v>35</v>
      </c>
      <c r="L527" t="s">
        <v>36</v>
      </c>
      <c r="M527" t="s">
        <v>117</v>
      </c>
      <c r="N527">
        <v>12</v>
      </c>
      <c r="O527">
        <v>6</v>
      </c>
      <c r="P527">
        <v>2</v>
      </c>
      <c r="Q527">
        <v>12</v>
      </c>
      <c r="R527">
        <v>505.68</v>
      </c>
      <c r="S527" t="str">
        <f t="shared" si="40"/>
        <v>PY: Media Crit.</v>
      </c>
      <c r="T527">
        <f t="shared" si="41"/>
        <v>0</v>
      </c>
      <c r="U527">
        <f t="shared" si="42"/>
        <v>0</v>
      </c>
      <c r="V527">
        <f t="shared" si="43"/>
        <v>1</v>
      </c>
      <c r="W527">
        <f t="shared" si="44"/>
        <v>0</v>
      </c>
      <c r="X527">
        <v>1</v>
      </c>
      <c r="Y527" s="2">
        <v>45768</v>
      </c>
      <c r="Z527" s="3" t="s">
        <v>118</v>
      </c>
      <c r="AA527" t="s">
        <v>39</v>
      </c>
      <c r="AB527" t="s">
        <v>40</v>
      </c>
      <c r="AC527" t="s">
        <v>40</v>
      </c>
      <c r="AD527" t="s">
        <v>589</v>
      </c>
    </row>
    <row r="528" spans="2:30">
      <c r="B528">
        <v>6</v>
      </c>
      <c r="C528">
        <v>1020</v>
      </c>
      <c r="D528" t="s">
        <v>29</v>
      </c>
      <c r="E528">
        <v>14093476</v>
      </c>
      <c r="F528" t="s">
        <v>620</v>
      </c>
      <c r="G528" t="s">
        <v>43</v>
      </c>
      <c r="H528" t="s">
        <v>60</v>
      </c>
      <c r="I528" t="s">
        <v>588</v>
      </c>
      <c r="J528" t="s">
        <v>45</v>
      </c>
      <c r="K528" t="s">
        <v>35</v>
      </c>
      <c r="L528" t="s">
        <v>36</v>
      </c>
      <c r="M528" t="s">
        <v>69</v>
      </c>
      <c r="N528">
        <v>2</v>
      </c>
      <c r="O528">
        <v>2</v>
      </c>
      <c r="P528">
        <v>0</v>
      </c>
      <c r="Q528">
        <v>1</v>
      </c>
      <c r="R528" s="4">
        <v>1484.66</v>
      </c>
      <c r="S528" t="str">
        <f t="shared" si="40"/>
        <v>PY: Media Crit.</v>
      </c>
      <c r="T528">
        <f t="shared" si="41"/>
        <v>0</v>
      </c>
      <c r="U528">
        <f t="shared" si="42"/>
        <v>0</v>
      </c>
      <c r="V528">
        <f t="shared" si="43"/>
        <v>1</v>
      </c>
      <c r="W528">
        <f t="shared" si="44"/>
        <v>0</v>
      </c>
      <c r="X528">
        <v>1</v>
      </c>
      <c r="Y528" s="2">
        <v>45768</v>
      </c>
      <c r="Z528" s="3" t="s">
        <v>70</v>
      </c>
      <c r="AA528" t="s">
        <v>39</v>
      </c>
      <c r="AB528" t="s">
        <v>49</v>
      </c>
      <c r="AC528" s="5" t="s">
        <v>50</v>
      </c>
      <c r="AD528" t="s">
        <v>589</v>
      </c>
    </row>
    <row r="529" spans="2:30">
      <c r="B529">
        <v>6</v>
      </c>
      <c r="C529">
        <v>1020</v>
      </c>
      <c r="D529" t="s">
        <v>29</v>
      </c>
      <c r="E529">
        <v>10045375</v>
      </c>
      <c r="F529" t="s">
        <v>621</v>
      </c>
      <c r="G529" t="s">
        <v>43</v>
      </c>
      <c r="H529" t="s">
        <v>32</v>
      </c>
      <c r="I529" t="s">
        <v>588</v>
      </c>
      <c r="J529" t="s">
        <v>45</v>
      </c>
      <c r="K529" t="s">
        <v>35</v>
      </c>
      <c r="L529" t="s">
        <v>36</v>
      </c>
      <c r="M529" t="s">
        <v>55</v>
      </c>
      <c r="N529">
        <v>40</v>
      </c>
      <c r="O529">
        <v>21</v>
      </c>
      <c r="P529">
        <v>5</v>
      </c>
      <c r="Q529">
        <v>50</v>
      </c>
      <c r="R529">
        <v>449.12</v>
      </c>
      <c r="S529" t="str">
        <f t="shared" si="40"/>
        <v>PY: Media Crit.</v>
      </c>
      <c r="T529">
        <f t="shared" si="41"/>
        <v>0</v>
      </c>
      <c r="U529">
        <f t="shared" si="42"/>
        <v>0</v>
      </c>
      <c r="V529">
        <f t="shared" si="43"/>
        <v>0</v>
      </c>
      <c r="W529">
        <f t="shared" si="44"/>
        <v>1</v>
      </c>
      <c r="X529">
        <v>1</v>
      </c>
      <c r="Y529" s="2">
        <v>45768</v>
      </c>
      <c r="Z529" s="3" t="s">
        <v>56</v>
      </c>
      <c r="AA529" t="s">
        <v>39</v>
      </c>
      <c r="AB529" t="s">
        <v>40</v>
      </c>
      <c r="AC529" t="s">
        <v>40</v>
      </c>
      <c r="AD529" t="s">
        <v>589</v>
      </c>
    </row>
    <row r="530" spans="2:30">
      <c r="B530">
        <v>6</v>
      </c>
      <c r="C530">
        <v>1020</v>
      </c>
      <c r="D530" t="s">
        <v>29</v>
      </c>
      <c r="E530">
        <v>10050325</v>
      </c>
      <c r="F530" t="s">
        <v>622</v>
      </c>
      <c r="G530" t="s">
        <v>43</v>
      </c>
      <c r="H530" t="s">
        <v>44</v>
      </c>
      <c r="I530" t="s">
        <v>588</v>
      </c>
      <c r="J530" t="s">
        <v>34</v>
      </c>
      <c r="K530" t="s">
        <v>65</v>
      </c>
      <c r="L530" t="s">
        <v>36</v>
      </c>
      <c r="M530" t="s">
        <v>37</v>
      </c>
      <c r="N530">
        <v>28</v>
      </c>
      <c r="O530">
        <v>21</v>
      </c>
      <c r="P530">
        <v>4</v>
      </c>
      <c r="Q530">
        <v>28</v>
      </c>
      <c r="R530" s="4">
        <v>8915.34</v>
      </c>
      <c r="S530" t="str">
        <f t="shared" si="40"/>
        <v>PY: Media Crit.</v>
      </c>
      <c r="T530">
        <f t="shared" si="41"/>
        <v>0</v>
      </c>
      <c r="U530">
        <f t="shared" si="42"/>
        <v>0</v>
      </c>
      <c r="V530">
        <f t="shared" si="43"/>
        <v>1</v>
      </c>
      <c r="W530">
        <f t="shared" si="44"/>
        <v>0</v>
      </c>
      <c r="X530">
        <v>1</v>
      </c>
      <c r="Y530" s="2">
        <v>45768</v>
      </c>
      <c r="Z530" s="3" t="s">
        <v>38</v>
      </c>
      <c r="AA530" t="s">
        <v>39</v>
      </c>
      <c r="AB530" t="s">
        <v>40</v>
      </c>
      <c r="AC530" t="s">
        <v>40</v>
      </c>
      <c r="AD530" t="s">
        <v>589</v>
      </c>
    </row>
    <row r="531" spans="2:30">
      <c r="B531">
        <v>6</v>
      </c>
      <c r="C531">
        <v>1020</v>
      </c>
      <c r="D531" t="s">
        <v>29</v>
      </c>
      <c r="E531">
        <v>10046588</v>
      </c>
      <c r="F531" t="s">
        <v>623</v>
      </c>
      <c r="G531" t="s">
        <v>52</v>
      </c>
      <c r="H531" t="s">
        <v>44</v>
      </c>
      <c r="I531" t="s">
        <v>588</v>
      </c>
      <c r="J531" t="s">
        <v>45</v>
      </c>
      <c r="K531" t="s">
        <v>35</v>
      </c>
      <c r="L531" t="s">
        <v>36</v>
      </c>
      <c r="M531" t="s">
        <v>46</v>
      </c>
      <c r="N531">
        <v>20</v>
      </c>
      <c r="O531">
        <v>11</v>
      </c>
      <c r="P531">
        <v>10</v>
      </c>
      <c r="Q531">
        <v>6</v>
      </c>
      <c r="R531" s="4">
        <v>2872.8</v>
      </c>
      <c r="S531" t="str">
        <f t="shared" si="40"/>
        <v>PZ: Alta Crit.</v>
      </c>
      <c r="T531">
        <f t="shared" si="41"/>
        <v>0</v>
      </c>
      <c r="U531">
        <f t="shared" si="42"/>
        <v>1</v>
      </c>
      <c r="V531">
        <f t="shared" si="43"/>
        <v>0</v>
      </c>
      <c r="W531">
        <f t="shared" si="44"/>
        <v>0</v>
      </c>
      <c r="X531">
        <v>1</v>
      </c>
      <c r="Y531" s="2">
        <v>45768</v>
      </c>
      <c r="Z531" s="3" t="s">
        <v>47</v>
      </c>
      <c r="AA531" t="s">
        <v>39</v>
      </c>
      <c r="AB531" t="s">
        <v>49</v>
      </c>
      <c r="AC531" s="5" t="s">
        <v>50</v>
      </c>
      <c r="AD531" t="s">
        <v>589</v>
      </c>
    </row>
    <row r="532" spans="2:30">
      <c r="B532">
        <v>6</v>
      </c>
      <c r="C532">
        <v>1020</v>
      </c>
      <c r="D532" t="s">
        <v>29</v>
      </c>
      <c r="E532">
        <v>14275104</v>
      </c>
      <c r="F532" t="s">
        <v>624</v>
      </c>
      <c r="G532" t="s">
        <v>43</v>
      </c>
      <c r="H532" t="s">
        <v>60</v>
      </c>
      <c r="I532" t="s">
        <v>588</v>
      </c>
      <c r="J532" t="s">
        <v>45</v>
      </c>
      <c r="K532" t="s">
        <v>35</v>
      </c>
      <c r="L532" t="s">
        <v>36</v>
      </c>
      <c r="M532" t="s">
        <v>88</v>
      </c>
      <c r="N532">
        <v>200</v>
      </c>
      <c r="O532">
        <v>100</v>
      </c>
      <c r="P532">
        <v>0</v>
      </c>
      <c r="Q532">
        <v>200</v>
      </c>
      <c r="R532">
        <v>51.23</v>
      </c>
      <c r="S532" t="str">
        <f t="shared" si="40"/>
        <v>PY: Media Crit.</v>
      </c>
      <c r="T532">
        <f t="shared" si="41"/>
        <v>0</v>
      </c>
      <c r="U532">
        <f t="shared" si="42"/>
        <v>0</v>
      </c>
      <c r="V532">
        <f t="shared" si="43"/>
        <v>1</v>
      </c>
      <c r="W532">
        <f t="shared" si="44"/>
        <v>0</v>
      </c>
      <c r="X532">
        <v>1</v>
      </c>
      <c r="Y532" s="2">
        <v>45768</v>
      </c>
      <c r="Z532" s="3" t="s">
        <v>89</v>
      </c>
      <c r="AA532" t="s">
        <v>39</v>
      </c>
      <c r="AB532" t="s">
        <v>40</v>
      </c>
      <c r="AC532" t="s">
        <v>40</v>
      </c>
      <c r="AD532" t="s">
        <v>589</v>
      </c>
    </row>
    <row r="533" spans="2:30">
      <c r="B533">
        <v>6</v>
      </c>
      <c r="C533">
        <v>1020</v>
      </c>
      <c r="D533" t="s">
        <v>29</v>
      </c>
      <c r="E533">
        <v>10045405</v>
      </c>
      <c r="F533" t="s">
        <v>625</v>
      </c>
      <c r="G533" t="s">
        <v>31</v>
      </c>
      <c r="H533" t="s">
        <v>32</v>
      </c>
      <c r="I533" t="s">
        <v>588</v>
      </c>
      <c r="J533" t="s">
        <v>45</v>
      </c>
      <c r="K533" t="s">
        <v>35</v>
      </c>
      <c r="L533" t="s">
        <v>36</v>
      </c>
      <c r="M533" t="s">
        <v>55</v>
      </c>
      <c r="N533">
        <v>70</v>
      </c>
      <c r="O533">
        <v>41</v>
      </c>
      <c r="P533">
        <v>10</v>
      </c>
      <c r="Q533">
        <v>57</v>
      </c>
      <c r="R533">
        <v>36.270000000000003</v>
      </c>
      <c r="S533" t="str">
        <f t="shared" si="40"/>
        <v>PX: Baja Crit.</v>
      </c>
      <c r="T533">
        <f t="shared" si="41"/>
        <v>0</v>
      </c>
      <c r="U533">
        <f t="shared" si="42"/>
        <v>0</v>
      </c>
      <c r="V533">
        <f t="shared" si="43"/>
        <v>1</v>
      </c>
      <c r="W533">
        <f t="shared" si="44"/>
        <v>0</v>
      </c>
      <c r="X533">
        <v>1</v>
      </c>
      <c r="Y533" s="2">
        <v>45768</v>
      </c>
      <c r="Z533" s="3" t="s">
        <v>56</v>
      </c>
      <c r="AA533" t="s">
        <v>39</v>
      </c>
      <c r="AB533" t="s">
        <v>40</v>
      </c>
      <c r="AC533" t="s">
        <v>40</v>
      </c>
      <c r="AD533" t="s">
        <v>589</v>
      </c>
    </row>
    <row r="534" spans="2:30">
      <c r="B534">
        <v>6</v>
      </c>
      <c r="C534">
        <v>1020</v>
      </c>
      <c r="D534" t="s">
        <v>29</v>
      </c>
      <c r="E534">
        <v>10056530</v>
      </c>
      <c r="F534" t="s">
        <v>626</v>
      </c>
      <c r="G534" t="s">
        <v>43</v>
      </c>
      <c r="H534" t="s">
        <v>44</v>
      </c>
      <c r="I534" t="s">
        <v>588</v>
      </c>
      <c r="J534" t="s">
        <v>34</v>
      </c>
      <c r="K534" t="s">
        <v>35</v>
      </c>
      <c r="L534" t="s">
        <v>36</v>
      </c>
      <c r="M534" t="s">
        <v>37</v>
      </c>
      <c r="N534" s="8">
        <v>1200</v>
      </c>
      <c r="O534">
        <v>901</v>
      </c>
      <c r="P534">
        <v>600</v>
      </c>
      <c r="Q534">
        <v>348</v>
      </c>
      <c r="R534" s="4">
        <v>1955.39</v>
      </c>
      <c r="S534" t="str">
        <f t="shared" si="40"/>
        <v>PY: Media Crit.</v>
      </c>
      <c r="T534">
        <f t="shared" si="41"/>
        <v>0</v>
      </c>
      <c r="U534">
        <f t="shared" si="42"/>
        <v>1</v>
      </c>
      <c r="V534">
        <f t="shared" si="43"/>
        <v>0</v>
      </c>
      <c r="W534">
        <f t="shared" si="44"/>
        <v>0</v>
      </c>
      <c r="X534">
        <v>1</v>
      </c>
      <c r="Y534" s="2">
        <v>45768</v>
      </c>
      <c r="Z534" s="3" t="s">
        <v>38</v>
      </c>
      <c r="AA534" t="s">
        <v>39</v>
      </c>
      <c r="AB534" t="s">
        <v>76</v>
      </c>
      <c r="AC534" s="5" t="s">
        <v>77</v>
      </c>
      <c r="AD534" t="s">
        <v>589</v>
      </c>
    </row>
    <row r="535" spans="2:30">
      <c r="B535">
        <v>6</v>
      </c>
      <c r="C535">
        <v>1020</v>
      </c>
      <c r="D535" t="s">
        <v>29</v>
      </c>
      <c r="E535">
        <v>14062058</v>
      </c>
      <c r="F535" t="s">
        <v>627</v>
      </c>
      <c r="G535" t="s">
        <v>43</v>
      </c>
      <c r="H535" t="s">
        <v>60</v>
      </c>
      <c r="I535" t="s">
        <v>588</v>
      </c>
      <c r="J535" t="s">
        <v>45</v>
      </c>
      <c r="K535" t="s">
        <v>35</v>
      </c>
      <c r="L535" t="s">
        <v>36</v>
      </c>
      <c r="M535" t="s">
        <v>37</v>
      </c>
      <c r="N535">
        <v>20</v>
      </c>
      <c r="O535">
        <v>11</v>
      </c>
      <c r="P535">
        <v>1</v>
      </c>
      <c r="Q535">
        <v>18</v>
      </c>
      <c r="R535">
        <v>744.79</v>
      </c>
      <c r="S535" t="str">
        <f t="shared" si="40"/>
        <v>PY: Media Crit.</v>
      </c>
      <c r="T535">
        <f t="shared" si="41"/>
        <v>0</v>
      </c>
      <c r="U535">
        <f t="shared" si="42"/>
        <v>0</v>
      </c>
      <c r="V535">
        <f t="shared" si="43"/>
        <v>1</v>
      </c>
      <c r="W535">
        <f t="shared" si="44"/>
        <v>0</v>
      </c>
      <c r="X535">
        <v>1</v>
      </c>
      <c r="Y535" s="2">
        <v>45768</v>
      </c>
      <c r="Z535" s="3" t="s">
        <v>38</v>
      </c>
      <c r="AA535" t="s">
        <v>39</v>
      </c>
      <c r="AB535" t="s">
        <v>40</v>
      </c>
      <c r="AC535" t="s">
        <v>40</v>
      </c>
      <c r="AD535" t="s">
        <v>589</v>
      </c>
    </row>
    <row r="536" spans="2:30">
      <c r="B536">
        <v>6</v>
      </c>
      <c r="C536">
        <v>1020</v>
      </c>
      <c r="D536" t="s">
        <v>29</v>
      </c>
      <c r="E536">
        <v>10040486</v>
      </c>
      <c r="F536" t="s">
        <v>628</v>
      </c>
      <c r="G536" t="s">
        <v>52</v>
      </c>
      <c r="H536" t="s">
        <v>32</v>
      </c>
      <c r="I536" t="s">
        <v>588</v>
      </c>
      <c r="J536" t="s">
        <v>34</v>
      </c>
      <c r="K536" t="s">
        <v>35</v>
      </c>
      <c r="L536" t="s">
        <v>36</v>
      </c>
      <c r="M536" t="s">
        <v>88</v>
      </c>
      <c r="N536">
        <v>700</v>
      </c>
      <c r="O536">
        <v>301</v>
      </c>
      <c r="P536">
        <v>175</v>
      </c>
      <c r="Q536">
        <v>500</v>
      </c>
      <c r="R536">
        <v>40</v>
      </c>
      <c r="S536" t="str">
        <f t="shared" si="40"/>
        <v>PZ: Alta Crit.</v>
      </c>
      <c r="T536">
        <f t="shared" si="41"/>
        <v>0</v>
      </c>
      <c r="U536">
        <f t="shared" si="42"/>
        <v>0</v>
      </c>
      <c r="V536">
        <f t="shared" si="43"/>
        <v>1</v>
      </c>
      <c r="W536">
        <f t="shared" si="44"/>
        <v>0</v>
      </c>
      <c r="X536">
        <v>1</v>
      </c>
      <c r="Y536" s="2">
        <v>45768</v>
      </c>
      <c r="Z536" s="3" t="s">
        <v>89</v>
      </c>
      <c r="AA536" t="s">
        <v>39</v>
      </c>
      <c r="AB536" t="s">
        <v>40</v>
      </c>
      <c r="AC536" t="s">
        <v>40</v>
      </c>
      <c r="AD536" t="s">
        <v>589</v>
      </c>
    </row>
    <row r="537" spans="2:30">
      <c r="B537">
        <v>6</v>
      </c>
      <c r="C537">
        <v>1020</v>
      </c>
      <c r="D537" t="s">
        <v>29</v>
      </c>
      <c r="E537">
        <v>10213024</v>
      </c>
      <c r="F537" t="s">
        <v>629</v>
      </c>
      <c r="G537" t="s">
        <v>43</v>
      </c>
      <c r="H537" t="s">
        <v>32</v>
      </c>
      <c r="I537" t="s">
        <v>588</v>
      </c>
      <c r="J537" t="s">
        <v>45</v>
      </c>
      <c r="K537" t="s">
        <v>35</v>
      </c>
      <c r="L537" t="s">
        <v>36</v>
      </c>
      <c r="M537" t="s">
        <v>46</v>
      </c>
      <c r="N537">
        <v>10</v>
      </c>
      <c r="O537">
        <v>6</v>
      </c>
      <c r="P537">
        <v>2</v>
      </c>
      <c r="Q537">
        <v>10</v>
      </c>
      <c r="R537">
        <v>862.4</v>
      </c>
      <c r="S537" t="str">
        <f t="shared" si="40"/>
        <v>PY: Media Crit.</v>
      </c>
      <c r="T537">
        <f t="shared" si="41"/>
        <v>0</v>
      </c>
      <c r="U537">
        <f t="shared" si="42"/>
        <v>0</v>
      </c>
      <c r="V537">
        <f t="shared" si="43"/>
        <v>1</v>
      </c>
      <c r="W537">
        <f t="shared" si="44"/>
        <v>0</v>
      </c>
      <c r="X537">
        <v>1</v>
      </c>
      <c r="Y537" s="2">
        <v>45768</v>
      </c>
      <c r="Z537" s="3" t="s">
        <v>47</v>
      </c>
      <c r="AA537" t="s">
        <v>39</v>
      </c>
      <c r="AB537" t="s">
        <v>40</v>
      </c>
      <c r="AC537" t="s">
        <v>40</v>
      </c>
      <c r="AD537" t="s">
        <v>589</v>
      </c>
    </row>
    <row r="538" spans="2:30">
      <c r="B538">
        <v>6</v>
      </c>
      <c r="C538">
        <v>1020</v>
      </c>
      <c r="D538" t="s">
        <v>29</v>
      </c>
      <c r="E538">
        <v>10045317</v>
      </c>
      <c r="F538" t="s">
        <v>630</v>
      </c>
      <c r="G538" t="s">
        <v>31</v>
      </c>
      <c r="H538" t="s">
        <v>32</v>
      </c>
      <c r="I538" t="s">
        <v>588</v>
      </c>
      <c r="J538" t="s">
        <v>45</v>
      </c>
      <c r="K538" t="s">
        <v>35</v>
      </c>
      <c r="L538" t="s">
        <v>36</v>
      </c>
      <c r="M538" t="s">
        <v>55</v>
      </c>
      <c r="N538">
        <v>50</v>
      </c>
      <c r="O538">
        <v>31</v>
      </c>
      <c r="P538">
        <v>5</v>
      </c>
      <c r="Q538">
        <v>50</v>
      </c>
      <c r="R538">
        <v>472.86</v>
      </c>
      <c r="S538" t="str">
        <f t="shared" si="40"/>
        <v>PX: Baja Crit.</v>
      </c>
      <c r="T538">
        <f t="shared" si="41"/>
        <v>0</v>
      </c>
      <c r="U538">
        <f t="shared" si="42"/>
        <v>0</v>
      </c>
      <c r="V538">
        <f t="shared" si="43"/>
        <v>1</v>
      </c>
      <c r="W538">
        <f t="shared" si="44"/>
        <v>0</v>
      </c>
      <c r="X538">
        <v>1</v>
      </c>
      <c r="Y538" s="2">
        <v>45768</v>
      </c>
      <c r="Z538" s="3" t="s">
        <v>56</v>
      </c>
      <c r="AA538" t="s">
        <v>39</v>
      </c>
      <c r="AB538" t="s">
        <v>40</v>
      </c>
      <c r="AC538" t="s">
        <v>40</v>
      </c>
      <c r="AD538" t="s">
        <v>589</v>
      </c>
    </row>
    <row r="539" spans="2:30">
      <c r="B539">
        <v>6</v>
      </c>
      <c r="C539">
        <v>1020</v>
      </c>
      <c r="D539" t="s">
        <v>29</v>
      </c>
      <c r="E539">
        <v>10599597</v>
      </c>
      <c r="F539" t="s">
        <v>631</v>
      </c>
      <c r="G539" t="s">
        <v>31</v>
      </c>
      <c r="H539" t="s">
        <v>32</v>
      </c>
      <c r="I539" t="s">
        <v>588</v>
      </c>
      <c r="J539" t="s">
        <v>34</v>
      </c>
      <c r="K539" t="s">
        <v>65</v>
      </c>
      <c r="L539" t="s">
        <v>36</v>
      </c>
      <c r="M539" t="s">
        <v>37</v>
      </c>
      <c r="N539">
        <v>28</v>
      </c>
      <c r="O539">
        <v>15</v>
      </c>
      <c r="P539">
        <v>0</v>
      </c>
      <c r="Q539">
        <v>28</v>
      </c>
      <c r="R539">
        <v>195.72</v>
      </c>
      <c r="S539" t="str">
        <f t="shared" si="40"/>
        <v>PX: Baja Crit.</v>
      </c>
      <c r="T539">
        <f t="shared" si="41"/>
        <v>0</v>
      </c>
      <c r="U539">
        <f t="shared" si="42"/>
        <v>0</v>
      </c>
      <c r="V539">
        <f t="shared" si="43"/>
        <v>1</v>
      </c>
      <c r="W539">
        <f t="shared" si="44"/>
        <v>0</v>
      </c>
      <c r="X539">
        <v>1</v>
      </c>
      <c r="Y539" s="2">
        <v>45768</v>
      </c>
      <c r="Z539" s="3" t="s">
        <v>38</v>
      </c>
      <c r="AA539" t="s">
        <v>39</v>
      </c>
      <c r="AB539" t="s">
        <v>40</v>
      </c>
      <c r="AC539" t="s">
        <v>40</v>
      </c>
      <c r="AD539" t="s">
        <v>589</v>
      </c>
    </row>
    <row r="540" spans="2:30">
      <c r="B540">
        <v>6</v>
      </c>
      <c r="C540">
        <v>1020</v>
      </c>
      <c r="D540" t="s">
        <v>29</v>
      </c>
      <c r="E540">
        <v>10043940</v>
      </c>
      <c r="F540" t="s">
        <v>632</v>
      </c>
      <c r="G540" t="s">
        <v>31</v>
      </c>
      <c r="H540" t="s">
        <v>32</v>
      </c>
      <c r="I540" t="s">
        <v>588</v>
      </c>
      <c r="J540" t="s">
        <v>45</v>
      </c>
      <c r="K540" t="s">
        <v>35</v>
      </c>
      <c r="L540" t="s">
        <v>36</v>
      </c>
      <c r="M540" t="s">
        <v>46</v>
      </c>
      <c r="N540">
        <v>120</v>
      </c>
      <c r="O540">
        <v>81</v>
      </c>
      <c r="P540">
        <v>30</v>
      </c>
      <c r="Q540">
        <v>170</v>
      </c>
      <c r="R540" s="4">
        <v>1802.56</v>
      </c>
      <c r="S540" t="str">
        <f t="shared" si="40"/>
        <v>PX: Baja Crit.</v>
      </c>
      <c r="T540">
        <f t="shared" si="41"/>
        <v>0</v>
      </c>
      <c r="U540">
        <f t="shared" si="42"/>
        <v>0</v>
      </c>
      <c r="V540">
        <f t="shared" si="43"/>
        <v>0</v>
      </c>
      <c r="W540">
        <f t="shared" si="44"/>
        <v>1</v>
      </c>
      <c r="X540">
        <v>1</v>
      </c>
      <c r="Y540" s="2">
        <v>45768</v>
      </c>
      <c r="Z540" s="3" t="s">
        <v>47</v>
      </c>
      <c r="AA540" t="s">
        <v>39</v>
      </c>
      <c r="AB540" t="s">
        <v>40</v>
      </c>
      <c r="AC540" t="s">
        <v>40</v>
      </c>
      <c r="AD540" t="s">
        <v>589</v>
      </c>
    </row>
    <row r="541" spans="2:30">
      <c r="B541">
        <v>6</v>
      </c>
      <c r="C541">
        <v>1020</v>
      </c>
      <c r="D541" t="s">
        <v>29</v>
      </c>
      <c r="E541">
        <v>10049307</v>
      </c>
      <c r="F541" t="s">
        <v>633</v>
      </c>
      <c r="G541" t="s">
        <v>31</v>
      </c>
      <c r="H541" t="s">
        <v>32</v>
      </c>
      <c r="I541" t="s">
        <v>588</v>
      </c>
      <c r="J541" t="s">
        <v>45</v>
      </c>
      <c r="K541" t="s">
        <v>35</v>
      </c>
      <c r="L541" t="s">
        <v>36</v>
      </c>
      <c r="M541" t="s">
        <v>88</v>
      </c>
      <c r="N541">
        <v>30</v>
      </c>
      <c r="O541">
        <v>15</v>
      </c>
      <c r="P541">
        <v>7</v>
      </c>
      <c r="Q541">
        <v>30</v>
      </c>
      <c r="R541">
        <v>288.05</v>
      </c>
      <c r="S541" t="str">
        <f t="shared" si="40"/>
        <v>PX: Baja Crit.</v>
      </c>
      <c r="T541">
        <f t="shared" si="41"/>
        <v>0</v>
      </c>
      <c r="U541">
        <f t="shared" si="42"/>
        <v>0</v>
      </c>
      <c r="V541">
        <f t="shared" si="43"/>
        <v>1</v>
      </c>
      <c r="W541">
        <f t="shared" si="44"/>
        <v>0</v>
      </c>
      <c r="X541">
        <v>1</v>
      </c>
      <c r="Y541" s="2">
        <v>45768</v>
      </c>
      <c r="Z541" s="3" t="s">
        <v>89</v>
      </c>
      <c r="AA541" t="s">
        <v>39</v>
      </c>
      <c r="AB541" t="s">
        <v>40</v>
      </c>
      <c r="AC541" t="s">
        <v>40</v>
      </c>
      <c r="AD541" t="s">
        <v>589</v>
      </c>
    </row>
    <row r="542" spans="2:30">
      <c r="B542">
        <v>6</v>
      </c>
      <c r="C542">
        <v>1020</v>
      </c>
      <c r="D542" t="s">
        <v>29</v>
      </c>
      <c r="E542">
        <v>10293917</v>
      </c>
      <c r="F542" t="s">
        <v>634</v>
      </c>
      <c r="G542" t="s">
        <v>43</v>
      </c>
      <c r="H542" t="s">
        <v>32</v>
      </c>
      <c r="I542" t="s">
        <v>588</v>
      </c>
      <c r="J542" t="s">
        <v>45</v>
      </c>
      <c r="K542" t="s">
        <v>35</v>
      </c>
      <c r="L542" t="s">
        <v>36</v>
      </c>
      <c r="M542" t="s">
        <v>46</v>
      </c>
      <c r="N542">
        <v>10</v>
      </c>
      <c r="O542">
        <v>6</v>
      </c>
      <c r="P542">
        <v>1</v>
      </c>
      <c r="Q542">
        <v>0</v>
      </c>
      <c r="R542">
        <v>0</v>
      </c>
      <c r="S542" t="str">
        <f t="shared" si="40"/>
        <v>PY: Media Crit.</v>
      </c>
      <c r="T542">
        <f t="shared" si="41"/>
        <v>1</v>
      </c>
      <c r="U542">
        <f t="shared" si="42"/>
        <v>0</v>
      </c>
      <c r="V542">
        <f t="shared" si="43"/>
        <v>0</v>
      </c>
      <c r="W542">
        <f t="shared" si="44"/>
        <v>0</v>
      </c>
      <c r="X542">
        <v>1</v>
      </c>
      <c r="Y542" s="2">
        <v>45768</v>
      </c>
      <c r="Z542" s="3" t="s">
        <v>47</v>
      </c>
      <c r="AA542" t="s">
        <v>39</v>
      </c>
      <c r="AB542" t="s">
        <v>76</v>
      </c>
      <c r="AC542" s="5" t="s">
        <v>77</v>
      </c>
      <c r="AD542" t="s">
        <v>589</v>
      </c>
    </row>
    <row r="543" spans="2:30">
      <c r="B543">
        <v>6</v>
      </c>
      <c r="C543">
        <v>1020</v>
      </c>
      <c r="D543" t="s">
        <v>29</v>
      </c>
      <c r="E543">
        <v>10728177</v>
      </c>
      <c r="F543" t="s">
        <v>635</v>
      </c>
      <c r="G543" t="s">
        <v>43</v>
      </c>
      <c r="H543" t="s">
        <v>32</v>
      </c>
      <c r="I543" t="s">
        <v>588</v>
      </c>
      <c r="J543" t="s">
        <v>45</v>
      </c>
      <c r="K543" t="s">
        <v>35</v>
      </c>
      <c r="L543" t="s">
        <v>36</v>
      </c>
      <c r="M543" t="s">
        <v>117</v>
      </c>
      <c r="N543">
        <v>10</v>
      </c>
      <c r="O543">
        <v>6</v>
      </c>
      <c r="P543">
        <v>1</v>
      </c>
      <c r="Q543">
        <v>8</v>
      </c>
      <c r="R543" s="4">
        <v>2968.93</v>
      </c>
      <c r="S543" t="str">
        <f t="shared" si="40"/>
        <v>PY: Media Crit.</v>
      </c>
      <c r="T543">
        <f t="shared" si="41"/>
        <v>0</v>
      </c>
      <c r="U543">
        <f t="shared" si="42"/>
        <v>0</v>
      </c>
      <c r="V543">
        <f t="shared" si="43"/>
        <v>1</v>
      </c>
      <c r="W543">
        <f t="shared" si="44"/>
        <v>0</v>
      </c>
      <c r="X543">
        <v>1</v>
      </c>
      <c r="Y543" s="2">
        <v>45768</v>
      </c>
      <c r="Z543" s="3" t="s">
        <v>118</v>
      </c>
      <c r="AA543" t="s">
        <v>39</v>
      </c>
      <c r="AB543" t="s">
        <v>40</v>
      </c>
      <c r="AC543" t="s">
        <v>40</v>
      </c>
      <c r="AD543" t="s">
        <v>589</v>
      </c>
    </row>
    <row r="544" spans="2:30">
      <c r="B544">
        <v>6</v>
      </c>
      <c r="C544">
        <v>1020</v>
      </c>
      <c r="D544" t="s">
        <v>29</v>
      </c>
      <c r="E544">
        <v>10728178</v>
      </c>
      <c r="F544" t="s">
        <v>636</v>
      </c>
      <c r="G544" t="s">
        <v>43</v>
      </c>
      <c r="H544" t="s">
        <v>32</v>
      </c>
      <c r="I544" t="s">
        <v>588</v>
      </c>
      <c r="J544" t="s">
        <v>45</v>
      </c>
      <c r="K544" t="s">
        <v>35</v>
      </c>
      <c r="L544" t="s">
        <v>36</v>
      </c>
      <c r="M544" t="s">
        <v>117</v>
      </c>
      <c r="N544">
        <v>10</v>
      </c>
      <c r="O544">
        <v>6</v>
      </c>
      <c r="P544">
        <v>1</v>
      </c>
      <c r="Q544">
        <v>8</v>
      </c>
      <c r="R544" s="4">
        <v>2445.5300000000002</v>
      </c>
      <c r="S544" t="str">
        <f t="shared" si="40"/>
        <v>PY: Media Crit.</v>
      </c>
      <c r="T544">
        <f t="shared" si="41"/>
        <v>0</v>
      </c>
      <c r="U544">
        <f t="shared" si="42"/>
        <v>0</v>
      </c>
      <c r="V544">
        <f t="shared" si="43"/>
        <v>1</v>
      </c>
      <c r="W544">
        <f t="shared" si="44"/>
        <v>0</v>
      </c>
      <c r="X544">
        <v>1</v>
      </c>
      <c r="Y544" s="2">
        <v>45768</v>
      </c>
      <c r="Z544" s="3" t="s">
        <v>118</v>
      </c>
      <c r="AA544" t="s">
        <v>39</v>
      </c>
      <c r="AB544" t="s">
        <v>40</v>
      </c>
      <c r="AC544" t="s">
        <v>40</v>
      </c>
      <c r="AD544" t="s">
        <v>589</v>
      </c>
    </row>
    <row r="545" spans="2:30">
      <c r="B545">
        <v>6</v>
      </c>
      <c r="C545">
        <v>1020</v>
      </c>
      <c r="D545" t="s">
        <v>29</v>
      </c>
      <c r="E545">
        <v>10056291</v>
      </c>
      <c r="F545" t="s">
        <v>637</v>
      </c>
      <c r="G545" t="s">
        <v>43</v>
      </c>
      <c r="H545" t="s">
        <v>32</v>
      </c>
      <c r="I545" t="s">
        <v>588</v>
      </c>
      <c r="J545" t="s">
        <v>45</v>
      </c>
      <c r="K545" t="s">
        <v>35</v>
      </c>
      <c r="L545" t="s">
        <v>36</v>
      </c>
      <c r="M545" t="s">
        <v>46</v>
      </c>
      <c r="N545">
        <v>16</v>
      </c>
      <c r="O545">
        <v>9</v>
      </c>
      <c r="P545">
        <v>5</v>
      </c>
      <c r="Q545">
        <v>16</v>
      </c>
      <c r="R545" s="4">
        <v>1809.22</v>
      </c>
      <c r="S545" t="str">
        <f t="shared" si="40"/>
        <v>PY: Media Crit.</v>
      </c>
      <c r="T545">
        <f t="shared" si="41"/>
        <v>0</v>
      </c>
      <c r="U545">
        <f t="shared" si="42"/>
        <v>0</v>
      </c>
      <c r="V545">
        <f t="shared" si="43"/>
        <v>1</v>
      </c>
      <c r="W545">
        <f t="shared" si="44"/>
        <v>0</v>
      </c>
      <c r="X545">
        <v>1</v>
      </c>
      <c r="Y545" s="2">
        <v>45768</v>
      </c>
      <c r="Z545" s="3" t="s">
        <v>47</v>
      </c>
      <c r="AA545" t="s">
        <v>39</v>
      </c>
      <c r="AB545" t="s">
        <v>40</v>
      </c>
      <c r="AC545" t="s">
        <v>40</v>
      </c>
      <c r="AD545" t="s">
        <v>589</v>
      </c>
    </row>
    <row r="546" spans="2:30">
      <c r="B546">
        <v>6</v>
      </c>
      <c r="C546">
        <v>1020</v>
      </c>
      <c r="D546" t="s">
        <v>29</v>
      </c>
      <c r="E546">
        <v>10044352</v>
      </c>
      <c r="F546" t="s">
        <v>638</v>
      </c>
      <c r="G546" t="s">
        <v>43</v>
      </c>
      <c r="H546" t="s">
        <v>60</v>
      </c>
      <c r="I546" t="s">
        <v>588</v>
      </c>
      <c r="J546" t="s">
        <v>34</v>
      </c>
      <c r="K546" t="s">
        <v>35</v>
      </c>
      <c r="L546" t="s">
        <v>36</v>
      </c>
      <c r="M546" t="s">
        <v>46</v>
      </c>
      <c r="N546">
        <v>16</v>
      </c>
      <c r="O546">
        <v>11</v>
      </c>
      <c r="P546">
        <v>3</v>
      </c>
      <c r="Q546">
        <v>10</v>
      </c>
      <c r="R546" s="4">
        <v>2404.4</v>
      </c>
      <c r="S546" t="str">
        <f t="shared" si="40"/>
        <v>PY: Media Crit.</v>
      </c>
      <c r="T546">
        <f t="shared" si="41"/>
        <v>0</v>
      </c>
      <c r="U546">
        <f t="shared" si="42"/>
        <v>0</v>
      </c>
      <c r="V546">
        <f t="shared" si="43"/>
        <v>1</v>
      </c>
      <c r="W546">
        <f t="shared" si="44"/>
        <v>0</v>
      </c>
      <c r="X546">
        <v>1</v>
      </c>
      <c r="Y546" s="2">
        <v>45768</v>
      </c>
      <c r="Z546" s="3" t="s">
        <v>47</v>
      </c>
      <c r="AA546" t="s">
        <v>39</v>
      </c>
      <c r="AB546" t="s">
        <v>49</v>
      </c>
      <c r="AC546" s="5" t="s">
        <v>50</v>
      </c>
      <c r="AD546" t="s">
        <v>589</v>
      </c>
    </row>
    <row r="547" spans="2:30">
      <c r="B547">
        <v>6</v>
      </c>
      <c r="C547">
        <v>1020</v>
      </c>
      <c r="D547" t="s">
        <v>29</v>
      </c>
      <c r="E547">
        <v>10044354</v>
      </c>
      <c r="F547" t="s">
        <v>639</v>
      </c>
      <c r="G547" t="s">
        <v>43</v>
      </c>
      <c r="H547" t="s">
        <v>32</v>
      </c>
      <c r="I547" t="s">
        <v>588</v>
      </c>
      <c r="J547" t="s">
        <v>34</v>
      </c>
      <c r="K547" t="s">
        <v>35</v>
      </c>
      <c r="L547" t="s">
        <v>36</v>
      </c>
      <c r="M547" t="s">
        <v>46</v>
      </c>
      <c r="N547">
        <v>16</v>
      </c>
      <c r="O547">
        <v>11</v>
      </c>
      <c r="P547">
        <v>1</v>
      </c>
      <c r="Q547">
        <v>11</v>
      </c>
      <c r="R547" s="4">
        <v>2445.94</v>
      </c>
      <c r="S547" t="str">
        <f t="shared" si="40"/>
        <v>PY: Media Crit.</v>
      </c>
      <c r="T547">
        <f t="shared" si="41"/>
        <v>0</v>
      </c>
      <c r="U547">
        <f t="shared" si="42"/>
        <v>0</v>
      </c>
      <c r="V547">
        <f t="shared" si="43"/>
        <v>1</v>
      </c>
      <c r="W547">
        <f t="shared" si="44"/>
        <v>0</v>
      </c>
      <c r="X547">
        <v>1</v>
      </c>
      <c r="Y547" s="2">
        <v>45768</v>
      </c>
      <c r="Z547" s="3" t="s">
        <v>47</v>
      </c>
      <c r="AA547" t="s">
        <v>39</v>
      </c>
      <c r="AB547" t="s">
        <v>40</v>
      </c>
      <c r="AC547" t="s">
        <v>40</v>
      </c>
      <c r="AD547" t="s">
        <v>589</v>
      </c>
    </row>
    <row r="548" spans="2:30">
      <c r="B548">
        <v>6</v>
      </c>
      <c r="C548">
        <v>1020</v>
      </c>
      <c r="D548" t="s">
        <v>29</v>
      </c>
      <c r="E548">
        <v>10601550</v>
      </c>
      <c r="F548" t="s">
        <v>640</v>
      </c>
      <c r="G548" t="s">
        <v>43</v>
      </c>
      <c r="H548" t="s">
        <v>32</v>
      </c>
      <c r="I548" t="s">
        <v>588</v>
      </c>
      <c r="J548" t="s">
        <v>45</v>
      </c>
      <c r="K548" t="s">
        <v>35</v>
      </c>
      <c r="L548" t="s">
        <v>36</v>
      </c>
      <c r="M548" t="s">
        <v>46</v>
      </c>
      <c r="N548">
        <v>20</v>
      </c>
      <c r="O548">
        <v>11</v>
      </c>
      <c r="P548">
        <v>5</v>
      </c>
      <c r="Q548">
        <v>12</v>
      </c>
      <c r="R548">
        <v>418.84</v>
      </c>
      <c r="S548" t="str">
        <f t="shared" si="40"/>
        <v>PY: Media Crit.</v>
      </c>
      <c r="T548">
        <f t="shared" si="41"/>
        <v>0</v>
      </c>
      <c r="U548">
        <f t="shared" si="42"/>
        <v>0</v>
      </c>
      <c r="V548">
        <f t="shared" si="43"/>
        <v>1</v>
      </c>
      <c r="W548">
        <f t="shared" si="44"/>
        <v>0</v>
      </c>
      <c r="X548">
        <v>1</v>
      </c>
      <c r="Y548" s="2">
        <v>45768</v>
      </c>
      <c r="Z548" s="3" t="s">
        <v>47</v>
      </c>
      <c r="AA548" t="s">
        <v>39</v>
      </c>
      <c r="AB548" t="s">
        <v>40</v>
      </c>
      <c r="AC548" t="s">
        <v>40</v>
      </c>
      <c r="AD548" t="s">
        <v>589</v>
      </c>
    </row>
    <row r="549" spans="2:30">
      <c r="B549">
        <v>6</v>
      </c>
      <c r="C549">
        <v>1020</v>
      </c>
      <c r="D549" t="s">
        <v>29</v>
      </c>
      <c r="E549">
        <v>14055437</v>
      </c>
      <c r="F549" t="s">
        <v>641</v>
      </c>
      <c r="G549" t="s">
        <v>52</v>
      </c>
      <c r="H549" t="s">
        <v>32</v>
      </c>
      <c r="I549" t="s">
        <v>588</v>
      </c>
      <c r="J549" t="s">
        <v>45</v>
      </c>
      <c r="K549" t="s">
        <v>35</v>
      </c>
      <c r="L549" t="s">
        <v>36</v>
      </c>
      <c r="M549" t="s">
        <v>88</v>
      </c>
      <c r="N549">
        <v>6</v>
      </c>
      <c r="O549">
        <v>4</v>
      </c>
      <c r="P549">
        <v>2</v>
      </c>
      <c r="Q549">
        <v>0</v>
      </c>
      <c r="R549">
        <v>0</v>
      </c>
      <c r="S549" t="str">
        <f t="shared" si="40"/>
        <v>PZ: Alta Crit.</v>
      </c>
      <c r="T549">
        <f t="shared" si="41"/>
        <v>1</v>
      </c>
      <c r="U549">
        <f t="shared" si="42"/>
        <v>0</v>
      </c>
      <c r="V549">
        <f t="shared" si="43"/>
        <v>0</v>
      </c>
      <c r="W549">
        <f t="shared" si="44"/>
        <v>0</v>
      </c>
      <c r="X549">
        <v>1</v>
      </c>
      <c r="Y549" s="2">
        <v>45768</v>
      </c>
      <c r="Z549" s="3" t="s">
        <v>89</v>
      </c>
      <c r="AA549" t="s">
        <v>39</v>
      </c>
      <c r="AB549" t="s">
        <v>76</v>
      </c>
      <c r="AC549" s="5" t="s">
        <v>77</v>
      </c>
      <c r="AD549" t="s">
        <v>589</v>
      </c>
    </row>
    <row r="550" spans="2:30">
      <c r="B550">
        <v>6</v>
      </c>
      <c r="C550">
        <v>1020</v>
      </c>
      <c r="D550" t="s">
        <v>29</v>
      </c>
      <c r="E550">
        <v>10013154</v>
      </c>
      <c r="F550" t="s">
        <v>642</v>
      </c>
      <c r="G550" t="s">
        <v>43</v>
      </c>
      <c r="H550" t="s">
        <v>44</v>
      </c>
      <c r="I550" t="s">
        <v>588</v>
      </c>
      <c r="J550" t="s">
        <v>34</v>
      </c>
      <c r="K550" t="s">
        <v>252</v>
      </c>
      <c r="L550" t="s">
        <v>36</v>
      </c>
      <c r="M550" t="s">
        <v>37</v>
      </c>
      <c r="N550">
        <v>60</v>
      </c>
      <c r="O550">
        <v>31</v>
      </c>
      <c r="P550">
        <v>20</v>
      </c>
      <c r="Q550">
        <v>30</v>
      </c>
      <c r="R550" s="4">
        <v>1751.69</v>
      </c>
      <c r="S550" t="str">
        <f t="shared" si="40"/>
        <v>PY: Media Crit.</v>
      </c>
      <c r="T550">
        <f t="shared" si="41"/>
        <v>0</v>
      </c>
      <c r="U550">
        <f t="shared" si="42"/>
        <v>0</v>
      </c>
      <c r="V550">
        <f t="shared" si="43"/>
        <v>1</v>
      </c>
      <c r="W550">
        <f t="shared" si="44"/>
        <v>0</v>
      </c>
      <c r="X550">
        <v>1</v>
      </c>
      <c r="Y550" s="2">
        <v>45768</v>
      </c>
      <c r="Z550" s="3" t="s">
        <v>38</v>
      </c>
      <c r="AA550" t="s">
        <v>39</v>
      </c>
      <c r="AB550" t="s">
        <v>76</v>
      </c>
      <c r="AC550" s="5" t="s">
        <v>77</v>
      </c>
      <c r="AD550" t="s">
        <v>589</v>
      </c>
    </row>
    <row r="551" spans="2:30">
      <c r="B551">
        <v>6</v>
      </c>
      <c r="C551">
        <v>1020</v>
      </c>
      <c r="D551" t="s">
        <v>29</v>
      </c>
      <c r="E551">
        <v>14094435</v>
      </c>
      <c r="F551" t="s">
        <v>643</v>
      </c>
      <c r="G551" t="s">
        <v>31</v>
      </c>
      <c r="H551" t="s">
        <v>44</v>
      </c>
      <c r="I551" t="s">
        <v>588</v>
      </c>
      <c r="J551" t="s">
        <v>45</v>
      </c>
      <c r="K551" t="s">
        <v>35</v>
      </c>
      <c r="L551" t="s">
        <v>36</v>
      </c>
      <c r="M551" t="s">
        <v>46</v>
      </c>
      <c r="N551">
        <v>20</v>
      </c>
      <c r="O551">
        <v>11</v>
      </c>
      <c r="P551">
        <v>4</v>
      </c>
      <c r="Q551">
        <v>5</v>
      </c>
      <c r="R551">
        <v>470.77</v>
      </c>
      <c r="S551" t="str">
        <f t="shared" si="40"/>
        <v>PX: Baja Crit.</v>
      </c>
      <c r="T551">
        <f t="shared" si="41"/>
        <v>0</v>
      </c>
      <c r="U551">
        <f t="shared" si="42"/>
        <v>0</v>
      </c>
      <c r="V551">
        <f t="shared" si="43"/>
        <v>1</v>
      </c>
      <c r="W551">
        <f t="shared" si="44"/>
        <v>0</v>
      </c>
      <c r="X551">
        <v>1</v>
      </c>
      <c r="Y551" s="2">
        <v>45768</v>
      </c>
      <c r="Z551" s="3" t="s">
        <v>47</v>
      </c>
      <c r="AA551" t="s">
        <v>39</v>
      </c>
      <c r="AB551" t="s">
        <v>76</v>
      </c>
      <c r="AC551" s="5" t="s">
        <v>77</v>
      </c>
      <c r="AD551" t="s">
        <v>589</v>
      </c>
    </row>
    <row r="552" spans="2:30">
      <c r="B552">
        <v>6</v>
      </c>
      <c r="C552">
        <v>1020</v>
      </c>
      <c r="D552" t="s">
        <v>29</v>
      </c>
      <c r="E552">
        <v>10054088</v>
      </c>
      <c r="F552" t="s">
        <v>644</v>
      </c>
      <c r="G552" t="s">
        <v>43</v>
      </c>
      <c r="H552" t="s">
        <v>44</v>
      </c>
      <c r="I552" t="s">
        <v>588</v>
      </c>
      <c r="J552" t="s">
        <v>34</v>
      </c>
      <c r="K552" t="s">
        <v>35</v>
      </c>
      <c r="L552" t="s">
        <v>36</v>
      </c>
      <c r="M552" t="s">
        <v>117</v>
      </c>
      <c r="N552">
        <v>30</v>
      </c>
      <c r="O552">
        <v>16</v>
      </c>
      <c r="P552">
        <v>10</v>
      </c>
      <c r="Q552">
        <v>30</v>
      </c>
      <c r="R552" s="4">
        <v>6524.49</v>
      </c>
      <c r="S552" t="str">
        <f t="shared" si="40"/>
        <v>PY: Media Crit.</v>
      </c>
      <c r="T552">
        <f t="shared" si="41"/>
        <v>0</v>
      </c>
      <c r="U552">
        <f t="shared" si="42"/>
        <v>0</v>
      </c>
      <c r="V552">
        <f t="shared" si="43"/>
        <v>1</v>
      </c>
      <c r="W552">
        <f t="shared" si="44"/>
        <v>0</v>
      </c>
      <c r="X552">
        <v>1</v>
      </c>
      <c r="Y552" s="2">
        <v>45768</v>
      </c>
      <c r="Z552" s="3" t="s">
        <v>118</v>
      </c>
      <c r="AA552" t="s">
        <v>39</v>
      </c>
      <c r="AB552" t="s">
        <v>40</v>
      </c>
      <c r="AC552" t="s">
        <v>40</v>
      </c>
      <c r="AD552" t="s">
        <v>589</v>
      </c>
    </row>
    <row r="553" spans="2:30">
      <c r="B553">
        <v>6</v>
      </c>
      <c r="C553">
        <v>1020</v>
      </c>
      <c r="D553" t="s">
        <v>29</v>
      </c>
      <c r="E553">
        <v>10728179</v>
      </c>
      <c r="F553" t="s">
        <v>645</v>
      </c>
      <c r="G553" t="s">
        <v>31</v>
      </c>
      <c r="H553" t="s">
        <v>32</v>
      </c>
      <c r="I553" t="s">
        <v>588</v>
      </c>
      <c r="J553" t="s">
        <v>45</v>
      </c>
      <c r="K553" t="s">
        <v>35</v>
      </c>
      <c r="L553" t="s">
        <v>36</v>
      </c>
      <c r="M553" t="s">
        <v>117</v>
      </c>
      <c r="N553">
        <v>10</v>
      </c>
      <c r="O553">
        <v>7</v>
      </c>
      <c r="P553">
        <v>1</v>
      </c>
      <c r="Q553">
        <v>8</v>
      </c>
      <c r="R553" s="4">
        <v>2392.83</v>
      </c>
      <c r="S553" t="str">
        <f t="shared" si="40"/>
        <v>PX: Baja Crit.</v>
      </c>
      <c r="T553">
        <f t="shared" si="41"/>
        <v>0</v>
      </c>
      <c r="U553">
        <f t="shared" si="42"/>
        <v>0</v>
      </c>
      <c r="V553">
        <f t="shared" si="43"/>
        <v>1</v>
      </c>
      <c r="W553">
        <f t="shared" si="44"/>
        <v>0</v>
      </c>
      <c r="X553">
        <v>1</v>
      </c>
      <c r="Y553" s="2">
        <v>45768</v>
      </c>
      <c r="Z553" s="3" t="s">
        <v>118</v>
      </c>
      <c r="AA553" t="s">
        <v>39</v>
      </c>
      <c r="AB553" t="s">
        <v>40</v>
      </c>
      <c r="AC553" t="s">
        <v>40</v>
      </c>
      <c r="AD553" t="s">
        <v>589</v>
      </c>
    </row>
    <row r="554" spans="2:30">
      <c r="B554">
        <v>6</v>
      </c>
      <c r="C554">
        <v>1020</v>
      </c>
      <c r="D554" t="s">
        <v>29</v>
      </c>
      <c r="E554">
        <v>10046842</v>
      </c>
      <c r="F554" t="s">
        <v>646</v>
      </c>
      <c r="G554" t="s">
        <v>43</v>
      </c>
      <c r="H554" t="s">
        <v>32</v>
      </c>
      <c r="I554" t="s">
        <v>588</v>
      </c>
      <c r="J554" t="s">
        <v>34</v>
      </c>
      <c r="K554" t="s">
        <v>35</v>
      </c>
      <c r="L554" t="s">
        <v>36</v>
      </c>
      <c r="M554" t="s">
        <v>55</v>
      </c>
      <c r="N554">
        <v>20</v>
      </c>
      <c r="O554">
        <v>12</v>
      </c>
      <c r="P554">
        <v>8</v>
      </c>
      <c r="Q554">
        <v>20</v>
      </c>
      <c r="R554" s="4">
        <v>2679.87</v>
      </c>
      <c r="S554" t="str">
        <f t="shared" si="40"/>
        <v>PY: Media Crit.</v>
      </c>
      <c r="T554">
        <f t="shared" si="41"/>
        <v>0</v>
      </c>
      <c r="U554">
        <f t="shared" si="42"/>
        <v>0</v>
      </c>
      <c r="V554">
        <f t="shared" si="43"/>
        <v>1</v>
      </c>
      <c r="W554">
        <f t="shared" si="44"/>
        <v>0</v>
      </c>
      <c r="X554">
        <v>1</v>
      </c>
      <c r="Y554" s="2">
        <v>45768</v>
      </c>
      <c r="Z554" s="3" t="s">
        <v>56</v>
      </c>
      <c r="AA554" t="s">
        <v>39</v>
      </c>
      <c r="AB554" t="s">
        <v>40</v>
      </c>
      <c r="AC554" t="s">
        <v>40</v>
      </c>
      <c r="AD554" t="s">
        <v>589</v>
      </c>
    </row>
    <row r="555" spans="2:30">
      <c r="B555">
        <v>6</v>
      </c>
      <c r="C555">
        <v>1020</v>
      </c>
      <c r="D555" t="s">
        <v>29</v>
      </c>
      <c r="E555">
        <v>10050667</v>
      </c>
      <c r="F555" t="s">
        <v>647</v>
      </c>
      <c r="G555" t="s">
        <v>43</v>
      </c>
      <c r="H555" t="s">
        <v>32</v>
      </c>
      <c r="I555" t="s">
        <v>588</v>
      </c>
      <c r="J555" t="s">
        <v>45</v>
      </c>
      <c r="K555" t="s">
        <v>35</v>
      </c>
      <c r="L555" t="s">
        <v>36</v>
      </c>
      <c r="M555" t="s">
        <v>37</v>
      </c>
      <c r="N555">
        <v>20</v>
      </c>
      <c r="O555">
        <v>11</v>
      </c>
      <c r="P555">
        <v>5</v>
      </c>
      <c r="Q555">
        <v>12</v>
      </c>
      <c r="R555" s="4">
        <v>3148.32</v>
      </c>
      <c r="S555" t="str">
        <f t="shared" si="40"/>
        <v>PY: Media Crit.</v>
      </c>
      <c r="T555">
        <f t="shared" si="41"/>
        <v>0</v>
      </c>
      <c r="U555">
        <f t="shared" si="42"/>
        <v>0</v>
      </c>
      <c r="V555">
        <f t="shared" si="43"/>
        <v>1</v>
      </c>
      <c r="W555">
        <f t="shared" si="44"/>
        <v>0</v>
      </c>
      <c r="X555">
        <v>1</v>
      </c>
      <c r="Y555" s="2">
        <v>45768</v>
      </c>
      <c r="Z555" s="3" t="s">
        <v>38</v>
      </c>
      <c r="AA555" t="s">
        <v>39</v>
      </c>
      <c r="AB555" t="s">
        <v>40</v>
      </c>
      <c r="AC555" t="s">
        <v>40</v>
      </c>
      <c r="AD555" t="s">
        <v>589</v>
      </c>
    </row>
    <row r="556" spans="2:30">
      <c r="B556">
        <v>6</v>
      </c>
      <c r="C556">
        <v>1020</v>
      </c>
      <c r="D556" t="s">
        <v>29</v>
      </c>
      <c r="E556">
        <v>10050684</v>
      </c>
      <c r="F556" t="s">
        <v>648</v>
      </c>
      <c r="G556" t="s">
        <v>31</v>
      </c>
      <c r="H556" t="s">
        <v>32</v>
      </c>
      <c r="I556" t="s">
        <v>588</v>
      </c>
      <c r="J556" t="s">
        <v>34</v>
      </c>
      <c r="K556" t="s">
        <v>35</v>
      </c>
      <c r="L556" t="s">
        <v>36</v>
      </c>
      <c r="M556" t="s">
        <v>55</v>
      </c>
      <c r="N556">
        <v>60</v>
      </c>
      <c r="O556">
        <v>36</v>
      </c>
      <c r="P556">
        <v>10</v>
      </c>
      <c r="Q556">
        <v>60</v>
      </c>
      <c r="R556">
        <v>26.53</v>
      </c>
      <c r="S556" t="str">
        <f t="shared" si="40"/>
        <v>PX: Baja Crit.</v>
      </c>
      <c r="T556">
        <f t="shared" si="41"/>
        <v>0</v>
      </c>
      <c r="U556">
        <f t="shared" si="42"/>
        <v>0</v>
      </c>
      <c r="V556">
        <f t="shared" si="43"/>
        <v>1</v>
      </c>
      <c r="W556">
        <f t="shared" si="44"/>
        <v>0</v>
      </c>
      <c r="X556">
        <v>1</v>
      </c>
      <c r="Y556" s="2">
        <v>45768</v>
      </c>
      <c r="Z556" s="3" t="s">
        <v>56</v>
      </c>
      <c r="AA556" t="s">
        <v>39</v>
      </c>
      <c r="AB556" t="s">
        <v>40</v>
      </c>
      <c r="AC556" t="s">
        <v>40</v>
      </c>
      <c r="AD556" t="s">
        <v>589</v>
      </c>
    </row>
    <row r="557" spans="2:30">
      <c r="B557">
        <v>6</v>
      </c>
      <c r="C557">
        <v>1020</v>
      </c>
      <c r="D557" t="s">
        <v>29</v>
      </c>
      <c r="E557">
        <v>10056396</v>
      </c>
      <c r="F557" t="s">
        <v>649</v>
      </c>
      <c r="G557" t="s">
        <v>43</v>
      </c>
      <c r="H557" t="s">
        <v>32</v>
      </c>
      <c r="I557" t="s">
        <v>588</v>
      </c>
      <c r="J557" t="s">
        <v>34</v>
      </c>
      <c r="K557" t="s">
        <v>35</v>
      </c>
      <c r="L557" t="s">
        <v>36</v>
      </c>
      <c r="M557" t="s">
        <v>55</v>
      </c>
      <c r="N557">
        <v>300</v>
      </c>
      <c r="O557">
        <v>101</v>
      </c>
      <c r="P557">
        <v>45</v>
      </c>
      <c r="Q557">
        <v>0</v>
      </c>
      <c r="R557">
        <v>0</v>
      </c>
      <c r="S557" t="str">
        <f t="shared" si="40"/>
        <v>PY: Media Crit.</v>
      </c>
      <c r="T557">
        <f t="shared" si="41"/>
        <v>1</v>
      </c>
      <c r="U557">
        <f t="shared" si="42"/>
        <v>0</v>
      </c>
      <c r="V557">
        <f t="shared" si="43"/>
        <v>0</v>
      </c>
      <c r="W557">
        <f t="shared" si="44"/>
        <v>0</v>
      </c>
      <c r="X557">
        <v>1</v>
      </c>
      <c r="Y557" s="2">
        <v>45768</v>
      </c>
      <c r="Z557" s="3" t="s">
        <v>56</v>
      </c>
      <c r="AA557" t="s">
        <v>39</v>
      </c>
      <c r="AB557" t="s">
        <v>49</v>
      </c>
      <c r="AC557" s="5" t="s">
        <v>50</v>
      </c>
      <c r="AD557" t="s">
        <v>589</v>
      </c>
    </row>
    <row r="558" spans="2:30">
      <c r="B558">
        <v>6</v>
      </c>
      <c r="C558">
        <v>1020</v>
      </c>
      <c r="D558" t="s">
        <v>29</v>
      </c>
      <c r="E558">
        <v>10152996</v>
      </c>
      <c r="F558" t="s">
        <v>650</v>
      </c>
      <c r="G558" t="s">
        <v>31</v>
      </c>
      <c r="H558" t="s">
        <v>32</v>
      </c>
      <c r="I558" t="s">
        <v>588</v>
      </c>
      <c r="J558" t="s">
        <v>34</v>
      </c>
      <c r="K558" t="s">
        <v>35</v>
      </c>
      <c r="L558" t="s">
        <v>36</v>
      </c>
      <c r="M558" t="s">
        <v>37</v>
      </c>
      <c r="N558">
        <v>4</v>
      </c>
      <c r="O558">
        <v>3</v>
      </c>
      <c r="P558">
        <v>1</v>
      </c>
      <c r="Q558">
        <v>4</v>
      </c>
      <c r="R558">
        <v>56.32</v>
      </c>
      <c r="S558" t="str">
        <f t="shared" si="40"/>
        <v>PX: Baja Crit.</v>
      </c>
      <c r="T558">
        <f t="shared" si="41"/>
        <v>0</v>
      </c>
      <c r="U558">
        <f t="shared" si="42"/>
        <v>0</v>
      </c>
      <c r="V558">
        <f t="shared" si="43"/>
        <v>1</v>
      </c>
      <c r="W558">
        <f t="shared" si="44"/>
        <v>0</v>
      </c>
      <c r="X558">
        <v>1</v>
      </c>
      <c r="Y558" s="2">
        <v>45768</v>
      </c>
      <c r="Z558" s="3" t="s">
        <v>38</v>
      </c>
      <c r="AA558" t="s">
        <v>39</v>
      </c>
      <c r="AB558" t="s">
        <v>40</v>
      </c>
      <c r="AC558" t="s">
        <v>40</v>
      </c>
      <c r="AD558" t="s">
        <v>589</v>
      </c>
    </row>
    <row r="559" spans="2:30">
      <c r="B559">
        <v>6</v>
      </c>
      <c r="C559">
        <v>1020</v>
      </c>
      <c r="D559" t="s">
        <v>29</v>
      </c>
      <c r="E559">
        <v>10296213</v>
      </c>
      <c r="F559" t="s">
        <v>651</v>
      </c>
      <c r="G559" t="s">
        <v>43</v>
      </c>
      <c r="H559" t="s">
        <v>32</v>
      </c>
      <c r="I559" t="s">
        <v>588</v>
      </c>
      <c r="J559" t="s">
        <v>45</v>
      </c>
      <c r="K559" t="s">
        <v>35</v>
      </c>
      <c r="L559" t="s">
        <v>36</v>
      </c>
      <c r="M559" t="s">
        <v>69</v>
      </c>
      <c r="N559">
        <v>14</v>
      </c>
      <c r="O559">
        <v>7</v>
      </c>
      <c r="P559">
        <v>2</v>
      </c>
      <c r="Q559">
        <v>14</v>
      </c>
      <c r="R559" s="4">
        <v>15062.17</v>
      </c>
      <c r="S559" t="str">
        <f t="shared" si="40"/>
        <v>PY: Media Crit.</v>
      </c>
      <c r="T559">
        <f t="shared" si="41"/>
        <v>0</v>
      </c>
      <c r="U559">
        <f t="shared" si="42"/>
        <v>0</v>
      </c>
      <c r="V559">
        <f t="shared" si="43"/>
        <v>1</v>
      </c>
      <c r="W559">
        <f t="shared" si="44"/>
        <v>0</v>
      </c>
      <c r="X559">
        <v>1</v>
      </c>
      <c r="Y559" s="2">
        <v>45768</v>
      </c>
      <c r="Z559" s="3" t="s">
        <v>70</v>
      </c>
      <c r="AA559" t="s">
        <v>39</v>
      </c>
      <c r="AB559" t="s">
        <v>40</v>
      </c>
      <c r="AC559" t="s">
        <v>40</v>
      </c>
      <c r="AD559" t="s">
        <v>589</v>
      </c>
    </row>
    <row r="560" spans="2:30">
      <c r="B560">
        <v>6</v>
      </c>
      <c r="C560">
        <v>1020</v>
      </c>
      <c r="D560" t="s">
        <v>29</v>
      </c>
      <c r="E560">
        <v>14197243</v>
      </c>
      <c r="F560" t="s">
        <v>652</v>
      </c>
      <c r="G560" t="s">
        <v>31</v>
      </c>
      <c r="H560" t="s">
        <v>44</v>
      </c>
      <c r="I560" t="s">
        <v>588</v>
      </c>
      <c r="J560" t="s">
        <v>45</v>
      </c>
      <c r="K560" t="s">
        <v>260</v>
      </c>
      <c r="L560" t="s">
        <v>36</v>
      </c>
      <c r="M560" t="s">
        <v>55</v>
      </c>
      <c r="N560">
        <v>2</v>
      </c>
      <c r="O560">
        <v>2</v>
      </c>
      <c r="P560">
        <v>0</v>
      </c>
      <c r="Q560">
        <v>0</v>
      </c>
      <c r="R560">
        <v>0</v>
      </c>
      <c r="S560" t="str">
        <f t="shared" si="40"/>
        <v>PX: Baja Crit.</v>
      </c>
      <c r="T560">
        <f t="shared" si="41"/>
        <v>1</v>
      </c>
      <c r="U560">
        <f t="shared" si="42"/>
        <v>0</v>
      </c>
      <c r="V560">
        <f t="shared" si="43"/>
        <v>0</v>
      </c>
      <c r="W560">
        <f t="shared" si="44"/>
        <v>0</v>
      </c>
      <c r="X560">
        <v>1</v>
      </c>
      <c r="Y560" s="2">
        <v>45768</v>
      </c>
      <c r="Z560" s="3" t="s">
        <v>56</v>
      </c>
      <c r="AA560" t="s">
        <v>39</v>
      </c>
      <c r="AB560" t="s">
        <v>49</v>
      </c>
      <c r="AC560" s="5" t="s">
        <v>50</v>
      </c>
      <c r="AD560" t="s">
        <v>589</v>
      </c>
    </row>
    <row r="561" spans="2:30">
      <c r="B561">
        <v>6</v>
      </c>
      <c r="C561">
        <v>1020</v>
      </c>
      <c r="D561" t="s">
        <v>29</v>
      </c>
      <c r="E561">
        <v>10044355</v>
      </c>
      <c r="F561" t="s">
        <v>653</v>
      </c>
      <c r="G561" t="s">
        <v>43</v>
      </c>
      <c r="H561" t="s">
        <v>32</v>
      </c>
      <c r="I561" t="s">
        <v>588</v>
      </c>
      <c r="J561" t="s">
        <v>34</v>
      </c>
      <c r="K561" t="s">
        <v>35</v>
      </c>
      <c r="L561" t="s">
        <v>36</v>
      </c>
      <c r="M561" t="s">
        <v>46</v>
      </c>
      <c r="N561">
        <v>8</v>
      </c>
      <c r="O561">
        <v>5</v>
      </c>
      <c r="P561">
        <v>2</v>
      </c>
      <c r="Q561">
        <v>12</v>
      </c>
      <c r="R561" s="4">
        <v>2335</v>
      </c>
      <c r="S561" t="str">
        <f t="shared" si="40"/>
        <v>PY: Media Crit.</v>
      </c>
      <c r="T561">
        <f t="shared" si="41"/>
        <v>0</v>
      </c>
      <c r="U561">
        <f t="shared" si="42"/>
        <v>0</v>
      </c>
      <c r="V561">
        <f t="shared" si="43"/>
        <v>0</v>
      </c>
      <c r="W561">
        <f t="shared" si="44"/>
        <v>1</v>
      </c>
      <c r="X561">
        <v>1</v>
      </c>
      <c r="Y561" s="2">
        <v>45768</v>
      </c>
      <c r="Z561" s="3" t="s">
        <v>47</v>
      </c>
      <c r="AA561" t="s">
        <v>39</v>
      </c>
      <c r="AB561" t="s">
        <v>40</v>
      </c>
      <c r="AC561" t="s">
        <v>40</v>
      </c>
      <c r="AD561" t="s">
        <v>589</v>
      </c>
    </row>
    <row r="562" spans="2:30">
      <c r="B562">
        <v>6</v>
      </c>
      <c r="C562">
        <v>1020</v>
      </c>
      <c r="D562" t="s">
        <v>29</v>
      </c>
      <c r="E562">
        <v>10050642</v>
      </c>
      <c r="F562" t="s">
        <v>654</v>
      </c>
      <c r="G562" t="s">
        <v>31</v>
      </c>
      <c r="H562" t="s">
        <v>32</v>
      </c>
      <c r="I562" t="s">
        <v>588</v>
      </c>
      <c r="J562" t="s">
        <v>45</v>
      </c>
      <c r="K562" t="s">
        <v>35</v>
      </c>
      <c r="L562" t="s">
        <v>36</v>
      </c>
      <c r="M562" t="s">
        <v>55</v>
      </c>
      <c r="N562">
        <v>40</v>
      </c>
      <c r="O562">
        <v>21</v>
      </c>
      <c r="P562">
        <v>5</v>
      </c>
      <c r="Q562">
        <v>65</v>
      </c>
      <c r="R562">
        <v>425.28</v>
      </c>
      <c r="S562" t="str">
        <f t="shared" si="40"/>
        <v>PX: Baja Crit.</v>
      </c>
      <c r="T562">
        <f t="shared" si="41"/>
        <v>0</v>
      </c>
      <c r="U562">
        <f t="shared" si="42"/>
        <v>0</v>
      </c>
      <c r="V562">
        <f t="shared" si="43"/>
        <v>0</v>
      </c>
      <c r="W562">
        <f t="shared" si="44"/>
        <v>1</v>
      </c>
      <c r="X562">
        <v>1</v>
      </c>
      <c r="Y562" s="2">
        <v>45768</v>
      </c>
      <c r="Z562" s="3" t="s">
        <v>56</v>
      </c>
      <c r="AA562" t="s">
        <v>39</v>
      </c>
      <c r="AB562" t="s">
        <v>40</v>
      </c>
      <c r="AC562" t="s">
        <v>40</v>
      </c>
      <c r="AD562" t="s">
        <v>589</v>
      </c>
    </row>
    <row r="563" spans="2:30">
      <c r="B563">
        <v>6</v>
      </c>
      <c r="C563">
        <v>1020</v>
      </c>
      <c r="D563" t="s">
        <v>29</v>
      </c>
      <c r="E563">
        <v>10048602</v>
      </c>
      <c r="F563" t="s">
        <v>655</v>
      </c>
      <c r="G563" t="s">
        <v>43</v>
      </c>
      <c r="H563" t="s">
        <v>32</v>
      </c>
      <c r="I563" t="s">
        <v>588</v>
      </c>
      <c r="J563" t="s">
        <v>34</v>
      </c>
      <c r="K563" t="s">
        <v>35</v>
      </c>
      <c r="L563" t="s">
        <v>36</v>
      </c>
      <c r="M563" t="s">
        <v>46</v>
      </c>
      <c r="N563">
        <v>20</v>
      </c>
      <c r="O563">
        <v>11</v>
      </c>
      <c r="P563">
        <v>4</v>
      </c>
      <c r="Q563">
        <v>14</v>
      </c>
      <c r="R563">
        <v>345.87</v>
      </c>
      <c r="S563" t="str">
        <f t="shared" si="40"/>
        <v>PY: Media Crit.</v>
      </c>
      <c r="T563">
        <f t="shared" si="41"/>
        <v>0</v>
      </c>
      <c r="U563">
        <f t="shared" si="42"/>
        <v>0</v>
      </c>
      <c r="V563">
        <f t="shared" si="43"/>
        <v>1</v>
      </c>
      <c r="W563">
        <f t="shared" si="44"/>
        <v>0</v>
      </c>
      <c r="X563">
        <v>1</v>
      </c>
      <c r="Y563" s="2">
        <v>45768</v>
      </c>
      <c r="Z563" s="3" t="s">
        <v>47</v>
      </c>
      <c r="AA563" t="s">
        <v>39</v>
      </c>
      <c r="AB563" t="s">
        <v>40</v>
      </c>
      <c r="AC563" t="s">
        <v>40</v>
      </c>
      <c r="AD563" t="s">
        <v>589</v>
      </c>
    </row>
    <row r="564" spans="2:30">
      <c r="B564">
        <v>6</v>
      </c>
      <c r="C564">
        <v>1020</v>
      </c>
      <c r="D564" t="s">
        <v>29</v>
      </c>
      <c r="E564">
        <v>14214988</v>
      </c>
      <c r="F564" t="s">
        <v>656</v>
      </c>
      <c r="G564" t="s">
        <v>52</v>
      </c>
      <c r="H564" t="s">
        <v>44</v>
      </c>
      <c r="I564" t="s">
        <v>588</v>
      </c>
      <c r="J564" t="s">
        <v>45</v>
      </c>
      <c r="K564" t="s">
        <v>35</v>
      </c>
      <c r="L564" t="s">
        <v>36</v>
      </c>
      <c r="M564" t="s">
        <v>37</v>
      </c>
      <c r="N564">
        <v>30</v>
      </c>
      <c r="O564">
        <v>15</v>
      </c>
      <c r="P564">
        <v>5</v>
      </c>
      <c r="Q564">
        <v>25</v>
      </c>
      <c r="R564" s="4">
        <v>48359.73</v>
      </c>
      <c r="S564" t="str">
        <f t="shared" si="40"/>
        <v>PZ: Alta Crit.</v>
      </c>
      <c r="T564">
        <f t="shared" si="41"/>
        <v>0</v>
      </c>
      <c r="U564">
        <f t="shared" si="42"/>
        <v>0</v>
      </c>
      <c r="V564">
        <f t="shared" si="43"/>
        <v>1</v>
      </c>
      <c r="W564">
        <f t="shared" si="44"/>
        <v>0</v>
      </c>
      <c r="X564">
        <v>1</v>
      </c>
      <c r="Y564" s="2">
        <v>45768</v>
      </c>
      <c r="Z564" s="3" t="s">
        <v>38</v>
      </c>
      <c r="AA564" t="s">
        <v>39</v>
      </c>
      <c r="AB564" t="s">
        <v>40</v>
      </c>
      <c r="AC564" t="s">
        <v>40</v>
      </c>
      <c r="AD564" t="s">
        <v>589</v>
      </c>
    </row>
    <row r="565" spans="2:30">
      <c r="B565">
        <v>6</v>
      </c>
      <c r="C565">
        <v>1020</v>
      </c>
      <c r="D565" t="s">
        <v>29</v>
      </c>
      <c r="E565">
        <v>10044402</v>
      </c>
      <c r="F565" t="s">
        <v>657</v>
      </c>
      <c r="G565" t="s">
        <v>43</v>
      </c>
      <c r="H565" t="s">
        <v>60</v>
      </c>
      <c r="I565" t="s">
        <v>588</v>
      </c>
      <c r="J565" t="s">
        <v>45</v>
      </c>
      <c r="K565" t="s">
        <v>35</v>
      </c>
      <c r="L565" t="s">
        <v>36</v>
      </c>
      <c r="M565" t="s">
        <v>46</v>
      </c>
      <c r="N565">
        <v>6</v>
      </c>
      <c r="O565">
        <v>3</v>
      </c>
      <c r="P565">
        <v>0</v>
      </c>
      <c r="Q565">
        <v>10</v>
      </c>
      <c r="R565" s="4">
        <v>2449.66</v>
      </c>
      <c r="S565" t="str">
        <f t="shared" si="40"/>
        <v>PY: Media Crit.</v>
      </c>
      <c r="T565">
        <f t="shared" si="41"/>
        <v>0</v>
      </c>
      <c r="U565">
        <f t="shared" si="42"/>
        <v>0</v>
      </c>
      <c r="V565">
        <f t="shared" si="43"/>
        <v>0</v>
      </c>
      <c r="W565">
        <f t="shared" si="44"/>
        <v>1</v>
      </c>
      <c r="X565">
        <v>1</v>
      </c>
      <c r="Y565" s="2">
        <v>45768</v>
      </c>
      <c r="Z565" s="3" t="s">
        <v>47</v>
      </c>
      <c r="AA565" t="s">
        <v>39</v>
      </c>
      <c r="AB565" t="s">
        <v>40</v>
      </c>
      <c r="AC565" t="s">
        <v>40</v>
      </c>
      <c r="AD565" t="s">
        <v>589</v>
      </c>
    </row>
    <row r="566" spans="2:30">
      <c r="B566">
        <v>6</v>
      </c>
      <c r="C566">
        <v>1020</v>
      </c>
      <c r="D566" t="s">
        <v>29</v>
      </c>
      <c r="E566">
        <v>10045237</v>
      </c>
      <c r="F566" t="s">
        <v>658</v>
      </c>
      <c r="G566" t="s">
        <v>43</v>
      </c>
      <c r="H566" t="s">
        <v>32</v>
      </c>
      <c r="I566" t="s">
        <v>588</v>
      </c>
      <c r="J566" t="s">
        <v>45</v>
      </c>
      <c r="K566" t="s">
        <v>35</v>
      </c>
      <c r="L566" t="s">
        <v>36</v>
      </c>
      <c r="M566" t="s">
        <v>88</v>
      </c>
      <c r="N566">
        <v>20</v>
      </c>
      <c r="O566">
        <v>20</v>
      </c>
      <c r="P566">
        <v>0</v>
      </c>
      <c r="Q566">
        <v>20</v>
      </c>
      <c r="R566">
        <v>92.44</v>
      </c>
      <c r="S566" t="str">
        <f t="shared" si="40"/>
        <v>PY: Media Crit.</v>
      </c>
      <c r="T566">
        <f t="shared" si="41"/>
        <v>0</v>
      </c>
      <c r="U566">
        <f t="shared" si="42"/>
        <v>0</v>
      </c>
      <c r="V566">
        <f t="shared" si="43"/>
        <v>1</v>
      </c>
      <c r="W566">
        <f t="shared" si="44"/>
        <v>0</v>
      </c>
      <c r="X566">
        <v>1</v>
      </c>
      <c r="Y566" s="2">
        <v>45768</v>
      </c>
      <c r="Z566" s="3" t="s">
        <v>89</v>
      </c>
      <c r="AA566" t="s">
        <v>39</v>
      </c>
      <c r="AB566" t="s">
        <v>40</v>
      </c>
      <c r="AC566" t="s">
        <v>40</v>
      </c>
      <c r="AD566" t="s">
        <v>589</v>
      </c>
    </row>
    <row r="567" spans="2:30">
      <c r="B567">
        <v>6</v>
      </c>
      <c r="C567">
        <v>1020</v>
      </c>
      <c r="D567" t="s">
        <v>29</v>
      </c>
      <c r="E567">
        <v>10192164</v>
      </c>
      <c r="F567" t="s">
        <v>659</v>
      </c>
      <c r="G567" t="s">
        <v>52</v>
      </c>
      <c r="H567" t="s">
        <v>60</v>
      </c>
      <c r="I567" t="s">
        <v>588</v>
      </c>
      <c r="J567" t="s">
        <v>45</v>
      </c>
      <c r="K567" t="s">
        <v>35</v>
      </c>
      <c r="L567" t="s">
        <v>36</v>
      </c>
      <c r="M567" t="s">
        <v>117</v>
      </c>
      <c r="N567">
        <v>50</v>
      </c>
      <c r="O567">
        <v>31</v>
      </c>
      <c r="P567">
        <v>20</v>
      </c>
      <c r="Q567">
        <v>50</v>
      </c>
      <c r="R567" s="4">
        <v>6004.67</v>
      </c>
      <c r="S567" t="str">
        <f t="shared" si="40"/>
        <v>PZ: Alta Crit.</v>
      </c>
      <c r="T567">
        <f t="shared" si="41"/>
        <v>0</v>
      </c>
      <c r="U567">
        <f t="shared" si="42"/>
        <v>0</v>
      </c>
      <c r="V567">
        <f t="shared" si="43"/>
        <v>1</v>
      </c>
      <c r="W567">
        <f t="shared" si="44"/>
        <v>0</v>
      </c>
      <c r="X567">
        <v>1</v>
      </c>
      <c r="Y567" s="2">
        <v>45768</v>
      </c>
      <c r="Z567" s="3" t="s">
        <v>118</v>
      </c>
      <c r="AA567" t="s">
        <v>39</v>
      </c>
      <c r="AB567" t="s">
        <v>40</v>
      </c>
      <c r="AC567" t="s">
        <v>40</v>
      </c>
      <c r="AD567" t="s">
        <v>589</v>
      </c>
    </row>
    <row r="568" spans="2:30">
      <c r="B568">
        <v>6</v>
      </c>
      <c r="C568">
        <v>1020</v>
      </c>
      <c r="D568" t="s">
        <v>29</v>
      </c>
      <c r="E568">
        <v>10049195</v>
      </c>
      <c r="F568" t="s">
        <v>660</v>
      </c>
      <c r="G568" t="s">
        <v>43</v>
      </c>
      <c r="H568" t="s">
        <v>32</v>
      </c>
      <c r="I568" t="s">
        <v>588</v>
      </c>
      <c r="J568" t="s">
        <v>45</v>
      </c>
      <c r="K568" t="s">
        <v>35</v>
      </c>
      <c r="L568" t="s">
        <v>36</v>
      </c>
      <c r="M568" t="s">
        <v>88</v>
      </c>
      <c r="N568">
        <v>10</v>
      </c>
      <c r="O568">
        <v>6</v>
      </c>
      <c r="P568">
        <v>2</v>
      </c>
      <c r="Q568">
        <v>9</v>
      </c>
      <c r="R568" s="4">
        <v>1122.6199999999999</v>
      </c>
      <c r="S568" t="str">
        <f t="shared" si="40"/>
        <v>PY: Media Crit.</v>
      </c>
      <c r="T568">
        <f t="shared" si="41"/>
        <v>0</v>
      </c>
      <c r="U568">
        <f t="shared" si="42"/>
        <v>0</v>
      </c>
      <c r="V568">
        <f t="shared" si="43"/>
        <v>1</v>
      </c>
      <c r="W568">
        <f t="shared" si="44"/>
        <v>0</v>
      </c>
      <c r="X568">
        <v>1</v>
      </c>
      <c r="Y568" s="2">
        <v>45768</v>
      </c>
      <c r="Z568" s="3" t="s">
        <v>89</v>
      </c>
      <c r="AA568" t="s">
        <v>39</v>
      </c>
      <c r="AB568" t="s">
        <v>40</v>
      </c>
      <c r="AC568" t="s">
        <v>40</v>
      </c>
      <c r="AD568" t="s">
        <v>589</v>
      </c>
    </row>
    <row r="569" spans="2:30">
      <c r="B569">
        <v>6</v>
      </c>
      <c r="C569">
        <v>1020</v>
      </c>
      <c r="D569" t="s">
        <v>29</v>
      </c>
      <c r="E569">
        <v>14213974</v>
      </c>
      <c r="F569" t="s">
        <v>661</v>
      </c>
      <c r="G569" t="s">
        <v>43</v>
      </c>
      <c r="H569" t="s">
        <v>60</v>
      </c>
      <c r="I569" t="s">
        <v>588</v>
      </c>
      <c r="J569" t="s">
        <v>45</v>
      </c>
      <c r="K569" t="s">
        <v>35</v>
      </c>
      <c r="L569" t="s">
        <v>36</v>
      </c>
      <c r="M569" t="s">
        <v>46</v>
      </c>
      <c r="N569">
        <v>8</v>
      </c>
      <c r="O569">
        <v>6</v>
      </c>
      <c r="P569">
        <v>0</v>
      </c>
      <c r="Q569">
        <v>7</v>
      </c>
      <c r="R569" s="4">
        <v>1941.73</v>
      </c>
      <c r="S569" t="str">
        <f t="shared" si="40"/>
        <v>PY: Media Crit.</v>
      </c>
      <c r="T569">
        <f t="shared" si="41"/>
        <v>0</v>
      </c>
      <c r="U569">
        <f t="shared" si="42"/>
        <v>0</v>
      </c>
      <c r="V569">
        <f t="shared" si="43"/>
        <v>1</v>
      </c>
      <c r="W569">
        <f t="shared" si="44"/>
        <v>0</v>
      </c>
      <c r="X569">
        <v>1</v>
      </c>
      <c r="Y569" s="2">
        <v>45768</v>
      </c>
      <c r="Z569" s="3" t="s">
        <v>47</v>
      </c>
      <c r="AA569" t="s">
        <v>39</v>
      </c>
      <c r="AB569" t="s">
        <v>40</v>
      </c>
      <c r="AC569" t="s">
        <v>40</v>
      </c>
      <c r="AD569" t="s">
        <v>589</v>
      </c>
    </row>
    <row r="570" spans="2:30">
      <c r="B570">
        <v>6</v>
      </c>
      <c r="C570">
        <v>1020</v>
      </c>
      <c r="D570" t="s">
        <v>29</v>
      </c>
      <c r="E570">
        <v>10044429</v>
      </c>
      <c r="F570" t="s">
        <v>662</v>
      </c>
      <c r="G570" t="s">
        <v>43</v>
      </c>
      <c r="H570" t="s">
        <v>60</v>
      </c>
      <c r="I570" t="s">
        <v>588</v>
      </c>
      <c r="J570" t="s">
        <v>34</v>
      </c>
      <c r="K570" t="s">
        <v>35</v>
      </c>
      <c r="L570" t="s">
        <v>36</v>
      </c>
      <c r="M570" t="s">
        <v>46</v>
      </c>
      <c r="N570">
        <v>12</v>
      </c>
      <c r="O570">
        <v>8</v>
      </c>
      <c r="P570">
        <v>1</v>
      </c>
      <c r="Q570">
        <v>12</v>
      </c>
      <c r="R570" s="4">
        <v>1627.79</v>
      </c>
      <c r="S570" t="str">
        <f t="shared" si="40"/>
        <v>PY: Media Crit.</v>
      </c>
      <c r="T570">
        <f t="shared" si="41"/>
        <v>0</v>
      </c>
      <c r="U570">
        <f t="shared" si="42"/>
        <v>0</v>
      </c>
      <c r="V570">
        <f t="shared" si="43"/>
        <v>1</v>
      </c>
      <c r="W570">
        <f t="shared" si="44"/>
        <v>0</v>
      </c>
      <c r="X570">
        <v>1</v>
      </c>
      <c r="Y570" s="2">
        <v>45768</v>
      </c>
      <c r="Z570" s="3" t="s">
        <v>47</v>
      </c>
      <c r="AA570" t="s">
        <v>39</v>
      </c>
      <c r="AB570" t="s">
        <v>40</v>
      </c>
      <c r="AC570" t="s">
        <v>40</v>
      </c>
      <c r="AD570" t="s">
        <v>589</v>
      </c>
    </row>
    <row r="571" spans="2:30">
      <c r="B571">
        <v>6</v>
      </c>
      <c r="C571">
        <v>1020</v>
      </c>
      <c r="D571" t="s">
        <v>29</v>
      </c>
      <c r="E571">
        <v>10046571</v>
      </c>
      <c r="F571" t="s">
        <v>663</v>
      </c>
      <c r="G571" t="s">
        <v>52</v>
      </c>
      <c r="H571" t="s">
        <v>60</v>
      </c>
      <c r="I571" t="s">
        <v>588</v>
      </c>
      <c r="J571" t="s">
        <v>45</v>
      </c>
      <c r="K571" t="s">
        <v>35</v>
      </c>
      <c r="L571" t="s">
        <v>36</v>
      </c>
      <c r="M571" t="s">
        <v>46</v>
      </c>
      <c r="N571">
        <v>12</v>
      </c>
      <c r="O571">
        <v>9</v>
      </c>
      <c r="P571">
        <v>2</v>
      </c>
      <c r="Q571">
        <v>2</v>
      </c>
      <c r="R571">
        <v>703.33</v>
      </c>
      <c r="S571" t="str">
        <f t="shared" si="40"/>
        <v>PZ: Alta Crit.</v>
      </c>
      <c r="T571">
        <f t="shared" si="41"/>
        <v>0</v>
      </c>
      <c r="U571">
        <f t="shared" si="42"/>
        <v>1</v>
      </c>
      <c r="V571">
        <f t="shared" si="43"/>
        <v>0</v>
      </c>
      <c r="W571">
        <f t="shared" si="44"/>
        <v>0</v>
      </c>
      <c r="X571">
        <v>1</v>
      </c>
      <c r="Y571" s="2">
        <v>45768</v>
      </c>
      <c r="Z571" s="3" t="s">
        <v>47</v>
      </c>
      <c r="AA571" t="s">
        <v>39</v>
      </c>
      <c r="AB571" t="s">
        <v>49</v>
      </c>
      <c r="AC571" s="5" t="s">
        <v>50</v>
      </c>
      <c r="AD571" t="s">
        <v>589</v>
      </c>
    </row>
    <row r="572" spans="2:30">
      <c r="B572">
        <v>6</v>
      </c>
      <c r="C572">
        <v>1020</v>
      </c>
      <c r="D572" t="s">
        <v>29</v>
      </c>
      <c r="E572">
        <v>10050609</v>
      </c>
      <c r="F572" t="s">
        <v>664</v>
      </c>
      <c r="G572" t="s">
        <v>43</v>
      </c>
      <c r="H572" t="s">
        <v>32</v>
      </c>
      <c r="I572" t="s">
        <v>588</v>
      </c>
      <c r="J572" t="s">
        <v>34</v>
      </c>
      <c r="K572" t="s">
        <v>35</v>
      </c>
      <c r="L572" t="s">
        <v>36</v>
      </c>
      <c r="M572" t="s">
        <v>55</v>
      </c>
      <c r="N572">
        <v>80</v>
      </c>
      <c r="O572">
        <v>41</v>
      </c>
      <c r="P572">
        <v>10</v>
      </c>
      <c r="Q572">
        <v>80</v>
      </c>
      <c r="R572">
        <v>51.53</v>
      </c>
      <c r="S572" t="str">
        <f t="shared" si="40"/>
        <v>PY: Media Crit.</v>
      </c>
      <c r="T572">
        <f t="shared" si="41"/>
        <v>0</v>
      </c>
      <c r="U572">
        <f t="shared" si="42"/>
        <v>0</v>
      </c>
      <c r="V572">
        <f t="shared" si="43"/>
        <v>1</v>
      </c>
      <c r="W572">
        <f t="shared" si="44"/>
        <v>0</v>
      </c>
      <c r="X572">
        <v>1</v>
      </c>
      <c r="Y572" s="2">
        <v>45768</v>
      </c>
      <c r="Z572" s="3" t="s">
        <v>56</v>
      </c>
      <c r="AA572" t="s">
        <v>39</v>
      </c>
      <c r="AB572" t="s">
        <v>40</v>
      </c>
      <c r="AC572" t="s">
        <v>40</v>
      </c>
      <c r="AD572" t="s">
        <v>589</v>
      </c>
    </row>
    <row r="573" spans="2:30">
      <c r="B573">
        <v>6</v>
      </c>
      <c r="C573">
        <v>1020</v>
      </c>
      <c r="D573" t="s">
        <v>29</v>
      </c>
      <c r="E573">
        <v>10049376</v>
      </c>
      <c r="F573" t="s">
        <v>665</v>
      </c>
      <c r="G573" t="s">
        <v>43</v>
      </c>
      <c r="H573" t="s">
        <v>32</v>
      </c>
      <c r="I573" t="s">
        <v>588</v>
      </c>
      <c r="J573" t="s">
        <v>45</v>
      </c>
      <c r="K573" t="s">
        <v>35</v>
      </c>
      <c r="L573" t="s">
        <v>36</v>
      </c>
      <c r="M573" t="s">
        <v>46</v>
      </c>
      <c r="N573">
        <v>8</v>
      </c>
      <c r="O573">
        <v>5</v>
      </c>
      <c r="P573">
        <v>4</v>
      </c>
      <c r="Q573">
        <v>3</v>
      </c>
      <c r="R573" s="4">
        <v>2155.48</v>
      </c>
      <c r="S573" t="str">
        <f t="shared" si="40"/>
        <v>PY: Media Crit.</v>
      </c>
      <c r="T573">
        <f t="shared" si="41"/>
        <v>0</v>
      </c>
      <c r="U573">
        <f t="shared" si="42"/>
        <v>1</v>
      </c>
      <c r="V573">
        <f t="shared" si="43"/>
        <v>0</v>
      </c>
      <c r="W573">
        <f t="shared" si="44"/>
        <v>0</v>
      </c>
      <c r="X573">
        <v>1</v>
      </c>
      <c r="Y573" s="2">
        <v>45768</v>
      </c>
      <c r="Z573" s="3" t="s">
        <v>47</v>
      </c>
      <c r="AA573" t="s">
        <v>39</v>
      </c>
      <c r="AB573" t="s">
        <v>40</v>
      </c>
      <c r="AC573" t="s">
        <v>40</v>
      </c>
      <c r="AD573" t="s">
        <v>589</v>
      </c>
    </row>
    <row r="574" spans="2:30">
      <c r="B574">
        <v>6</v>
      </c>
      <c r="C574">
        <v>1020</v>
      </c>
      <c r="D574" t="s">
        <v>29</v>
      </c>
      <c r="E574">
        <v>10050673</v>
      </c>
      <c r="F574" t="s">
        <v>666</v>
      </c>
      <c r="G574" t="s">
        <v>43</v>
      </c>
      <c r="H574" t="s">
        <v>32</v>
      </c>
      <c r="I574" t="s">
        <v>588</v>
      </c>
      <c r="J574" t="s">
        <v>45</v>
      </c>
      <c r="K574" t="s">
        <v>35</v>
      </c>
      <c r="L574" t="s">
        <v>36</v>
      </c>
      <c r="M574" t="s">
        <v>55</v>
      </c>
      <c r="N574">
        <v>8</v>
      </c>
      <c r="O574">
        <v>4</v>
      </c>
      <c r="P574">
        <v>2</v>
      </c>
      <c r="Q574">
        <v>8</v>
      </c>
      <c r="R574">
        <v>12.21</v>
      </c>
      <c r="S574" t="str">
        <f t="shared" si="40"/>
        <v>PY: Media Crit.</v>
      </c>
      <c r="T574">
        <f t="shared" si="41"/>
        <v>0</v>
      </c>
      <c r="U574">
        <f t="shared" si="42"/>
        <v>0</v>
      </c>
      <c r="V574">
        <f t="shared" si="43"/>
        <v>1</v>
      </c>
      <c r="W574">
        <f t="shared" si="44"/>
        <v>0</v>
      </c>
      <c r="X574">
        <v>1</v>
      </c>
      <c r="Y574" s="2">
        <v>45768</v>
      </c>
      <c r="Z574" s="3" t="s">
        <v>56</v>
      </c>
      <c r="AA574" t="s">
        <v>39</v>
      </c>
      <c r="AB574" t="s">
        <v>40</v>
      </c>
      <c r="AC574" t="s">
        <v>40</v>
      </c>
      <c r="AD574" t="s">
        <v>589</v>
      </c>
    </row>
    <row r="575" spans="2:30">
      <c r="B575">
        <v>6</v>
      </c>
      <c r="C575">
        <v>1020</v>
      </c>
      <c r="D575" t="s">
        <v>29</v>
      </c>
      <c r="E575">
        <v>10045627</v>
      </c>
      <c r="F575" t="s">
        <v>667</v>
      </c>
      <c r="G575" t="s">
        <v>31</v>
      </c>
      <c r="H575" t="s">
        <v>32</v>
      </c>
      <c r="I575" t="s">
        <v>588</v>
      </c>
      <c r="J575" t="s">
        <v>45</v>
      </c>
      <c r="K575" t="s">
        <v>35</v>
      </c>
      <c r="L575" t="s">
        <v>36</v>
      </c>
      <c r="M575" t="s">
        <v>55</v>
      </c>
      <c r="N575">
        <v>40</v>
      </c>
      <c r="O575">
        <v>21</v>
      </c>
      <c r="P575">
        <v>10</v>
      </c>
      <c r="Q575">
        <v>30</v>
      </c>
      <c r="R575">
        <v>12.25</v>
      </c>
      <c r="S575" t="str">
        <f t="shared" si="40"/>
        <v>PX: Baja Crit.</v>
      </c>
      <c r="T575">
        <f t="shared" si="41"/>
        <v>0</v>
      </c>
      <c r="U575">
        <f t="shared" si="42"/>
        <v>0</v>
      </c>
      <c r="V575">
        <f t="shared" si="43"/>
        <v>1</v>
      </c>
      <c r="W575">
        <f t="shared" si="44"/>
        <v>0</v>
      </c>
      <c r="X575">
        <v>1</v>
      </c>
      <c r="Y575" s="2">
        <v>45768</v>
      </c>
      <c r="Z575" s="3" t="s">
        <v>56</v>
      </c>
      <c r="AA575" t="s">
        <v>39</v>
      </c>
      <c r="AB575" t="s">
        <v>40</v>
      </c>
      <c r="AC575" t="s">
        <v>40</v>
      </c>
      <c r="AD575" t="s">
        <v>589</v>
      </c>
    </row>
    <row r="576" spans="2:30">
      <c r="B576">
        <v>6</v>
      </c>
      <c r="C576">
        <v>1020</v>
      </c>
      <c r="D576" t="s">
        <v>29</v>
      </c>
      <c r="E576">
        <v>10049216</v>
      </c>
      <c r="F576" t="s">
        <v>668</v>
      </c>
      <c r="G576" t="s">
        <v>31</v>
      </c>
      <c r="H576" t="s">
        <v>32</v>
      </c>
      <c r="I576" t="s">
        <v>588</v>
      </c>
      <c r="J576" t="s">
        <v>45</v>
      </c>
      <c r="K576" t="s">
        <v>35</v>
      </c>
      <c r="L576" t="s">
        <v>36</v>
      </c>
      <c r="M576" t="s">
        <v>88</v>
      </c>
      <c r="N576">
        <v>2</v>
      </c>
      <c r="O576">
        <v>2</v>
      </c>
      <c r="P576">
        <v>1</v>
      </c>
      <c r="Q576">
        <v>0</v>
      </c>
      <c r="R576">
        <v>0</v>
      </c>
      <c r="S576" t="str">
        <f t="shared" si="40"/>
        <v>PX: Baja Crit.</v>
      </c>
      <c r="T576">
        <f t="shared" si="41"/>
        <v>1</v>
      </c>
      <c r="U576">
        <f t="shared" si="42"/>
        <v>0</v>
      </c>
      <c r="V576">
        <f t="shared" si="43"/>
        <v>0</v>
      </c>
      <c r="W576">
        <f t="shared" si="44"/>
        <v>0</v>
      </c>
      <c r="X576">
        <v>1</v>
      </c>
      <c r="Y576" s="2">
        <v>45768</v>
      </c>
      <c r="Z576" s="3" t="s">
        <v>89</v>
      </c>
      <c r="AA576" t="s">
        <v>39</v>
      </c>
      <c r="AB576" t="s">
        <v>49</v>
      </c>
      <c r="AC576" s="5" t="s">
        <v>50</v>
      </c>
      <c r="AD576" t="s">
        <v>589</v>
      </c>
    </row>
    <row r="577" spans="2:30">
      <c r="B577">
        <v>6</v>
      </c>
      <c r="C577">
        <v>1020</v>
      </c>
      <c r="D577" t="s">
        <v>29</v>
      </c>
      <c r="E577">
        <v>10050038</v>
      </c>
      <c r="F577" t="s">
        <v>669</v>
      </c>
      <c r="G577" t="s">
        <v>31</v>
      </c>
      <c r="H577" t="s">
        <v>32</v>
      </c>
      <c r="I577" t="s">
        <v>588</v>
      </c>
      <c r="J577" t="s">
        <v>34</v>
      </c>
      <c r="K577" t="s">
        <v>35</v>
      </c>
      <c r="L577" t="s">
        <v>36</v>
      </c>
      <c r="M577" t="s">
        <v>37</v>
      </c>
      <c r="N577">
        <v>8</v>
      </c>
      <c r="O577">
        <v>5</v>
      </c>
      <c r="P577">
        <v>2</v>
      </c>
      <c r="Q577">
        <v>7</v>
      </c>
      <c r="R577">
        <v>420</v>
      </c>
      <c r="S577" t="str">
        <f t="shared" si="40"/>
        <v>PX: Baja Crit.</v>
      </c>
      <c r="T577">
        <f t="shared" si="41"/>
        <v>0</v>
      </c>
      <c r="U577">
        <f t="shared" si="42"/>
        <v>0</v>
      </c>
      <c r="V577">
        <f t="shared" si="43"/>
        <v>1</v>
      </c>
      <c r="W577">
        <f t="shared" si="44"/>
        <v>0</v>
      </c>
      <c r="X577">
        <v>1</v>
      </c>
      <c r="Y577" s="2">
        <v>45768</v>
      </c>
      <c r="Z577" s="3" t="s">
        <v>38</v>
      </c>
      <c r="AA577" t="s">
        <v>39</v>
      </c>
      <c r="AB577" t="s">
        <v>40</v>
      </c>
      <c r="AC577" t="s">
        <v>40</v>
      </c>
      <c r="AD577" t="s">
        <v>589</v>
      </c>
    </row>
    <row r="578" spans="2:30">
      <c r="B578">
        <v>6</v>
      </c>
      <c r="C578">
        <v>1020</v>
      </c>
      <c r="D578" t="s">
        <v>29</v>
      </c>
      <c r="E578">
        <v>10040654</v>
      </c>
      <c r="F578" t="s">
        <v>670</v>
      </c>
      <c r="G578" t="s">
        <v>43</v>
      </c>
      <c r="H578" t="s">
        <v>32</v>
      </c>
      <c r="I578" t="s">
        <v>588</v>
      </c>
      <c r="J578" t="s">
        <v>34</v>
      </c>
      <c r="K578" t="s">
        <v>35</v>
      </c>
      <c r="L578" t="s">
        <v>36</v>
      </c>
      <c r="M578" t="s">
        <v>46</v>
      </c>
      <c r="N578">
        <v>60</v>
      </c>
      <c r="O578">
        <v>41</v>
      </c>
      <c r="P578">
        <v>4</v>
      </c>
      <c r="Q578">
        <v>60</v>
      </c>
      <c r="R578">
        <v>579.54999999999995</v>
      </c>
      <c r="S578" t="str">
        <f t="shared" ref="S578:S641" si="45">+IF(G578="PZ", "PZ: Alta Crit.",IF(G578="PY","PY: Media Crit.", "PX: Baja Crit."))</f>
        <v>PY: Media Crit.</v>
      </c>
      <c r="T578">
        <f t="shared" ref="T578:T641" si="46">+IF(Q578=0,1,0)</f>
        <v>0</v>
      </c>
      <c r="U578">
        <f t="shared" ref="U578:U641" si="47">+IF(AND(Q578&lt;=P578,Q578&gt;0),1,0)</f>
        <v>0</v>
      </c>
      <c r="V578">
        <f t="shared" ref="V578:V641" si="48">+IF(AND(Q578&gt;P578,Q578&lt;=N578),1,0)</f>
        <v>1</v>
      </c>
      <c r="W578">
        <f t="shared" ref="W578:W641" si="49">+IF(Q578&gt;N578,1,0)</f>
        <v>0</v>
      </c>
      <c r="X578">
        <v>1</v>
      </c>
      <c r="Y578" s="2">
        <v>45768</v>
      </c>
      <c r="Z578" s="3" t="s">
        <v>47</v>
      </c>
      <c r="AA578" t="s">
        <v>39</v>
      </c>
      <c r="AB578" t="s">
        <v>40</v>
      </c>
      <c r="AC578" t="s">
        <v>40</v>
      </c>
      <c r="AD578" t="s">
        <v>589</v>
      </c>
    </row>
    <row r="579" spans="2:30">
      <c r="B579">
        <v>6</v>
      </c>
      <c r="C579">
        <v>1020</v>
      </c>
      <c r="D579" t="s">
        <v>29</v>
      </c>
      <c r="E579">
        <v>10049395</v>
      </c>
      <c r="F579" t="s">
        <v>671</v>
      </c>
      <c r="G579" t="s">
        <v>43</v>
      </c>
      <c r="H579" t="s">
        <v>32</v>
      </c>
      <c r="I579" t="s">
        <v>588</v>
      </c>
      <c r="J579" t="s">
        <v>34</v>
      </c>
      <c r="K579" t="s">
        <v>35</v>
      </c>
      <c r="L579" t="s">
        <v>36</v>
      </c>
      <c r="M579" t="s">
        <v>88</v>
      </c>
      <c r="N579">
        <v>10</v>
      </c>
      <c r="O579">
        <v>6</v>
      </c>
      <c r="P579">
        <v>2</v>
      </c>
      <c r="Q579">
        <v>10</v>
      </c>
      <c r="R579">
        <v>411.54</v>
      </c>
      <c r="S579" t="str">
        <f t="shared" si="45"/>
        <v>PY: Media Crit.</v>
      </c>
      <c r="T579">
        <f t="shared" si="46"/>
        <v>0</v>
      </c>
      <c r="U579">
        <f t="shared" si="47"/>
        <v>0</v>
      </c>
      <c r="V579">
        <f t="shared" si="48"/>
        <v>1</v>
      </c>
      <c r="W579">
        <f t="shared" si="49"/>
        <v>0</v>
      </c>
      <c r="X579">
        <v>1</v>
      </c>
      <c r="Y579" s="2">
        <v>45768</v>
      </c>
      <c r="Z579" s="3" t="s">
        <v>89</v>
      </c>
      <c r="AA579" t="s">
        <v>39</v>
      </c>
      <c r="AB579" t="s">
        <v>40</v>
      </c>
      <c r="AC579" t="s">
        <v>40</v>
      </c>
      <c r="AD579" t="s">
        <v>589</v>
      </c>
    </row>
    <row r="580" spans="2:30">
      <c r="B580">
        <v>6</v>
      </c>
      <c r="C580">
        <v>1020</v>
      </c>
      <c r="D580" t="s">
        <v>29</v>
      </c>
      <c r="E580">
        <v>10041238</v>
      </c>
      <c r="F580" t="s">
        <v>672</v>
      </c>
      <c r="G580" t="s">
        <v>31</v>
      </c>
      <c r="H580" t="s">
        <v>32</v>
      </c>
      <c r="I580" t="s">
        <v>588</v>
      </c>
      <c r="J580" t="s">
        <v>34</v>
      </c>
      <c r="K580" t="s">
        <v>252</v>
      </c>
      <c r="L580" t="s">
        <v>36</v>
      </c>
      <c r="M580" t="s">
        <v>69</v>
      </c>
      <c r="N580">
        <v>200</v>
      </c>
      <c r="O580">
        <v>101</v>
      </c>
      <c r="P580">
        <v>0</v>
      </c>
      <c r="Q580">
        <v>0</v>
      </c>
      <c r="R580">
        <v>0</v>
      </c>
      <c r="S580" t="str">
        <f t="shared" si="45"/>
        <v>PX: Baja Crit.</v>
      </c>
      <c r="T580">
        <f t="shared" si="46"/>
        <v>1</v>
      </c>
      <c r="U580">
        <f t="shared" si="47"/>
        <v>0</v>
      </c>
      <c r="V580">
        <f t="shared" si="48"/>
        <v>0</v>
      </c>
      <c r="W580">
        <f t="shared" si="49"/>
        <v>0</v>
      </c>
      <c r="X580">
        <v>1</v>
      </c>
      <c r="Y580" s="2">
        <v>45768</v>
      </c>
      <c r="Z580" s="3" t="s">
        <v>70</v>
      </c>
      <c r="AA580" t="s">
        <v>39</v>
      </c>
      <c r="AB580" t="s">
        <v>76</v>
      </c>
      <c r="AC580" s="5" t="s">
        <v>77</v>
      </c>
      <c r="AD580" t="s">
        <v>589</v>
      </c>
    </row>
    <row r="581" spans="2:30">
      <c r="B581" s="6">
        <v>6</v>
      </c>
      <c r="C581" s="6">
        <v>1020</v>
      </c>
      <c r="D581" s="6" t="s">
        <v>29</v>
      </c>
      <c r="E581" s="6">
        <v>10023523</v>
      </c>
      <c r="F581" s="6" t="s">
        <v>673</v>
      </c>
      <c r="G581" s="6" t="s">
        <v>52</v>
      </c>
      <c r="H581" s="6" t="s">
        <v>44</v>
      </c>
      <c r="I581" s="6" t="s">
        <v>588</v>
      </c>
      <c r="J581" s="6" t="s">
        <v>45</v>
      </c>
      <c r="K581" s="6" t="s">
        <v>80</v>
      </c>
      <c r="L581" s="6" t="s">
        <v>36</v>
      </c>
      <c r="M581" s="6" t="s">
        <v>46</v>
      </c>
      <c r="N581" s="6">
        <v>165</v>
      </c>
      <c r="O581" s="6">
        <v>110</v>
      </c>
      <c r="P581" s="6">
        <v>110</v>
      </c>
      <c r="Q581" s="6">
        <v>110</v>
      </c>
      <c r="R581" s="9">
        <v>9020.02</v>
      </c>
      <c r="S581" s="6" t="str">
        <f t="shared" si="45"/>
        <v>PZ: Alta Crit.</v>
      </c>
      <c r="T581" s="6">
        <f t="shared" si="46"/>
        <v>0</v>
      </c>
      <c r="U581" s="6">
        <f t="shared" si="47"/>
        <v>1</v>
      </c>
      <c r="V581" s="6">
        <f t="shared" si="48"/>
        <v>0</v>
      </c>
      <c r="W581" s="6">
        <f t="shared" si="49"/>
        <v>0</v>
      </c>
      <c r="X581" s="6">
        <v>1</v>
      </c>
      <c r="Y581" s="10">
        <v>45768</v>
      </c>
      <c r="Z581" s="11" t="s">
        <v>47</v>
      </c>
      <c r="AA581" s="6" t="s">
        <v>39</v>
      </c>
      <c r="AB581" s="6" t="s">
        <v>40</v>
      </c>
      <c r="AC581" s="6" t="s">
        <v>40</v>
      </c>
      <c r="AD581" s="6" t="s">
        <v>589</v>
      </c>
    </row>
    <row r="582" spans="2:30">
      <c r="B582">
        <v>6</v>
      </c>
      <c r="C582">
        <v>1020</v>
      </c>
      <c r="D582" t="s">
        <v>29</v>
      </c>
      <c r="E582">
        <v>14219620</v>
      </c>
      <c r="F582" t="s">
        <v>674</v>
      </c>
      <c r="G582" t="s">
        <v>52</v>
      </c>
      <c r="H582" t="s">
        <v>44</v>
      </c>
      <c r="I582" t="s">
        <v>588</v>
      </c>
      <c r="J582" t="s">
        <v>45</v>
      </c>
      <c r="K582" t="s">
        <v>35</v>
      </c>
      <c r="L582" t="s">
        <v>36</v>
      </c>
      <c r="M582" t="s">
        <v>69</v>
      </c>
      <c r="N582">
        <v>15</v>
      </c>
      <c r="O582">
        <v>11</v>
      </c>
      <c r="P582">
        <v>0</v>
      </c>
      <c r="Q582">
        <v>2</v>
      </c>
      <c r="R582" s="4">
        <v>1734.68</v>
      </c>
      <c r="S582" t="str">
        <f t="shared" si="45"/>
        <v>PZ: Alta Crit.</v>
      </c>
      <c r="T582">
        <f t="shared" si="46"/>
        <v>0</v>
      </c>
      <c r="U582">
        <f t="shared" si="47"/>
        <v>0</v>
      </c>
      <c r="V582">
        <f t="shared" si="48"/>
        <v>1</v>
      </c>
      <c r="W582">
        <f t="shared" si="49"/>
        <v>0</v>
      </c>
      <c r="X582">
        <v>1</v>
      </c>
      <c r="Y582" s="2">
        <v>45768</v>
      </c>
      <c r="Z582" s="3" t="s">
        <v>70</v>
      </c>
      <c r="AA582" t="s">
        <v>39</v>
      </c>
      <c r="AB582" t="s">
        <v>49</v>
      </c>
      <c r="AC582" s="5" t="s">
        <v>50</v>
      </c>
      <c r="AD582" t="s">
        <v>589</v>
      </c>
    </row>
    <row r="583" spans="2:30">
      <c r="B583">
        <v>6</v>
      </c>
      <c r="C583">
        <v>1020</v>
      </c>
      <c r="D583" t="s">
        <v>29</v>
      </c>
      <c r="E583">
        <v>10286591</v>
      </c>
      <c r="F583" t="s">
        <v>675</v>
      </c>
      <c r="G583" t="s">
        <v>31</v>
      </c>
      <c r="H583" t="s">
        <v>32</v>
      </c>
      <c r="I583" t="s">
        <v>588</v>
      </c>
      <c r="J583" t="s">
        <v>45</v>
      </c>
      <c r="K583" t="s">
        <v>35</v>
      </c>
      <c r="L583" t="s">
        <v>36</v>
      </c>
      <c r="M583" t="s">
        <v>46</v>
      </c>
      <c r="N583">
        <v>6</v>
      </c>
      <c r="O583">
        <v>4</v>
      </c>
      <c r="P583">
        <v>1</v>
      </c>
      <c r="Q583">
        <v>6</v>
      </c>
      <c r="R583" s="4">
        <v>3386.99</v>
      </c>
      <c r="S583" t="str">
        <f t="shared" si="45"/>
        <v>PX: Baja Crit.</v>
      </c>
      <c r="T583">
        <f t="shared" si="46"/>
        <v>0</v>
      </c>
      <c r="U583">
        <f t="shared" si="47"/>
        <v>0</v>
      </c>
      <c r="V583">
        <f t="shared" si="48"/>
        <v>1</v>
      </c>
      <c r="W583">
        <f t="shared" si="49"/>
        <v>0</v>
      </c>
      <c r="X583">
        <v>1</v>
      </c>
      <c r="Y583" s="2">
        <v>45768</v>
      </c>
      <c r="Z583" s="3" t="s">
        <v>47</v>
      </c>
      <c r="AA583" t="s">
        <v>39</v>
      </c>
      <c r="AB583" t="s">
        <v>40</v>
      </c>
      <c r="AC583" t="s">
        <v>40</v>
      </c>
      <c r="AD583" t="s">
        <v>589</v>
      </c>
    </row>
    <row r="584" spans="2:30">
      <c r="B584">
        <v>6</v>
      </c>
      <c r="C584">
        <v>1020</v>
      </c>
      <c r="D584" t="s">
        <v>29</v>
      </c>
      <c r="E584">
        <v>10615651</v>
      </c>
      <c r="F584" t="s">
        <v>676</v>
      </c>
      <c r="G584" t="s">
        <v>52</v>
      </c>
      <c r="H584" t="s">
        <v>60</v>
      </c>
      <c r="I584" t="s">
        <v>588</v>
      </c>
      <c r="J584" t="s">
        <v>34</v>
      </c>
      <c r="K584" t="s">
        <v>35</v>
      </c>
      <c r="L584" t="s">
        <v>36</v>
      </c>
      <c r="M584" t="s">
        <v>46</v>
      </c>
      <c r="N584">
        <v>12</v>
      </c>
      <c r="O584">
        <v>8</v>
      </c>
      <c r="P584">
        <v>4</v>
      </c>
      <c r="Q584">
        <v>6</v>
      </c>
      <c r="R584" s="4">
        <v>4755.67</v>
      </c>
      <c r="S584" t="str">
        <f t="shared" si="45"/>
        <v>PZ: Alta Crit.</v>
      </c>
      <c r="T584">
        <f t="shared" si="46"/>
        <v>0</v>
      </c>
      <c r="U584">
        <f t="shared" si="47"/>
        <v>0</v>
      </c>
      <c r="V584">
        <f t="shared" si="48"/>
        <v>1</v>
      </c>
      <c r="W584">
        <f t="shared" si="49"/>
        <v>0</v>
      </c>
      <c r="X584">
        <v>1</v>
      </c>
      <c r="Y584" s="2">
        <v>45768</v>
      </c>
      <c r="Z584" s="3" t="s">
        <v>47</v>
      </c>
      <c r="AA584" t="s">
        <v>39</v>
      </c>
      <c r="AB584" t="s">
        <v>49</v>
      </c>
      <c r="AC584" s="5" t="s">
        <v>50</v>
      </c>
      <c r="AD584" t="s">
        <v>589</v>
      </c>
    </row>
    <row r="585" spans="2:30">
      <c r="B585">
        <v>6</v>
      </c>
      <c r="C585">
        <v>1020</v>
      </c>
      <c r="D585" t="s">
        <v>29</v>
      </c>
      <c r="E585">
        <v>14267159</v>
      </c>
      <c r="F585" t="s">
        <v>677</v>
      </c>
      <c r="G585" t="s">
        <v>43</v>
      </c>
      <c r="H585" t="s">
        <v>44</v>
      </c>
      <c r="I585" t="s">
        <v>588</v>
      </c>
      <c r="J585" t="s">
        <v>45</v>
      </c>
      <c r="K585" t="s">
        <v>35</v>
      </c>
      <c r="L585" t="s">
        <v>36</v>
      </c>
      <c r="M585" t="s">
        <v>46</v>
      </c>
      <c r="N585">
        <v>3</v>
      </c>
      <c r="O585">
        <v>2</v>
      </c>
      <c r="P585">
        <v>0</v>
      </c>
      <c r="Q585">
        <v>2</v>
      </c>
      <c r="R585" s="4">
        <v>4047.15</v>
      </c>
      <c r="S585" t="str">
        <f t="shared" si="45"/>
        <v>PY: Media Crit.</v>
      </c>
      <c r="T585">
        <f t="shared" si="46"/>
        <v>0</v>
      </c>
      <c r="U585">
        <f t="shared" si="47"/>
        <v>0</v>
      </c>
      <c r="V585">
        <f t="shared" si="48"/>
        <v>1</v>
      </c>
      <c r="W585">
        <f t="shared" si="49"/>
        <v>0</v>
      </c>
      <c r="X585">
        <v>1</v>
      </c>
      <c r="Y585" s="2">
        <v>45768</v>
      </c>
      <c r="Z585" s="3" t="s">
        <v>47</v>
      </c>
      <c r="AA585" t="s">
        <v>39</v>
      </c>
      <c r="AB585" t="s">
        <v>40</v>
      </c>
      <c r="AC585" t="s">
        <v>40</v>
      </c>
      <c r="AD585" t="s">
        <v>589</v>
      </c>
    </row>
    <row r="586" spans="2:30">
      <c r="B586">
        <v>6</v>
      </c>
      <c r="C586">
        <v>1020</v>
      </c>
      <c r="D586" t="s">
        <v>29</v>
      </c>
      <c r="E586">
        <v>10601701</v>
      </c>
      <c r="F586" t="s">
        <v>678</v>
      </c>
      <c r="G586" t="s">
        <v>43</v>
      </c>
      <c r="H586" t="s">
        <v>32</v>
      </c>
      <c r="I586" t="s">
        <v>588</v>
      </c>
      <c r="J586" t="s">
        <v>34</v>
      </c>
      <c r="K586" t="s">
        <v>35</v>
      </c>
      <c r="L586" t="s">
        <v>36</v>
      </c>
      <c r="M586" t="s">
        <v>46</v>
      </c>
      <c r="N586">
        <v>30</v>
      </c>
      <c r="O586">
        <v>11</v>
      </c>
      <c r="P586">
        <v>2</v>
      </c>
      <c r="Q586">
        <v>30</v>
      </c>
      <c r="R586" s="4">
        <v>1284.58</v>
      </c>
      <c r="S586" t="str">
        <f t="shared" si="45"/>
        <v>PY: Media Crit.</v>
      </c>
      <c r="T586">
        <f t="shared" si="46"/>
        <v>0</v>
      </c>
      <c r="U586">
        <f t="shared" si="47"/>
        <v>0</v>
      </c>
      <c r="V586">
        <f t="shared" si="48"/>
        <v>1</v>
      </c>
      <c r="W586">
        <f t="shared" si="49"/>
        <v>0</v>
      </c>
      <c r="X586">
        <v>1</v>
      </c>
      <c r="Y586" s="2">
        <v>45768</v>
      </c>
      <c r="Z586" s="3" t="s">
        <v>47</v>
      </c>
      <c r="AA586" t="s">
        <v>39</v>
      </c>
      <c r="AB586" t="s">
        <v>40</v>
      </c>
      <c r="AC586" t="s">
        <v>40</v>
      </c>
      <c r="AD586" t="s">
        <v>589</v>
      </c>
    </row>
    <row r="587" spans="2:30">
      <c r="B587">
        <v>6</v>
      </c>
      <c r="C587">
        <v>1020</v>
      </c>
      <c r="D587" t="s">
        <v>29</v>
      </c>
      <c r="E587">
        <v>14149411</v>
      </c>
      <c r="F587" t="s">
        <v>679</v>
      </c>
      <c r="G587" t="s">
        <v>31</v>
      </c>
      <c r="H587" t="s">
        <v>44</v>
      </c>
      <c r="I587" t="s">
        <v>588</v>
      </c>
      <c r="J587" t="s">
        <v>45</v>
      </c>
      <c r="K587" t="s">
        <v>35</v>
      </c>
      <c r="L587" t="s">
        <v>36</v>
      </c>
      <c r="M587" t="s">
        <v>117</v>
      </c>
      <c r="N587">
        <v>12</v>
      </c>
      <c r="O587">
        <v>12</v>
      </c>
      <c r="P587">
        <v>0</v>
      </c>
      <c r="Q587">
        <v>0</v>
      </c>
      <c r="R587">
        <v>0</v>
      </c>
      <c r="S587" t="str">
        <f t="shared" si="45"/>
        <v>PX: Baja Crit.</v>
      </c>
      <c r="T587">
        <f t="shared" si="46"/>
        <v>1</v>
      </c>
      <c r="U587">
        <f t="shared" si="47"/>
        <v>0</v>
      </c>
      <c r="V587">
        <f t="shared" si="48"/>
        <v>0</v>
      </c>
      <c r="W587">
        <f t="shared" si="49"/>
        <v>0</v>
      </c>
      <c r="X587">
        <v>1</v>
      </c>
      <c r="Y587" s="2">
        <v>45768</v>
      </c>
      <c r="Z587" s="3" t="s">
        <v>118</v>
      </c>
      <c r="AA587" t="s">
        <v>39</v>
      </c>
      <c r="AB587" t="s">
        <v>49</v>
      </c>
      <c r="AC587" s="5" t="s">
        <v>50</v>
      </c>
      <c r="AD587" t="s">
        <v>589</v>
      </c>
    </row>
    <row r="588" spans="2:30">
      <c r="B588">
        <v>6</v>
      </c>
      <c r="C588">
        <v>1020</v>
      </c>
      <c r="D588" t="s">
        <v>29</v>
      </c>
      <c r="E588">
        <v>10055306</v>
      </c>
      <c r="F588" t="s">
        <v>680</v>
      </c>
      <c r="G588" t="s">
        <v>43</v>
      </c>
      <c r="H588" t="s">
        <v>32</v>
      </c>
      <c r="I588" t="s">
        <v>588</v>
      </c>
      <c r="J588" t="s">
        <v>45</v>
      </c>
      <c r="K588" t="s">
        <v>35</v>
      </c>
      <c r="L588" t="s">
        <v>36</v>
      </c>
      <c r="M588" t="s">
        <v>117</v>
      </c>
      <c r="N588">
        <v>35</v>
      </c>
      <c r="O588">
        <v>20</v>
      </c>
      <c r="P588">
        <v>10</v>
      </c>
      <c r="Q588">
        <v>35</v>
      </c>
      <c r="R588" s="4">
        <v>5865.98</v>
      </c>
      <c r="S588" t="str">
        <f t="shared" si="45"/>
        <v>PY: Media Crit.</v>
      </c>
      <c r="T588">
        <f t="shared" si="46"/>
        <v>0</v>
      </c>
      <c r="U588">
        <f t="shared" si="47"/>
        <v>0</v>
      </c>
      <c r="V588">
        <f t="shared" si="48"/>
        <v>1</v>
      </c>
      <c r="W588">
        <f t="shared" si="49"/>
        <v>0</v>
      </c>
      <c r="X588">
        <v>1</v>
      </c>
      <c r="Y588" s="2">
        <v>45768</v>
      </c>
      <c r="Z588" s="3" t="s">
        <v>118</v>
      </c>
      <c r="AA588" t="s">
        <v>39</v>
      </c>
      <c r="AB588" t="s">
        <v>40</v>
      </c>
      <c r="AC588" t="s">
        <v>40</v>
      </c>
      <c r="AD588" t="s">
        <v>589</v>
      </c>
    </row>
    <row r="589" spans="2:30">
      <c r="B589">
        <v>6</v>
      </c>
      <c r="C589">
        <v>1020</v>
      </c>
      <c r="D589" t="s">
        <v>29</v>
      </c>
      <c r="E589">
        <v>10607393</v>
      </c>
      <c r="F589" t="s">
        <v>681</v>
      </c>
      <c r="G589" t="s">
        <v>43</v>
      </c>
      <c r="H589" t="s">
        <v>32</v>
      </c>
      <c r="I589" t="s">
        <v>588</v>
      </c>
      <c r="J589" t="s">
        <v>45</v>
      </c>
      <c r="K589" t="s">
        <v>35</v>
      </c>
      <c r="L589" t="s">
        <v>36</v>
      </c>
      <c r="M589" t="s">
        <v>117</v>
      </c>
      <c r="N589">
        <v>10</v>
      </c>
      <c r="O589">
        <v>6</v>
      </c>
      <c r="P589">
        <v>2</v>
      </c>
      <c r="Q589">
        <v>20</v>
      </c>
      <c r="R589">
        <v>664.35</v>
      </c>
      <c r="S589" t="str">
        <f t="shared" si="45"/>
        <v>PY: Media Crit.</v>
      </c>
      <c r="T589">
        <f t="shared" si="46"/>
        <v>0</v>
      </c>
      <c r="U589">
        <f t="shared" si="47"/>
        <v>0</v>
      </c>
      <c r="V589">
        <f t="shared" si="48"/>
        <v>0</v>
      </c>
      <c r="W589">
        <f t="shared" si="49"/>
        <v>1</v>
      </c>
      <c r="X589">
        <v>1</v>
      </c>
      <c r="Y589" s="2">
        <v>45768</v>
      </c>
      <c r="Z589" s="3" t="s">
        <v>118</v>
      </c>
      <c r="AA589" t="s">
        <v>39</v>
      </c>
      <c r="AB589" t="s">
        <v>40</v>
      </c>
      <c r="AC589" t="s">
        <v>40</v>
      </c>
      <c r="AD589" t="s">
        <v>589</v>
      </c>
    </row>
    <row r="590" spans="2:30">
      <c r="B590">
        <v>6</v>
      </c>
      <c r="C590">
        <v>1020</v>
      </c>
      <c r="D590" t="s">
        <v>29</v>
      </c>
      <c r="E590">
        <v>10045761</v>
      </c>
      <c r="F590" t="s">
        <v>682</v>
      </c>
      <c r="G590" t="s">
        <v>31</v>
      </c>
      <c r="H590" t="s">
        <v>32</v>
      </c>
      <c r="I590" t="s">
        <v>588</v>
      </c>
      <c r="J590" t="s">
        <v>45</v>
      </c>
      <c r="K590" t="s">
        <v>35</v>
      </c>
      <c r="L590" t="s">
        <v>36</v>
      </c>
      <c r="M590" t="s">
        <v>55</v>
      </c>
      <c r="N590">
        <v>60</v>
      </c>
      <c r="O590">
        <v>31</v>
      </c>
      <c r="P590">
        <v>10</v>
      </c>
      <c r="Q590">
        <v>60</v>
      </c>
      <c r="R590">
        <v>87.41</v>
      </c>
      <c r="S590" t="str">
        <f t="shared" si="45"/>
        <v>PX: Baja Crit.</v>
      </c>
      <c r="T590">
        <f t="shared" si="46"/>
        <v>0</v>
      </c>
      <c r="U590">
        <f t="shared" si="47"/>
        <v>0</v>
      </c>
      <c r="V590">
        <f t="shared" si="48"/>
        <v>1</v>
      </c>
      <c r="W590">
        <f t="shared" si="49"/>
        <v>0</v>
      </c>
      <c r="X590">
        <v>1</v>
      </c>
      <c r="Y590" s="2">
        <v>45768</v>
      </c>
      <c r="Z590" s="3" t="s">
        <v>56</v>
      </c>
      <c r="AA590" t="s">
        <v>39</v>
      </c>
      <c r="AB590" t="s">
        <v>40</v>
      </c>
      <c r="AC590" t="s">
        <v>40</v>
      </c>
      <c r="AD590" t="s">
        <v>589</v>
      </c>
    </row>
    <row r="591" spans="2:30">
      <c r="B591">
        <v>6</v>
      </c>
      <c r="C591">
        <v>1020</v>
      </c>
      <c r="D591" t="s">
        <v>29</v>
      </c>
      <c r="E591">
        <v>10049920</v>
      </c>
      <c r="F591" t="s">
        <v>683</v>
      </c>
      <c r="G591" t="s">
        <v>31</v>
      </c>
      <c r="H591" t="s">
        <v>32</v>
      </c>
      <c r="I591" t="s">
        <v>588</v>
      </c>
      <c r="J591" t="s">
        <v>45</v>
      </c>
      <c r="K591" t="s">
        <v>35</v>
      </c>
      <c r="L591" t="s">
        <v>36</v>
      </c>
      <c r="M591" t="s">
        <v>55</v>
      </c>
      <c r="N591">
        <v>210</v>
      </c>
      <c r="O591">
        <v>101</v>
      </c>
      <c r="P591">
        <v>20</v>
      </c>
      <c r="Q591">
        <v>110</v>
      </c>
      <c r="R591">
        <v>16.73</v>
      </c>
      <c r="S591" t="str">
        <f t="shared" si="45"/>
        <v>PX: Baja Crit.</v>
      </c>
      <c r="T591">
        <f t="shared" si="46"/>
        <v>0</v>
      </c>
      <c r="U591">
        <f t="shared" si="47"/>
        <v>0</v>
      </c>
      <c r="V591">
        <f t="shared" si="48"/>
        <v>1</v>
      </c>
      <c r="W591">
        <f t="shared" si="49"/>
        <v>0</v>
      </c>
      <c r="X591">
        <v>1</v>
      </c>
      <c r="Y591" s="2">
        <v>45768</v>
      </c>
      <c r="Z591" s="3" t="s">
        <v>56</v>
      </c>
      <c r="AA591" t="s">
        <v>39</v>
      </c>
      <c r="AB591" t="s">
        <v>40</v>
      </c>
      <c r="AC591" t="s">
        <v>40</v>
      </c>
      <c r="AD591" t="s">
        <v>589</v>
      </c>
    </row>
    <row r="592" spans="2:30">
      <c r="B592">
        <v>6</v>
      </c>
      <c r="C592">
        <v>1020</v>
      </c>
      <c r="D592" t="s">
        <v>29</v>
      </c>
      <c r="E592">
        <v>10054468</v>
      </c>
      <c r="F592" t="s">
        <v>684</v>
      </c>
      <c r="G592" t="s">
        <v>43</v>
      </c>
      <c r="H592" t="s">
        <v>32</v>
      </c>
      <c r="I592" t="s">
        <v>588</v>
      </c>
      <c r="J592" t="s">
        <v>45</v>
      </c>
      <c r="K592" t="s">
        <v>35</v>
      </c>
      <c r="L592" t="s">
        <v>36</v>
      </c>
      <c r="M592" t="s">
        <v>46</v>
      </c>
      <c r="N592">
        <v>12</v>
      </c>
      <c r="O592">
        <v>6</v>
      </c>
      <c r="P592">
        <v>2</v>
      </c>
      <c r="Q592">
        <v>12</v>
      </c>
      <c r="R592">
        <v>354.48</v>
      </c>
      <c r="S592" t="str">
        <f t="shared" si="45"/>
        <v>PY: Media Crit.</v>
      </c>
      <c r="T592">
        <f t="shared" si="46"/>
        <v>0</v>
      </c>
      <c r="U592">
        <f t="shared" si="47"/>
        <v>0</v>
      </c>
      <c r="V592">
        <f t="shared" si="48"/>
        <v>1</v>
      </c>
      <c r="W592">
        <f t="shared" si="49"/>
        <v>0</v>
      </c>
      <c r="X592">
        <v>1</v>
      </c>
      <c r="Y592" s="2">
        <v>45768</v>
      </c>
      <c r="Z592" s="3" t="s">
        <v>47</v>
      </c>
      <c r="AA592" t="s">
        <v>39</v>
      </c>
      <c r="AB592" t="s">
        <v>40</v>
      </c>
      <c r="AC592" t="s">
        <v>40</v>
      </c>
      <c r="AD592" t="s">
        <v>589</v>
      </c>
    </row>
    <row r="593" spans="2:30">
      <c r="B593">
        <v>6</v>
      </c>
      <c r="C593">
        <v>1020</v>
      </c>
      <c r="D593" t="s">
        <v>29</v>
      </c>
      <c r="E593">
        <v>10645070</v>
      </c>
      <c r="F593" t="s">
        <v>685</v>
      </c>
      <c r="G593" t="s">
        <v>43</v>
      </c>
      <c r="H593" t="s">
        <v>32</v>
      </c>
      <c r="I593" t="s">
        <v>588</v>
      </c>
      <c r="J593" t="s">
        <v>45</v>
      </c>
      <c r="K593" t="s">
        <v>35</v>
      </c>
      <c r="L593" t="s">
        <v>36</v>
      </c>
      <c r="M593" t="s">
        <v>46</v>
      </c>
      <c r="N593">
        <v>12</v>
      </c>
      <c r="O593">
        <v>7</v>
      </c>
      <c r="P593">
        <v>3</v>
      </c>
      <c r="Q593">
        <v>18</v>
      </c>
      <c r="R593" s="4">
        <v>1600.31</v>
      </c>
      <c r="S593" t="str">
        <f t="shared" si="45"/>
        <v>PY: Media Crit.</v>
      </c>
      <c r="T593">
        <f t="shared" si="46"/>
        <v>0</v>
      </c>
      <c r="U593">
        <f t="shared" si="47"/>
        <v>0</v>
      </c>
      <c r="V593">
        <f t="shared" si="48"/>
        <v>0</v>
      </c>
      <c r="W593">
        <f t="shared" si="49"/>
        <v>1</v>
      </c>
      <c r="X593">
        <v>1</v>
      </c>
      <c r="Y593" s="2">
        <v>45768</v>
      </c>
      <c r="Z593" s="3" t="s">
        <v>47</v>
      </c>
      <c r="AA593" t="s">
        <v>39</v>
      </c>
      <c r="AB593" t="s">
        <v>40</v>
      </c>
      <c r="AC593" t="s">
        <v>40</v>
      </c>
      <c r="AD593" t="s">
        <v>589</v>
      </c>
    </row>
    <row r="594" spans="2:30">
      <c r="B594">
        <v>6</v>
      </c>
      <c r="C594">
        <v>1020</v>
      </c>
      <c r="D594" t="s">
        <v>29</v>
      </c>
      <c r="E594">
        <v>14104890</v>
      </c>
      <c r="F594" t="s">
        <v>686</v>
      </c>
      <c r="G594" t="s">
        <v>31</v>
      </c>
      <c r="H594" t="s">
        <v>44</v>
      </c>
      <c r="I594" t="s">
        <v>588</v>
      </c>
      <c r="J594" t="s">
        <v>45</v>
      </c>
      <c r="K594" t="s">
        <v>35</v>
      </c>
      <c r="L594" t="s">
        <v>36</v>
      </c>
      <c r="M594" t="s">
        <v>69</v>
      </c>
      <c r="N594">
        <v>2</v>
      </c>
      <c r="O594">
        <v>2</v>
      </c>
      <c r="P594">
        <v>0</v>
      </c>
      <c r="Q594">
        <v>2</v>
      </c>
      <c r="R594" s="4">
        <v>7179.73</v>
      </c>
      <c r="S594" t="str">
        <f t="shared" si="45"/>
        <v>PX: Baja Crit.</v>
      </c>
      <c r="T594">
        <f t="shared" si="46"/>
        <v>0</v>
      </c>
      <c r="U594">
        <f t="shared" si="47"/>
        <v>0</v>
      </c>
      <c r="V594">
        <f t="shared" si="48"/>
        <v>1</v>
      </c>
      <c r="W594">
        <f t="shared" si="49"/>
        <v>0</v>
      </c>
      <c r="X594">
        <v>1</v>
      </c>
      <c r="Y594" s="2">
        <v>45768</v>
      </c>
      <c r="Z594" s="3" t="s">
        <v>70</v>
      </c>
      <c r="AA594" t="s">
        <v>39</v>
      </c>
      <c r="AB594" t="s">
        <v>40</v>
      </c>
      <c r="AC594" t="s">
        <v>40</v>
      </c>
      <c r="AD594" t="s">
        <v>589</v>
      </c>
    </row>
    <row r="595" spans="2:30">
      <c r="B595">
        <v>6</v>
      </c>
      <c r="C595">
        <v>1020</v>
      </c>
      <c r="D595" t="s">
        <v>29</v>
      </c>
      <c r="E595">
        <v>14011625</v>
      </c>
      <c r="F595" t="s">
        <v>687</v>
      </c>
      <c r="G595" t="s">
        <v>31</v>
      </c>
      <c r="H595" t="s">
        <v>60</v>
      </c>
      <c r="I595" t="s">
        <v>588</v>
      </c>
      <c r="J595" t="s">
        <v>45</v>
      </c>
      <c r="K595" t="s">
        <v>35</v>
      </c>
      <c r="L595" t="s">
        <v>36</v>
      </c>
      <c r="M595" t="s">
        <v>117</v>
      </c>
      <c r="N595">
        <v>10</v>
      </c>
      <c r="O595">
        <v>6</v>
      </c>
      <c r="P595">
        <v>0</v>
      </c>
      <c r="Q595">
        <v>10</v>
      </c>
      <c r="R595">
        <v>502.95</v>
      </c>
      <c r="S595" t="str">
        <f t="shared" si="45"/>
        <v>PX: Baja Crit.</v>
      </c>
      <c r="T595">
        <f t="shared" si="46"/>
        <v>0</v>
      </c>
      <c r="U595">
        <f t="shared" si="47"/>
        <v>0</v>
      </c>
      <c r="V595">
        <f t="shared" si="48"/>
        <v>1</v>
      </c>
      <c r="W595">
        <f t="shared" si="49"/>
        <v>0</v>
      </c>
      <c r="X595">
        <v>1</v>
      </c>
      <c r="Y595" s="2">
        <v>45768</v>
      </c>
      <c r="Z595" s="3" t="s">
        <v>118</v>
      </c>
      <c r="AA595" t="s">
        <v>39</v>
      </c>
      <c r="AB595" t="s">
        <v>40</v>
      </c>
      <c r="AC595" t="s">
        <v>40</v>
      </c>
      <c r="AD595" t="s">
        <v>589</v>
      </c>
    </row>
    <row r="596" spans="2:30">
      <c r="B596">
        <v>6</v>
      </c>
      <c r="C596">
        <v>1020</v>
      </c>
      <c r="D596" t="s">
        <v>29</v>
      </c>
      <c r="E596">
        <v>10043335</v>
      </c>
      <c r="F596" t="s">
        <v>688</v>
      </c>
      <c r="G596" t="s">
        <v>52</v>
      </c>
      <c r="H596" t="s">
        <v>32</v>
      </c>
      <c r="I596" t="s">
        <v>588</v>
      </c>
      <c r="J596" t="s">
        <v>45</v>
      </c>
      <c r="K596" t="s">
        <v>35</v>
      </c>
      <c r="L596" t="s">
        <v>36</v>
      </c>
      <c r="M596" t="s">
        <v>46</v>
      </c>
      <c r="N596">
        <v>15</v>
      </c>
      <c r="O596">
        <v>8</v>
      </c>
      <c r="P596">
        <v>3</v>
      </c>
      <c r="Q596">
        <v>9</v>
      </c>
      <c r="R596" s="4">
        <v>13529.21</v>
      </c>
      <c r="S596" t="str">
        <f t="shared" si="45"/>
        <v>PZ: Alta Crit.</v>
      </c>
      <c r="T596">
        <f t="shared" si="46"/>
        <v>0</v>
      </c>
      <c r="U596">
        <f t="shared" si="47"/>
        <v>0</v>
      </c>
      <c r="V596">
        <f t="shared" si="48"/>
        <v>1</v>
      </c>
      <c r="W596">
        <f t="shared" si="49"/>
        <v>0</v>
      </c>
      <c r="X596">
        <v>1</v>
      </c>
      <c r="Y596" s="2">
        <v>45768</v>
      </c>
      <c r="Z596" s="3" t="s">
        <v>47</v>
      </c>
      <c r="AA596" t="s">
        <v>39</v>
      </c>
      <c r="AB596" t="s">
        <v>40</v>
      </c>
      <c r="AC596" t="s">
        <v>40</v>
      </c>
      <c r="AD596" t="s">
        <v>589</v>
      </c>
    </row>
    <row r="597" spans="2:30">
      <c r="B597">
        <v>6</v>
      </c>
      <c r="C597">
        <v>1020</v>
      </c>
      <c r="D597" t="s">
        <v>388</v>
      </c>
      <c r="E597">
        <v>10046009</v>
      </c>
      <c r="F597" t="s">
        <v>689</v>
      </c>
      <c r="G597" t="s">
        <v>31</v>
      </c>
      <c r="H597" t="s">
        <v>32</v>
      </c>
      <c r="I597" t="s">
        <v>390</v>
      </c>
      <c r="J597" t="s">
        <v>45</v>
      </c>
      <c r="K597" t="s">
        <v>35</v>
      </c>
      <c r="L597" t="s">
        <v>175</v>
      </c>
      <c r="M597" t="s">
        <v>69</v>
      </c>
      <c r="N597">
        <v>0</v>
      </c>
      <c r="O597">
        <v>0</v>
      </c>
      <c r="P597">
        <v>6</v>
      </c>
      <c r="Q597">
        <v>11</v>
      </c>
      <c r="R597" s="4">
        <v>15501.84</v>
      </c>
      <c r="S597" t="str">
        <f t="shared" si="45"/>
        <v>PX: Baja Crit.</v>
      </c>
      <c r="T597">
        <f t="shared" si="46"/>
        <v>0</v>
      </c>
      <c r="U597">
        <f t="shared" si="47"/>
        <v>0</v>
      </c>
      <c r="V597">
        <f t="shared" si="48"/>
        <v>0</v>
      </c>
      <c r="W597">
        <f t="shared" si="49"/>
        <v>1</v>
      </c>
      <c r="X597">
        <v>1</v>
      </c>
      <c r="Y597" s="2">
        <v>45768</v>
      </c>
      <c r="Z597" s="3" t="s">
        <v>70</v>
      </c>
      <c r="AA597" t="s">
        <v>39</v>
      </c>
      <c r="AB597" t="s">
        <v>40</v>
      </c>
      <c r="AC597" t="s">
        <v>40</v>
      </c>
      <c r="AD597" t="s">
        <v>391</v>
      </c>
    </row>
    <row r="598" spans="2:30">
      <c r="B598">
        <v>6</v>
      </c>
      <c r="C598">
        <v>1020</v>
      </c>
      <c r="D598" t="s">
        <v>181</v>
      </c>
      <c r="E598">
        <v>10048193</v>
      </c>
      <c r="F598" t="s">
        <v>690</v>
      </c>
      <c r="G598" t="s">
        <v>43</v>
      </c>
      <c r="H598" t="s">
        <v>60</v>
      </c>
      <c r="I598" t="s">
        <v>183</v>
      </c>
      <c r="J598" t="s">
        <v>45</v>
      </c>
      <c r="K598" t="s">
        <v>35</v>
      </c>
      <c r="L598" t="s">
        <v>36</v>
      </c>
      <c r="M598" t="s">
        <v>46</v>
      </c>
      <c r="N598">
        <v>20</v>
      </c>
      <c r="O598">
        <v>12</v>
      </c>
      <c r="P598">
        <v>0</v>
      </c>
      <c r="Q598">
        <v>24</v>
      </c>
      <c r="R598" s="4">
        <v>2667.03</v>
      </c>
      <c r="S598" t="str">
        <f t="shared" si="45"/>
        <v>PY: Media Crit.</v>
      </c>
      <c r="T598">
        <f t="shared" si="46"/>
        <v>0</v>
      </c>
      <c r="U598">
        <f t="shared" si="47"/>
        <v>0</v>
      </c>
      <c r="V598">
        <f t="shared" si="48"/>
        <v>0</v>
      </c>
      <c r="W598">
        <f t="shared" si="49"/>
        <v>1</v>
      </c>
      <c r="X598">
        <v>1</v>
      </c>
      <c r="Y598" s="2">
        <v>45768</v>
      </c>
      <c r="Z598" s="3" t="s">
        <v>47</v>
      </c>
      <c r="AA598" t="s">
        <v>39</v>
      </c>
      <c r="AB598" t="s">
        <v>40</v>
      </c>
      <c r="AC598" t="s">
        <v>40</v>
      </c>
      <c r="AD598" t="s">
        <v>184</v>
      </c>
    </row>
    <row r="599" spans="2:30">
      <c r="B599">
        <v>6</v>
      </c>
      <c r="C599">
        <v>1020</v>
      </c>
      <c r="D599" t="s">
        <v>388</v>
      </c>
      <c r="E599">
        <v>10048348</v>
      </c>
      <c r="F599" t="s">
        <v>691</v>
      </c>
      <c r="G599" t="s">
        <v>43</v>
      </c>
      <c r="H599" t="s">
        <v>32</v>
      </c>
      <c r="I599" t="s">
        <v>390</v>
      </c>
      <c r="J599" t="s">
        <v>45</v>
      </c>
      <c r="K599" t="s">
        <v>35</v>
      </c>
      <c r="L599" t="s">
        <v>175</v>
      </c>
      <c r="M599" t="s">
        <v>46</v>
      </c>
      <c r="N599">
        <v>0</v>
      </c>
      <c r="O599">
        <v>0</v>
      </c>
      <c r="P599">
        <v>2</v>
      </c>
      <c r="Q599">
        <v>2</v>
      </c>
      <c r="R599" s="4">
        <v>3666.2</v>
      </c>
      <c r="S599" t="str">
        <f t="shared" si="45"/>
        <v>PY: Media Crit.</v>
      </c>
      <c r="T599">
        <f t="shared" si="46"/>
        <v>0</v>
      </c>
      <c r="U599">
        <f t="shared" si="47"/>
        <v>1</v>
      </c>
      <c r="V599">
        <f t="shared" si="48"/>
        <v>0</v>
      </c>
      <c r="W599">
        <f t="shared" si="49"/>
        <v>1</v>
      </c>
      <c r="X599">
        <v>1</v>
      </c>
      <c r="Y599" s="2">
        <v>45768</v>
      </c>
      <c r="Z599" s="3" t="s">
        <v>47</v>
      </c>
      <c r="AA599" t="s">
        <v>39</v>
      </c>
      <c r="AB599" t="s">
        <v>40</v>
      </c>
      <c r="AC599" t="s">
        <v>40</v>
      </c>
      <c r="AD599" t="s">
        <v>391</v>
      </c>
    </row>
    <row r="600" spans="2:30">
      <c r="B600">
        <v>6</v>
      </c>
      <c r="C600">
        <v>1020</v>
      </c>
      <c r="D600" t="s">
        <v>384</v>
      </c>
      <c r="E600">
        <v>10050626</v>
      </c>
      <c r="F600" t="s">
        <v>692</v>
      </c>
      <c r="G600" t="s">
        <v>31</v>
      </c>
      <c r="H600" t="s">
        <v>32</v>
      </c>
      <c r="I600" t="s">
        <v>386</v>
      </c>
      <c r="J600" t="s">
        <v>45</v>
      </c>
      <c r="K600" t="s">
        <v>35</v>
      </c>
      <c r="L600" t="s">
        <v>175</v>
      </c>
      <c r="M600" t="s">
        <v>55</v>
      </c>
      <c r="N600">
        <v>0</v>
      </c>
      <c r="O600">
        <v>0</v>
      </c>
      <c r="P600">
        <v>0</v>
      </c>
      <c r="Q600">
        <v>10</v>
      </c>
      <c r="R600">
        <v>2.6</v>
      </c>
      <c r="S600" t="str">
        <f t="shared" si="45"/>
        <v>PX: Baja Crit.</v>
      </c>
      <c r="T600">
        <f t="shared" si="46"/>
        <v>0</v>
      </c>
      <c r="U600">
        <f t="shared" si="47"/>
        <v>0</v>
      </c>
      <c r="V600">
        <f t="shared" si="48"/>
        <v>0</v>
      </c>
      <c r="W600">
        <f t="shared" si="49"/>
        <v>1</v>
      </c>
      <c r="X600">
        <v>1</v>
      </c>
      <c r="Y600" s="2">
        <v>45768</v>
      </c>
      <c r="Z600" s="3" t="s">
        <v>56</v>
      </c>
      <c r="AA600" t="s">
        <v>39</v>
      </c>
      <c r="AB600" t="s">
        <v>40</v>
      </c>
      <c r="AC600" t="s">
        <v>40</v>
      </c>
      <c r="AD600" t="s">
        <v>387</v>
      </c>
    </row>
    <row r="601" spans="2:30">
      <c r="B601">
        <v>6</v>
      </c>
      <c r="C601">
        <v>1020</v>
      </c>
      <c r="D601" t="s">
        <v>693</v>
      </c>
      <c r="E601">
        <v>10052022</v>
      </c>
      <c r="F601" t="s">
        <v>694</v>
      </c>
      <c r="G601" t="s">
        <v>31</v>
      </c>
      <c r="H601" t="s">
        <v>32</v>
      </c>
      <c r="I601" t="s">
        <v>695</v>
      </c>
      <c r="J601" t="s">
        <v>45</v>
      </c>
      <c r="K601" t="s">
        <v>35</v>
      </c>
      <c r="L601" t="s">
        <v>175</v>
      </c>
      <c r="M601" t="s">
        <v>88</v>
      </c>
      <c r="N601">
        <v>0</v>
      </c>
      <c r="O601">
        <v>0</v>
      </c>
      <c r="P601">
        <v>0</v>
      </c>
      <c r="Q601">
        <v>0</v>
      </c>
      <c r="R601">
        <v>0</v>
      </c>
      <c r="S601" t="str">
        <f t="shared" si="45"/>
        <v>PX: Baja Crit.</v>
      </c>
      <c r="T601">
        <f t="shared" si="46"/>
        <v>1</v>
      </c>
      <c r="U601">
        <f t="shared" si="47"/>
        <v>0</v>
      </c>
      <c r="V601">
        <f t="shared" si="48"/>
        <v>0</v>
      </c>
      <c r="W601">
        <f t="shared" si="49"/>
        <v>0</v>
      </c>
      <c r="X601">
        <v>1</v>
      </c>
      <c r="Y601" s="2">
        <v>45768</v>
      </c>
      <c r="Z601" s="3" t="s">
        <v>89</v>
      </c>
      <c r="AA601" t="s">
        <v>39</v>
      </c>
      <c r="AB601" t="s">
        <v>40</v>
      </c>
      <c r="AC601" t="s">
        <v>40</v>
      </c>
      <c r="AD601" t="s">
        <v>696</v>
      </c>
    </row>
    <row r="602" spans="2:30">
      <c r="B602">
        <v>6</v>
      </c>
      <c r="C602">
        <v>1020</v>
      </c>
      <c r="D602" t="s">
        <v>29</v>
      </c>
      <c r="E602">
        <v>10056844</v>
      </c>
      <c r="F602" t="s">
        <v>697</v>
      </c>
      <c r="G602" t="s">
        <v>31</v>
      </c>
      <c r="H602" t="s">
        <v>60</v>
      </c>
      <c r="I602" t="s">
        <v>588</v>
      </c>
      <c r="J602" t="s">
        <v>45</v>
      </c>
      <c r="K602" t="s">
        <v>35</v>
      </c>
      <c r="L602" t="s">
        <v>36</v>
      </c>
      <c r="M602" t="s">
        <v>46</v>
      </c>
      <c r="N602">
        <v>6</v>
      </c>
      <c r="O602">
        <v>3</v>
      </c>
      <c r="P602">
        <v>2</v>
      </c>
      <c r="Q602">
        <v>3</v>
      </c>
      <c r="R602" s="4">
        <v>2302.0100000000002</v>
      </c>
      <c r="S602" t="str">
        <f t="shared" si="45"/>
        <v>PX: Baja Crit.</v>
      </c>
      <c r="T602">
        <f t="shared" si="46"/>
        <v>0</v>
      </c>
      <c r="U602">
        <f t="shared" si="47"/>
        <v>0</v>
      </c>
      <c r="V602">
        <f t="shared" si="48"/>
        <v>1</v>
      </c>
      <c r="W602">
        <f t="shared" si="49"/>
        <v>0</v>
      </c>
      <c r="X602">
        <v>1</v>
      </c>
      <c r="Y602" s="2">
        <v>45768</v>
      </c>
      <c r="Z602" s="3" t="s">
        <v>47</v>
      </c>
      <c r="AA602" t="s">
        <v>39</v>
      </c>
      <c r="AB602" t="s">
        <v>40</v>
      </c>
      <c r="AC602" t="s">
        <v>40</v>
      </c>
      <c r="AD602" t="s">
        <v>589</v>
      </c>
    </row>
    <row r="603" spans="2:30">
      <c r="B603">
        <v>6</v>
      </c>
      <c r="C603">
        <v>1020</v>
      </c>
      <c r="D603" t="s">
        <v>388</v>
      </c>
      <c r="E603">
        <v>10126425</v>
      </c>
      <c r="F603" t="s">
        <v>698</v>
      </c>
      <c r="G603" t="s">
        <v>52</v>
      </c>
      <c r="H603" t="s">
        <v>32</v>
      </c>
      <c r="I603" t="s">
        <v>390</v>
      </c>
      <c r="J603" t="s">
        <v>45</v>
      </c>
      <c r="K603" t="s">
        <v>35</v>
      </c>
      <c r="L603" t="s">
        <v>175</v>
      </c>
      <c r="M603" t="s">
        <v>69</v>
      </c>
      <c r="N603">
        <v>0</v>
      </c>
      <c r="O603">
        <v>0</v>
      </c>
      <c r="P603">
        <v>1</v>
      </c>
      <c r="Q603">
        <v>4</v>
      </c>
      <c r="R603" s="4">
        <v>4084.98</v>
      </c>
      <c r="S603" t="str">
        <f t="shared" si="45"/>
        <v>PZ: Alta Crit.</v>
      </c>
      <c r="T603">
        <f t="shared" si="46"/>
        <v>0</v>
      </c>
      <c r="U603">
        <f t="shared" si="47"/>
        <v>0</v>
      </c>
      <c r="V603">
        <f t="shared" si="48"/>
        <v>0</v>
      </c>
      <c r="W603">
        <f t="shared" si="49"/>
        <v>1</v>
      </c>
      <c r="X603">
        <v>1</v>
      </c>
      <c r="Y603" s="2">
        <v>45768</v>
      </c>
      <c r="Z603" s="3" t="s">
        <v>70</v>
      </c>
      <c r="AA603" t="s">
        <v>39</v>
      </c>
      <c r="AB603" t="s">
        <v>40</v>
      </c>
      <c r="AC603" t="s">
        <v>40</v>
      </c>
      <c r="AD603" t="s">
        <v>391</v>
      </c>
    </row>
    <row r="604" spans="2:30">
      <c r="B604">
        <v>6</v>
      </c>
      <c r="C604">
        <v>1020</v>
      </c>
      <c r="D604" t="s">
        <v>29</v>
      </c>
      <c r="E604">
        <v>10286519</v>
      </c>
      <c r="F604" t="s">
        <v>699</v>
      </c>
      <c r="G604" t="s">
        <v>52</v>
      </c>
      <c r="H604" t="s">
        <v>32</v>
      </c>
      <c r="I604" t="s">
        <v>588</v>
      </c>
      <c r="J604" t="s">
        <v>34</v>
      </c>
      <c r="K604" t="s">
        <v>35</v>
      </c>
      <c r="L604" t="s">
        <v>36</v>
      </c>
      <c r="M604" t="s">
        <v>46</v>
      </c>
      <c r="N604">
        <v>15</v>
      </c>
      <c r="O604">
        <v>6</v>
      </c>
      <c r="P604">
        <v>3</v>
      </c>
      <c r="Q604">
        <v>15</v>
      </c>
      <c r="R604" s="4">
        <v>8425.2199999999993</v>
      </c>
      <c r="S604" t="str">
        <f t="shared" si="45"/>
        <v>PZ: Alta Crit.</v>
      </c>
      <c r="T604">
        <f t="shared" si="46"/>
        <v>0</v>
      </c>
      <c r="U604">
        <f t="shared" si="47"/>
        <v>0</v>
      </c>
      <c r="V604">
        <f t="shared" si="48"/>
        <v>1</v>
      </c>
      <c r="W604">
        <f t="shared" si="49"/>
        <v>0</v>
      </c>
      <c r="X604">
        <v>1</v>
      </c>
      <c r="Y604" s="2">
        <v>45768</v>
      </c>
      <c r="Z604" s="3" t="s">
        <v>47</v>
      </c>
      <c r="AA604" t="s">
        <v>39</v>
      </c>
      <c r="AB604" t="s">
        <v>40</v>
      </c>
      <c r="AC604" t="s">
        <v>40</v>
      </c>
      <c r="AD604" t="s">
        <v>589</v>
      </c>
    </row>
    <row r="605" spans="2:30">
      <c r="B605">
        <v>6</v>
      </c>
      <c r="C605">
        <v>1020</v>
      </c>
      <c r="D605" t="s">
        <v>388</v>
      </c>
      <c r="E605">
        <v>10635511</v>
      </c>
      <c r="F605" t="s">
        <v>700</v>
      </c>
      <c r="G605" t="s">
        <v>52</v>
      </c>
      <c r="H605" t="s">
        <v>32</v>
      </c>
      <c r="I605" t="s">
        <v>390</v>
      </c>
      <c r="J605" t="s">
        <v>34</v>
      </c>
      <c r="K605" t="s">
        <v>35</v>
      </c>
      <c r="L605" t="s">
        <v>175</v>
      </c>
      <c r="M605" t="s">
        <v>117</v>
      </c>
      <c r="N605">
        <v>0</v>
      </c>
      <c r="O605">
        <v>0</v>
      </c>
      <c r="P605">
        <v>2</v>
      </c>
      <c r="Q605">
        <v>1</v>
      </c>
      <c r="R605" s="4">
        <v>3450</v>
      </c>
      <c r="S605" t="str">
        <f t="shared" si="45"/>
        <v>PZ: Alta Crit.</v>
      </c>
      <c r="T605">
        <f t="shared" si="46"/>
        <v>0</v>
      </c>
      <c r="U605">
        <f t="shared" si="47"/>
        <v>1</v>
      </c>
      <c r="V605">
        <f t="shared" si="48"/>
        <v>0</v>
      </c>
      <c r="W605">
        <f t="shared" si="49"/>
        <v>1</v>
      </c>
      <c r="X605">
        <v>1</v>
      </c>
      <c r="Y605" s="2">
        <v>45768</v>
      </c>
      <c r="Z605" s="3" t="s">
        <v>118</v>
      </c>
      <c r="AA605" t="s">
        <v>39</v>
      </c>
      <c r="AB605" t="s">
        <v>76</v>
      </c>
      <c r="AC605" s="5" t="s">
        <v>77</v>
      </c>
      <c r="AD605" t="s">
        <v>391</v>
      </c>
    </row>
    <row r="606" spans="2:30">
      <c r="B606">
        <v>6</v>
      </c>
      <c r="C606">
        <v>1020</v>
      </c>
      <c r="D606" t="s">
        <v>29</v>
      </c>
      <c r="E606">
        <v>14056078</v>
      </c>
      <c r="F606" t="s">
        <v>701</v>
      </c>
      <c r="G606" t="s">
        <v>43</v>
      </c>
      <c r="H606" t="s">
        <v>44</v>
      </c>
      <c r="I606" t="s">
        <v>588</v>
      </c>
      <c r="J606" t="s">
        <v>45</v>
      </c>
      <c r="K606" t="s">
        <v>35</v>
      </c>
      <c r="L606" t="s">
        <v>36</v>
      </c>
      <c r="M606" t="s">
        <v>117</v>
      </c>
      <c r="N606">
        <v>8</v>
      </c>
      <c r="O606">
        <v>5</v>
      </c>
      <c r="P606">
        <v>1</v>
      </c>
      <c r="Q606">
        <v>6</v>
      </c>
      <c r="R606" s="4">
        <v>9969.5</v>
      </c>
      <c r="S606" t="str">
        <f t="shared" si="45"/>
        <v>PY: Media Crit.</v>
      </c>
      <c r="T606">
        <f t="shared" si="46"/>
        <v>0</v>
      </c>
      <c r="U606">
        <f t="shared" si="47"/>
        <v>0</v>
      </c>
      <c r="V606">
        <f t="shared" si="48"/>
        <v>1</v>
      </c>
      <c r="W606">
        <f t="shared" si="49"/>
        <v>0</v>
      </c>
      <c r="X606">
        <v>1</v>
      </c>
      <c r="Y606" s="2">
        <v>45768</v>
      </c>
      <c r="Z606" s="3" t="s">
        <v>118</v>
      </c>
      <c r="AA606" t="s">
        <v>39</v>
      </c>
      <c r="AB606" t="s">
        <v>40</v>
      </c>
      <c r="AC606" t="s">
        <v>40</v>
      </c>
      <c r="AD606" t="s">
        <v>589</v>
      </c>
    </row>
    <row r="607" spans="2:30">
      <c r="B607">
        <v>6</v>
      </c>
      <c r="C607">
        <v>1020</v>
      </c>
      <c r="D607" t="s">
        <v>384</v>
      </c>
      <c r="E607">
        <v>14322368</v>
      </c>
      <c r="F607" t="s">
        <v>702</v>
      </c>
      <c r="G607" t="s">
        <v>43</v>
      </c>
      <c r="H607" t="s">
        <v>44</v>
      </c>
      <c r="I607" t="s">
        <v>386</v>
      </c>
      <c r="J607" t="s">
        <v>45</v>
      </c>
      <c r="K607" t="s">
        <v>35</v>
      </c>
      <c r="L607" t="s">
        <v>175</v>
      </c>
      <c r="M607" t="s">
        <v>37</v>
      </c>
      <c r="N607">
        <v>0</v>
      </c>
      <c r="O607">
        <v>0</v>
      </c>
      <c r="P607">
        <v>0</v>
      </c>
      <c r="Q607">
        <v>0</v>
      </c>
      <c r="R607">
        <v>0</v>
      </c>
      <c r="S607" t="str">
        <f t="shared" si="45"/>
        <v>PY: Media Crit.</v>
      </c>
      <c r="T607">
        <f t="shared" si="46"/>
        <v>1</v>
      </c>
      <c r="U607">
        <f t="shared" si="47"/>
        <v>0</v>
      </c>
      <c r="V607">
        <f t="shared" si="48"/>
        <v>0</v>
      </c>
      <c r="W607">
        <f t="shared" si="49"/>
        <v>0</v>
      </c>
      <c r="X607">
        <v>1</v>
      </c>
      <c r="Y607" s="2">
        <v>45768</v>
      </c>
      <c r="Z607" s="3" t="s">
        <v>38</v>
      </c>
      <c r="AA607" t="s">
        <v>39</v>
      </c>
      <c r="AB607" t="s">
        <v>76</v>
      </c>
      <c r="AC607" s="5" t="s">
        <v>77</v>
      </c>
      <c r="AD607" t="s">
        <v>387</v>
      </c>
    </row>
    <row r="608" spans="2:30">
      <c r="B608">
        <v>5</v>
      </c>
      <c r="C608">
        <v>1020</v>
      </c>
      <c r="D608" t="s">
        <v>29</v>
      </c>
      <c r="E608">
        <v>10041411</v>
      </c>
      <c r="F608" t="s">
        <v>703</v>
      </c>
      <c r="G608" t="s">
        <v>31</v>
      </c>
      <c r="H608" t="s">
        <v>32</v>
      </c>
      <c r="I608" t="s">
        <v>588</v>
      </c>
      <c r="J608" t="s">
        <v>45</v>
      </c>
      <c r="K608" t="s">
        <v>35</v>
      </c>
      <c r="L608" t="s">
        <v>36</v>
      </c>
      <c r="M608" t="s">
        <v>46</v>
      </c>
      <c r="N608">
        <v>2</v>
      </c>
      <c r="O608">
        <v>1</v>
      </c>
      <c r="P608">
        <v>0</v>
      </c>
      <c r="Q608">
        <v>381</v>
      </c>
      <c r="R608" s="4">
        <v>10238.85</v>
      </c>
      <c r="S608" t="str">
        <f t="shared" si="45"/>
        <v>PX: Baja Crit.</v>
      </c>
      <c r="T608">
        <f t="shared" si="46"/>
        <v>0</v>
      </c>
      <c r="U608">
        <f t="shared" si="47"/>
        <v>0</v>
      </c>
      <c r="V608">
        <f t="shared" si="48"/>
        <v>0</v>
      </c>
      <c r="W608">
        <f t="shared" si="49"/>
        <v>1</v>
      </c>
      <c r="X608">
        <v>1</v>
      </c>
      <c r="Y608" s="2">
        <v>45768</v>
      </c>
      <c r="Z608" s="3" t="s">
        <v>47</v>
      </c>
      <c r="AA608" t="s">
        <v>39</v>
      </c>
      <c r="AB608" t="s">
        <v>40</v>
      </c>
      <c r="AC608" t="s">
        <v>40</v>
      </c>
      <c r="AD608" t="s">
        <v>589</v>
      </c>
    </row>
    <row r="609" spans="2:30">
      <c r="B609">
        <v>5</v>
      </c>
      <c r="C609">
        <v>1020</v>
      </c>
      <c r="D609" t="s">
        <v>29</v>
      </c>
      <c r="E609">
        <v>10041774</v>
      </c>
      <c r="F609" t="s">
        <v>704</v>
      </c>
      <c r="G609" t="s">
        <v>31</v>
      </c>
      <c r="H609" t="s">
        <v>32</v>
      </c>
      <c r="I609" t="s">
        <v>588</v>
      </c>
      <c r="J609" t="s">
        <v>45</v>
      </c>
      <c r="K609" t="s">
        <v>35</v>
      </c>
      <c r="L609" t="s">
        <v>36</v>
      </c>
      <c r="M609" t="s">
        <v>69</v>
      </c>
      <c r="N609">
        <v>8</v>
      </c>
      <c r="O609">
        <v>6</v>
      </c>
      <c r="P609">
        <v>0</v>
      </c>
      <c r="Q609">
        <v>8</v>
      </c>
      <c r="R609">
        <v>54.14</v>
      </c>
      <c r="S609" t="str">
        <f t="shared" si="45"/>
        <v>PX: Baja Crit.</v>
      </c>
      <c r="T609">
        <f t="shared" si="46"/>
        <v>0</v>
      </c>
      <c r="U609">
        <f t="shared" si="47"/>
        <v>0</v>
      </c>
      <c r="V609">
        <f t="shared" si="48"/>
        <v>1</v>
      </c>
      <c r="W609">
        <f t="shared" si="49"/>
        <v>0</v>
      </c>
      <c r="X609">
        <v>1</v>
      </c>
      <c r="Y609" s="2">
        <v>45768</v>
      </c>
      <c r="Z609" s="3" t="s">
        <v>70</v>
      </c>
      <c r="AA609" t="s">
        <v>39</v>
      </c>
      <c r="AB609" t="s">
        <v>40</v>
      </c>
      <c r="AC609" t="s">
        <v>40</v>
      </c>
      <c r="AD609" t="s">
        <v>589</v>
      </c>
    </row>
    <row r="610" spans="2:30">
      <c r="B610">
        <v>5</v>
      </c>
      <c r="C610">
        <v>1020</v>
      </c>
      <c r="D610" t="s">
        <v>29</v>
      </c>
      <c r="E610">
        <v>10045634</v>
      </c>
      <c r="F610" t="s">
        <v>705</v>
      </c>
      <c r="G610" t="s">
        <v>31</v>
      </c>
      <c r="H610" t="s">
        <v>32</v>
      </c>
      <c r="I610" t="s">
        <v>588</v>
      </c>
      <c r="J610" t="s">
        <v>45</v>
      </c>
      <c r="K610" t="s">
        <v>35</v>
      </c>
      <c r="L610" t="s">
        <v>36</v>
      </c>
      <c r="M610" t="s">
        <v>55</v>
      </c>
      <c r="N610">
        <v>60</v>
      </c>
      <c r="O610">
        <v>31</v>
      </c>
      <c r="P610">
        <v>13</v>
      </c>
      <c r="Q610">
        <v>56</v>
      </c>
      <c r="R610">
        <v>275.02999999999997</v>
      </c>
      <c r="S610" t="str">
        <f t="shared" si="45"/>
        <v>PX: Baja Crit.</v>
      </c>
      <c r="T610">
        <f t="shared" si="46"/>
        <v>0</v>
      </c>
      <c r="U610">
        <f t="shared" si="47"/>
        <v>0</v>
      </c>
      <c r="V610">
        <f t="shared" si="48"/>
        <v>1</v>
      </c>
      <c r="W610">
        <f t="shared" si="49"/>
        <v>0</v>
      </c>
      <c r="X610">
        <v>1</v>
      </c>
      <c r="Y610" s="2">
        <v>45768</v>
      </c>
      <c r="Z610" s="3" t="s">
        <v>56</v>
      </c>
      <c r="AA610" t="s">
        <v>39</v>
      </c>
      <c r="AB610" t="s">
        <v>40</v>
      </c>
      <c r="AC610" t="s">
        <v>40</v>
      </c>
      <c r="AD610" t="s">
        <v>589</v>
      </c>
    </row>
    <row r="611" spans="2:30">
      <c r="B611">
        <v>5</v>
      </c>
      <c r="C611">
        <v>1020</v>
      </c>
      <c r="D611" t="s">
        <v>29</v>
      </c>
      <c r="E611">
        <v>10048736</v>
      </c>
      <c r="F611" t="s">
        <v>706</v>
      </c>
      <c r="G611" t="s">
        <v>31</v>
      </c>
      <c r="H611" t="s">
        <v>32</v>
      </c>
      <c r="I611" t="s">
        <v>588</v>
      </c>
      <c r="J611" t="s">
        <v>45</v>
      </c>
      <c r="K611" t="s">
        <v>35</v>
      </c>
      <c r="L611" t="s">
        <v>36</v>
      </c>
      <c r="M611" t="s">
        <v>69</v>
      </c>
      <c r="N611">
        <v>100</v>
      </c>
      <c r="O611">
        <v>51</v>
      </c>
      <c r="P611">
        <v>10</v>
      </c>
      <c r="Q611">
        <v>119</v>
      </c>
      <c r="R611">
        <v>668.55</v>
      </c>
      <c r="S611" t="str">
        <f t="shared" si="45"/>
        <v>PX: Baja Crit.</v>
      </c>
      <c r="T611">
        <f t="shared" si="46"/>
        <v>0</v>
      </c>
      <c r="U611">
        <f t="shared" si="47"/>
        <v>0</v>
      </c>
      <c r="V611">
        <f t="shared" si="48"/>
        <v>0</v>
      </c>
      <c r="W611">
        <f t="shared" si="49"/>
        <v>1</v>
      </c>
      <c r="X611">
        <v>1</v>
      </c>
      <c r="Y611" s="2">
        <v>45768</v>
      </c>
      <c r="Z611" s="3" t="s">
        <v>70</v>
      </c>
      <c r="AA611" t="s">
        <v>39</v>
      </c>
      <c r="AB611" t="s">
        <v>40</v>
      </c>
      <c r="AC611" t="s">
        <v>40</v>
      </c>
      <c r="AD611" t="s">
        <v>589</v>
      </c>
    </row>
    <row r="612" spans="2:30">
      <c r="B612">
        <v>5</v>
      </c>
      <c r="C612">
        <v>1020</v>
      </c>
      <c r="D612" t="s">
        <v>29</v>
      </c>
      <c r="E612">
        <v>14130051</v>
      </c>
      <c r="F612" t="s">
        <v>707</v>
      </c>
      <c r="G612" t="s">
        <v>43</v>
      </c>
      <c r="H612" t="s">
        <v>32</v>
      </c>
      <c r="I612" t="s">
        <v>588</v>
      </c>
      <c r="J612" t="s">
        <v>45</v>
      </c>
      <c r="K612" t="s">
        <v>35</v>
      </c>
      <c r="L612" t="s">
        <v>36</v>
      </c>
      <c r="M612" t="s">
        <v>55</v>
      </c>
      <c r="N612">
        <v>16</v>
      </c>
      <c r="O612">
        <v>11</v>
      </c>
      <c r="P612">
        <v>5</v>
      </c>
      <c r="Q612">
        <v>16</v>
      </c>
      <c r="R612">
        <v>7.37</v>
      </c>
      <c r="S612" t="str">
        <f t="shared" si="45"/>
        <v>PY: Media Crit.</v>
      </c>
      <c r="T612">
        <f t="shared" si="46"/>
        <v>0</v>
      </c>
      <c r="U612">
        <f t="shared" si="47"/>
        <v>0</v>
      </c>
      <c r="V612">
        <f t="shared" si="48"/>
        <v>1</v>
      </c>
      <c r="W612">
        <f t="shared" si="49"/>
        <v>0</v>
      </c>
      <c r="X612">
        <v>1</v>
      </c>
      <c r="Y612" s="2">
        <v>45768</v>
      </c>
      <c r="Z612" s="3" t="s">
        <v>56</v>
      </c>
      <c r="AA612" t="s">
        <v>39</v>
      </c>
      <c r="AB612" t="s">
        <v>40</v>
      </c>
      <c r="AC612" t="s">
        <v>40</v>
      </c>
      <c r="AD612" t="s">
        <v>589</v>
      </c>
    </row>
    <row r="613" spans="2:30">
      <c r="B613">
        <v>5</v>
      </c>
      <c r="C613">
        <v>1020</v>
      </c>
      <c r="D613" t="s">
        <v>29</v>
      </c>
      <c r="E613">
        <v>10041805</v>
      </c>
      <c r="F613" t="s">
        <v>708</v>
      </c>
      <c r="G613" t="s">
        <v>43</v>
      </c>
      <c r="H613" t="s">
        <v>32</v>
      </c>
      <c r="I613" t="s">
        <v>588</v>
      </c>
      <c r="J613" t="s">
        <v>45</v>
      </c>
      <c r="K613" t="s">
        <v>35</v>
      </c>
      <c r="L613" t="s">
        <v>36</v>
      </c>
      <c r="M613" t="s">
        <v>69</v>
      </c>
      <c r="N613">
        <v>6</v>
      </c>
      <c r="O613">
        <v>2</v>
      </c>
      <c r="P613">
        <v>1</v>
      </c>
      <c r="Q613">
        <v>2</v>
      </c>
      <c r="R613">
        <v>558.61</v>
      </c>
      <c r="S613" t="str">
        <f t="shared" si="45"/>
        <v>PY: Media Crit.</v>
      </c>
      <c r="T613">
        <f t="shared" si="46"/>
        <v>0</v>
      </c>
      <c r="U613">
        <f t="shared" si="47"/>
        <v>0</v>
      </c>
      <c r="V613">
        <f t="shared" si="48"/>
        <v>1</v>
      </c>
      <c r="W613">
        <f t="shared" si="49"/>
        <v>0</v>
      </c>
      <c r="X613">
        <v>1</v>
      </c>
      <c r="Y613" s="2">
        <v>45768</v>
      </c>
      <c r="Z613" s="3" t="s">
        <v>70</v>
      </c>
      <c r="AA613" t="s">
        <v>39</v>
      </c>
      <c r="AB613" t="s">
        <v>40</v>
      </c>
      <c r="AC613" t="s">
        <v>40</v>
      </c>
      <c r="AD613" t="s">
        <v>589</v>
      </c>
    </row>
    <row r="614" spans="2:30">
      <c r="B614">
        <v>5</v>
      </c>
      <c r="C614">
        <v>1020</v>
      </c>
      <c r="D614" t="s">
        <v>29</v>
      </c>
      <c r="E614">
        <v>10045269</v>
      </c>
      <c r="F614" t="s">
        <v>709</v>
      </c>
      <c r="G614" t="s">
        <v>52</v>
      </c>
      <c r="H614" t="s">
        <v>60</v>
      </c>
      <c r="I614" t="s">
        <v>588</v>
      </c>
      <c r="J614" t="s">
        <v>45</v>
      </c>
      <c r="K614" t="s">
        <v>80</v>
      </c>
      <c r="L614" t="s">
        <v>36</v>
      </c>
      <c r="M614" t="s">
        <v>46</v>
      </c>
      <c r="N614">
        <v>324</v>
      </c>
      <c r="O614">
        <v>217</v>
      </c>
      <c r="P614">
        <v>108</v>
      </c>
      <c r="Q614">
        <v>318</v>
      </c>
      <c r="R614" s="4">
        <v>46187.76</v>
      </c>
      <c r="S614" t="str">
        <f t="shared" si="45"/>
        <v>PZ: Alta Crit.</v>
      </c>
      <c r="T614">
        <f t="shared" si="46"/>
        <v>0</v>
      </c>
      <c r="U614">
        <f t="shared" si="47"/>
        <v>0</v>
      </c>
      <c r="V614">
        <f t="shared" si="48"/>
        <v>1</v>
      </c>
      <c r="W614">
        <f t="shared" si="49"/>
        <v>0</v>
      </c>
      <c r="X614">
        <v>1</v>
      </c>
      <c r="Y614" s="2">
        <v>45768</v>
      </c>
      <c r="Z614" s="3" t="s">
        <v>47</v>
      </c>
      <c r="AA614" t="s">
        <v>39</v>
      </c>
      <c r="AB614" t="s">
        <v>40</v>
      </c>
      <c r="AC614" t="s">
        <v>40</v>
      </c>
      <c r="AD614" t="s">
        <v>589</v>
      </c>
    </row>
    <row r="615" spans="2:30">
      <c r="B615">
        <v>5</v>
      </c>
      <c r="C615">
        <v>1020</v>
      </c>
      <c r="D615" t="s">
        <v>29</v>
      </c>
      <c r="E615">
        <v>10050682</v>
      </c>
      <c r="F615" t="s">
        <v>710</v>
      </c>
      <c r="G615" t="s">
        <v>43</v>
      </c>
      <c r="H615" t="s">
        <v>32</v>
      </c>
      <c r="I615" t="s">
        <v>588</v>
      </c>
      <c r="J615" t="s">
        <v>45</v>
      </c>
      <c r="K615" t="s">
        <v>35</v>
      </c>
      <c r="L615" t="s">
        <v>36</v>
      </c>
      <c r="M615" t="s">
        <v>55</v>
      </c>
      <c r="N615">
        <v>50</v>
      </c>
      <c r="O615">
        <v>30</v>
      </c>
      <c r="P615">
        <v>8</v>
      </c>
      <c r="Q615">
        <v>50</v>
      </c>
      <c r="R615">
        <v>5.58</v>
      </c>
      <c r="S615" t="str">
        <f t="shared" si="45"/>
        <v>PY: Media Crit.</v>
      </c>
      <c r="T615">
        <f t="shared" si="46"/>
        <v>0</v>
      </c>
      <c r="U615">
        <f t="shared" si="47"/>
        <v>0</v>
      </c>
      <c r="V615">
        <f t="shared" si="48"/>
        <v>1</v>
      </c>
      <c r="W615">
        <f t="shared" si="49"/>
        <v>0</v>
      </c>
      <c r="X615">
        <v>1</v>
      </c>
      <c r="Y615" s="2">
        <v>45768</v>
      </c>
      <c r="Z615" s="3" t="s">
        <v>56</v>
      </c>
      <c r="AA615" t="s">
        <v>39</v>
      </c>
      <c r="AB615" t="s">
        <v>40</v>
      </c>
      <c r="AC615" t="s">
        <v>40</v>
      </c>
      <c r="AD615" t="s">
        <v>589</v>
      </c>
    </row>
    <row r="616" spans="2:30">
      <c r="B616">
        <v>5</v>
      </c>
      <c r="C616">
        <v>1020</v>
      </c>
      <c r="D616" t="s">
        <v>29</v>
      </c>
      <c r="E616">
        <v>10056545</v>
      </c>
      <c r="F616" t="s">
        <v>711</v>
      </c>
      <c r="G616" t="s">
        <v>31</v>
      </c>
      <c r="H616" t="s">
        <v>32</v>
      </c>
      <c r="I616" t="s">
        <v>588</v>
      </c>
      <c r="J616" t="s">
        <v>34</v>
      </c>
      <c r="K616" t="s">
        <v>35</v>
      </c>
      <c r="L616" t="s">
        <v>36</v>
      </c>
      <c r="M616" t="s">
        <v>88</v>
      </c>
      <c r="N616">
        <v>30</v>
      </c>
      <c r="O616">
        <v>11</v>
      </c>
      <c r="P616">
        <v>4</v>
      </c>
      <c r="Q616">
        <v>30</v>
      </c>
      <c r="R616">
        <v>100.24</v>
      </c>
      <c r="S616" t="str">
        <f t="shared" si="45"/>
        <v>PX: Baja Crit.</v>
      </c>
      <c r="T616">
        <f t="shared" si="46"/>
        <v>0</v>
      </c>
      <c r="U616">
        <f t="shared" si="47"/>
        <v>0</v>
      </c>
      <c r="V616">
        <f t="shared" si="48"/>
        <v>1</v>
      </c>
      <c r="W616">
        <f t="shared" si="49"/>
        <v>0</v>
      </c>
      <c r="X616">
        <v>1</v>
      </c>
      <c r="Y616" s="2">
        <v>45768</v>
      </c>
      <c r="Z616" s="3" t="s">
        <v>89</v>
      </c>
      <c r="AA616" t="s">
        <v>39</v>
      </c>
      <c r="AB616" t="s">
        <v>40</v>
      </c>
      <c r="AC616" t="s">
        <v>40</v>
      </c>
      <c r="AD616" t="s">
        <v>589</v>
      </c>
    </row>
    <row r="617" spans="2:30">
      <c r="B617">
        <v>5</v>
      </c>
      <c r="C617">
        <v>1020</v>
      </c>
      <c r="D617" t="s">
        <v>29</v>
      </c>
      <c r="E617">
        <v>10048137</v>
      </c>
      <c r="F617" t="s">
        <v>712</v>
      </c>
      <c r="G617" t="s">
        <v>52</v>
      </c>
      <c r="H617" t="s">
        <v>32</v>
      </c>
      <c r="I617" t="s">
        <v>588</v>
      </c>
      <c r="J617" t="s">
        <v>45</v>
      </c>
      <c r="K617" t="s">
        <v>35</v>
      </c>
      <c r="L617" t="s">
        <v>36</v>
      </c>
      <c r="M617" t="s">
        <v>46</v>
      </c>
      <c r="N617">
        <v>6</v>
      </c>
      <c r="O617">
        <v>5</v>
      </c>
      <c r="P617">
        <v>2</v>
      </c>
      <c r="Q617">
        <v>5</v>
      </c>
      <c r="R617" s="4">
        <v>2574.08</v>
      </c>
      <c r="S617" t="str">
        <f t="shared" si="45"/>
        <v>PZ: Alta Crit.</v>
      </c>
      <c r="T617">
        <f t="shared" si="46"/>
        <v>0</v>
      </c>
      <c r="U617">
        <f t="shared" si="47"/>
        <v>0</v>
      </c>
      <c r="V617">
        <f t="shared" si="48"/>
        <v>1</v>
      </c>
      <c r="W617">
        <f t="shared" si="49"/>
        <v>0</v>
      </c>
      <c r="X617">
        <v>1</v>
      </c>
      <c r="Y617" s="2">
        <v>45768</v>
      </c>
      <c r="Z617" s="3" t="s">
        <v>47</v>
      </c>
      <c r="AA617" t="s">
        <v>39</v>
      </c>
      <c r="AB617" t="s">
        <v>49</v>
      </c>
      <c r="AC617" s="5" t="s">
        <v>50</v>
      </c>
      <c r="AD617" t="s">
        <v>589</v>
      </c>
    </row>
    <row r="618" spans="2:30">
      <c r="B618">
        <v>5</v>
      </c>
      <c r="C618">
        <v>1020</v>
      </c>
      <c r="D618" t="s">
        <v>29</v>
      </c>
      <c r="E618">
        <v>10056264</v>
      </c>
      <c r="F618" t="s">
        <v>713</v>
      </c>
      <c r="G618" t="s">
        <v>43</v>
      </c>
      <c r="H618" t="s">
        <v>44</v>
      </c>
      <c r="I618" t="s">
        <v>588</v>
      </c>
      <c r="J618" t="s">
        <v>34</v>
      </c>
      <c r="K618" t="s">
        <v>252</v>
      </c>
      <c r="L618" t="s">
        <v>36</v>
      </c>
      <c r="M618" t="s">
        <v>69</v>
      </c>
      <c r="N618">
        <v>400</v>
      </c>
      <c r="O618">
        <v>201</v>
      </c>
      <c r="P618">
        <v>100</v>
      </c>
      <c r="Q618">
        <v>400</v>
      </c>
      <c r="R618" s="4">
        <v>2956.03</v>
      </c>
      <c r="S618" t="str">
        <f t="shared" si="45"/>
        <v>PY: Media Crit.</v>
      </c>
      <c r="T618">
        <f t="shared" si="46"/>
        <v>0</v>
      </c>
      <c r="U618">
        <f t="shared" si="47"/>
        <v>0</v>
      </c>
      <c r="V618">
        <f t="shared" si="48"/>
        <v>1</v>
      </c>
      <c r="W618">
        <f t="shared" si="49"/>
        <v>0</v>
      </c>
      <c r="X618">
        <v>1</v>
      </c>
      <c r="Y618" s="2">
        <v>45768</v>
      </c>
      <c r="Z618" s="3" t="s">
        <v>70</v>
      </c>
      <c r="AA618" t="s">
        <v>39</v>
      </c>
      <c r="AB618" t="s">
        <v>40</v>
      </c>
      <c r="AC618" t="s">
        <v>40</v>
      </c>
      <c r="AD618" t="s">
        <v>589</v>
      </c>
    </row>
    <row r="619" spans="2:30">
      <c r="B619">
        <v>5</v>
      </c>
      <c r="C619">
        <v>1020</v>
      </c>
      <c r="D619" t="s">
        <v>29</v>
      </c>
      <c r="E619">
        <v>14300130</v>
      </c>
      <c r="F619" t="s">
        <v>714</v>
      </c>
      <c r="G619" t="s">
        <v>43</v>
      </c>
      <c r="H619" t="s">
        <v>44</v>
      </c>
      <c r="I619" t="s">
        <v>588</v>
      </c>
      <c r="J619" t="s">
        <v>45</v>
      </c>
      <c r="K619" t="s">
        <v>35</v>
      </c>
      <c r="L619" t="s">
        <v>36</v>
      </c>
      <c r="M619" t="s">
        <v>117</v>
      </c>
      <c r="N619">
        <v>12</v>
      </c>
      <c r="O619">
        <v>4</v>
      </c>
      <c r="P619">
        <v>0</v>
      </c>
      <c r="Q619">
        <v>10</v>
      </c>
      <c r="R619" s="4">
        <v>3382.46</v>
      </c>
      <c r="S619" t="str">
        <f t="shared" si="45"/>
        <v>PY: Media Crit.</v>
      </c>
      <c r="T619">
        <f t="shared" si="46"/>
        <v>0</v>
      </c>
      <c r="U619">
        <f t="shared" si="47"/>
        <v>0</v>
      </c>
      <c r="V619">
        <f t="shared" si="48"/>
        <v>1</v>
      </c>
      <c r="W619">
        <f t="shared" si="49"/>
        <v>0</v>
      </c>
      <c r="X619">
        <v>1</v>
      </c>
      <c r="Y619" s="2">
        <v>45768</v>
      </c>
      <c r="Z619" s="3" t="s">
        <v>118</v>
      </c>
      <c r="AA619" t="s">
        <v>39</v>
      </c>
      <c r="AB619" t="s">
        <v>40</v>
      </c>
      <c r="AC619" t="s">
        <v>40</v>
      </c>
      <c r="AD619" t="s">
        <v>589</v>
      </c>
    </row>
    <row r="620" spans="2:30">
      <c r="B620">
        <v>5</v>
      </c>
      <c r="C620">
        <v>1020</v>
      </c>
      <c r="D620" t="s">
        <v>29</v>
      </c>
      <c r="E620">
        <v>10045534</v>
      </c>
      <c r="F620" t="s">
        <v>715</v>
      </c>
      <c r="G620" t="s">
        <v>31</v>
      </c>
      <c r="H620" t="s">
        <v>32</v>
      </c>
      <c r="I620" t="s">
        <v>588</v>
      </c>
      <c r="J620" t="s">
        <v>45</v>
      </c>
      <c r="K620" t="s">
        <v>35</v>
      </c>
      <c r="L620" t="s">
        <v>36</v>
      </c>
      <c r="M620" t="s">
        <v>88</v>
      </c>
      <c r="N620">
        <v>60</v>
      </c>
      <c r="O620">
        <v>31</v>
      </c>
      <c r="P620">
        <v>0</v>
      </c>
      <c r="Q620">
        <v>0</v>
      </c>
      <c r="R620">
        <v>0</v>
      </c>
      <c r="S620" t="str">
        <f t="shared" si="45"/>
        <v>PX: Baja Crit.</v>
      </c>
      <c r="T620">
        <f t="shared" si="46"/>
        <v>1</v>
      </c>
      <c r="U620">
        <f t="shared" si="47"/>
        <v>0</v>
      </c>
      <c r="V620">
        <f t="shared" si="48"/>
        <v>0</v>
      </c>
      <c r="W620">
        <f t="shared" si="49"/>
        <v>0</v>
      </c>
      <c r="X620">
        <v>1</v>
      </c>
      <c r="Y620" s="2">
        <v>45768</v>
      </c>
      <c r="Z620" s="3" t="s">
        <v>89</v>
      </c>
      <c r="AA620" t="s">
        <v>39</v>
      </c>
      <c r="AB620" t="s">
        <v>49</v>
      </c>
      <c r="AC620" s="5" t="s">
        <v>50</v>
      </c>
      <c r="AD620" t="s">
        <v>589</v>
      </c>
    </row>
    <row r="621" spans="2:30">
      <c r="B621">
        <v>5</v>
      </c>
      <c r="C621">
        <v>1020</v>
      </c>
      <c r="D621" t="s">
        <v>29</v>
      </c>
      <c r="E621">
        <v>10050838</v>
      </c>
      <c r="F621" t="s">
        <v>716</v>
      </c>
      <c r="G621" t="s">
        <v>43</v>
      </c>
      <c r="H621" t="s">
        <v>32</v>
      </c>
      <c r="I621" t="s">
        <v>588</v>
      </c>
      <c r="J621" t="s">
        <v>34</v>
      </c>
      <c r="K621" t="s">
        <v>35</v>
      </c>
      <c r="L621" t="s">
        <v>36</v>
      </c>
      <c r="M621" t="s">
        <v>88</v>
      </c>
      <c r="N621">
        <v>15</v>
      </c>
      <c r="O621">
        <v>11</v>
      </c>
      <c r="P621">
        <v>4</v>
      </c>
      <c r="Q621">
        <v>10</v>
      </c>
      <c r="R621">
        <v>823.81</v>
      </c>
      <c r="S621" t="str">
        <f t="shared" si="45"/>
        <v>PY: Media Crit.</v>
      </c>
      <c r="T621">
        <f t="shared" si="46"/>
        <v>0</v>
      </c>
      <c r="U621">
        <f t="shared" si="47"/>
        <v>0</v>
      </c>
      <c r="V621">
        <f t="shared" si="48"/>
        <v>1</v>
      </c>
      <c r="W621">
        <f t="shared" si="49"/>
        <v>0</v>
      </c>
      <c r="X621">
        <v>1</v>
      </c>
      <c r="Y621" s="2">
        <v>45768</v>
      </c>
      <c r="Z621" s="3" t="s">
        <v>89</v>
      </c>
      <c r="AA621" t="s">
        <v>39</v>
      </c>
      <c r="AB621" t="s">
        <v>49</v>
      </c>
      <c r="AC621" s="5" t="s">
        <v>50</v>
      </c>
      <c r="AD621" t="s">
        <v>589</v>
      </c>
    </row>
    <row r="622" spans="2:30">
      <c r="B622">
        <v>5</v>
      </c>
      <c r="C622">
        <v>1020</v>
      </c>
      <c r="D622" t="s">
        <v>29</v>
      </c>
      <c r="E622">
        <v>14275107</v>
      </c>
      <c r="F622" t="s">
        <v>717</v>
      </c>
      <c r="G622" t="s">
        <v>43</v>
      </c>
      <c r="H622" t="s">
        <v>60</v>
      </c>
      <c r="I622" t="s">
        <v>588</v>
      </c>
      <c r="J622" t="s">
        <v>45</v>
      </c>
      <c r="K622" t="s">
        <v>35</v>
      </c>
      <c r="L622" t="s">
        <v>36</v>
      </c>
      <c r="M622" t="s">
        <v>117</v>
      </c>
      <c r="N622">
        <v>36</v>
      </c>
      <c r="O622">
        <v>18</v>
      </c>
      <c r="P622">
        <v>0</v>
      </c>
      <c r="Q622">
        <v>0</v>
      </c>
      <c r="R622">
        <v>0</v>
      </c>
      <c r="S622" t="str">
        <f t="shared" si="45"/>
        <v>PY: Media Crit.</v>
      </c>
      <c r="T622">
        <f t="shared" si="46"/>
        <v>1</v>
      </c>
      <c r="U622">
        <f t="shared" si="47"/>
        <v>0</v>
      </c>
      <c r="V622">
        <f t="shared" si="48"/>
        <v>0</v>
      </c>
      <c r="W622">
        <f t="shared" si="49"/>
        <v>0</v>
      </c>
      <c r="X622">
        <v>1</v>
      </c>
      <c r="Y622" s="2">
        <v>45768</v>
      </c>
      <c r="Z622" s="3" t="s">
        <v>118</v>
      </c>
      <c r="AA622" t="s">
        <v>39</v>
      </c>
      <c r="AB622" t="s">
        <v>49</v>
      </c>
      <c r="AC622" s="5" t="s">
        <v>50</v>
      </c>
      <c r="AD622" t="s">
        <v>589</v>
      </c>
    </row>
    <row r="623" spans="2:30">
      <c r="B623">
        <v>5</v>
      </c>
      <c r="C623">
        <v>1020</v>
      </c>
      <c r="D623" t="s">
        <v>29</v>
      </c>
      <c r="E623">
        <v>10050764</v>
      </c>
      <c r="F623" t="s">
        <v>718</v>
      </c>
      <c r="G623" t="s">
        <v>31</v>
      </c>
      <c r="H623" t="s">
        <v>32</v>
      </c>
      <c r="I623" t="s">
        <v>588</v>
      </c>
      <c r="J623" t="s">
        <v>45</v>
      </c>
      <c r="K623" t="s">
        <v>35</v>
      </c>
      <c r="L623" t="s">
        <v>36</v>
      </c>
      <c r="M623" t="s">
        <v>69</v>
      </c>
      <c r="N623">
        <v>20</v>
      </c>
      <c r="O623">
        <v>20</v>
      </c>
      <c r="P623">
        <v>0</v>
      </c>
      <c r="Q623">
        <v>78</v>
      </c>
      <c r="R623">
        <v>169.9</v>
      </c>
      <c r="S623" t="str">
        <f t="shared" si="45"/>
        <v>PX: Baja Crit.</v>
      </c>
      <c r="T623">
        <f t="shared" si="46"/>
        <v>0</v>
      </c>
      <c r="U623">
        <f t="shared" si="47"/>
        <v>0</v>
      </c>
      <c r="V623">
        <f t="shared" si="48"/>
        <v>0</v>
      </c>
      <c r="W623">
        <f t="shared" si="49"/>
        <v>1</v>
      </c>
      <c r="X623">
        <v>1</v>
      </c>
      <c r="Y623" s="2">
        <v>45768</v>
      </c>
      <c r="Z623" s="3" t="s">
        <v>70</v>
      </c>
      <c r="AA623" t="s">
        <v>39</v>
      </c>
      <c r="AB623" t="s">
        <v>40</v>
      </c>
      <c r="AC623" t="s">
        <v>40</v>
      </c>
      <c r="AD623" t="s">
        <v>589</v>
      </c>
    </row>
    <row r="624" spans="2:30">
      <c r="B624">
        <v>5</v>
      </c>
      <c r="C624">
        <v>1020</v>
      </c>
      <c r="D624" t="s">
        <v>29</v>
      </c>
      <c r="E624">
        <v>10048475</v>
      </c>
      <c r="F624" t="s">
        <v>719</v>
      </c>
      <c r="G624" t="s">
        <v>52</v>
      </c>
      <c r="H624" t="s">
        <v>32</v>
      </c>
      <c r="I624" t="s">
        <v>588</v>
      </c>
      <c r="J624" t="s">
        <v>45</v>
      </c>
      <c r="K624" t="s">
        <v>62</v>
      </c>
      <c r="L624" t="s">
        <v>36</v>
      </c>
      <c r="M624" t="s">
        <v>46</v>
      </c>
      <c r="N624">
        <v>10</v>
      </c>
      <c r="O624">
        <v>5</v>
      </c>
      <c r="P624">
        <v>2</v>
      </c>
      <c r="Q624">
        <v>26</v>
      </c>
      <c r="R624" s="4">
        <v>2502.14</v>
      </c>
      <c r="S624" t="str">
        <f t="shared" si="45"/>
        <v>PZ: Alta Crit.</v>
      </c>
      <c r="T624">
        <f t="shared" si="46"/>
        <v>0</v>
      </c>
      <c r="U624">
        <f t="shared" si="47"/>
        <v>0</v>
      </c>
      <c r="V624">
        <f t="shared" si="48"/>
        <v>0</v>
      </c>
      <c r="W624">
        <f t="shared" si="49"/>
        <v>1</v>
      </c>
      <c r="X624">
        <v>1</v>
      </c>
      <c r="Y624" s="2">
        <v>45768</v>
      </c>
      <c r="Z624" s="3" t="s">
        <v>47</v>
      </c>
      <c r="AA624" t="s">
        <v>39</v>
      </c>
      <c r="AB624" t="s">
        <v>76</v>
      </c>
      <c r="AC624" s="5" t="s">
        <v>77</v>
      </c>
      <c r="AD624" t="s">
        <v>589</v>
      </c>
    </row>
    <row r="625" spans="2:30">
      <c r="B625">
        <v>5</v>
      </c>
      <c r="C625">
        <v>1020</v>
      </c>
      <c r="D625" t="s">
        <v>29</v>
      </c>
      <c r="E625">
        <v>10192190</v>
      </c>
      <c r="F625" t="s">
        <v>720</v>
      </c>
      <c r="G625" t="s">
        <v>43</v>
      </c>
      <c r="H625" t="s">
        <v>60</v>
      </c>
      <c r="I625" t="s">
        <v>588</v>
      </c>
      <c r="J625" t="s">
        <v>45</v>
      </c>
      <c r="K625" t="s">
        <v>35</v>
      </c>
      <c r="L625" t="s">
        <v>36</v>
      </c>
      <c r="M625" t="s">
        <v>117</v>
      </c>
      <c r="N625">
        <v>10</v>
      </c>
      <c r="O625">
        <v>6</v>
      </c>
      <c r="P625">
        <v>2</v>
      </c>
      <c r="Q625">
        <v>10</v>
      </c>
      <c r="R625" s="4">
        <v>2189.08</v>
      </c>
      <c r="S625" t="str">
        <f t="shared" si="45"/>
        <v>PY: Media Crit.</v>
      </c>
      <c r="T625">
        <f t="shared" si="46"/>
        <v>0</v>
      </c>
      <c r="U625">
        <f t="shared" si="47"/>
        <v>0</v>
      </c>
      <c r="V625">
        <f t="shared" si="48"/>
        <v>1</v>
      </c>
      <c r="W625">
        <f t="shared" si="49"/>
        <v>0</v>
      </c>
      <c r="X625">
        <v>1</v>
      </c>
      <c r="Y625" s="2">
        <v>45768</v>
      </c>
      <c r="Z625" s="3" t="s">
        <v>118</v>
      </c>
      <c r="AA625" t="s">
        <v>39</v>
      </c>
      <c r="AB625" t="s">
        <v>40</v>
      </c>
      <c r="AC625" t="s">
        <v>40</v>
      </c>
      <c r="AD625" t="s">
        <v>589</v>
      </c>
    </row>
    <row r="626" spans="2:30">
      <c r="B626">
        <v>5</v>
      </c>
      <c r="C626">
        <v>1020</v>
      </c>
      <c r="D626" t="s">
        <v>29</v>
      </c>
      <c r="E626">
        <v>10050407</v>
      </c>
      <c r="F626" t="s">
        <v>721</v>
      </c>
      <c r="G626" t="s">
        <v>31</v>
      </c>
      <c r="H626" t="s">
        <v>32</v>
      </c>
      <c r="I626" t="s">
        <v>588</v>
      </c>
      <c r="J626" t="s">
        <v>34</v>
      </c>
      <c r="K626" t="s">
        <v>35</v>
      </c>
      <c r="L626" t="s">
        <v>36</v>
      </c>
      <c r="M626" t="s">
        <v>37</v>
      </c>
      <c r="N626">
        <v>150</v>
      </c>
      <c r="O626">
        <v>100</v>
      </c>
      <c r="P626">
        <v>24</v>
      </c>
      <c r="Q626">
        <v>120</v>
      </c>
      <c r="R626">
        <v>336</v>
      </c>
      <c r="S626" t="str">
        <f t="shared" si="45"/>
        <v>PX: Baja Crit.</v>
      </c>
      <c r="T626">
        <f t="shared" si="46"/>
        <v>0</v>
      </c>
      <c r="U626">
        <f t="shared" si="47"/>
        <v>0</v>
      </c>
      <c r="V626">
        <f t="shared" si="48"/>
        <v>1</v>
      </c>
      <c r="W626">
        <f t="shared" si="49"/>
        <v>0</v>
      </c>
      <c r="X626">
        <v>1</v>
      </c>
      <c r="Y626" s="2">
        <v>45768</v>
      </c>
      <c r="Z626" s="3" t="s">
        <v>38</v>
      </c>
      <c r="AA626" t="s">
        <v>39</v>
      </c>
      <c r="AB626" t="s">
        <v>40</v>
      </c>
      <c r="AC626" t="s">
        <v>40</v>
      </c>
      <c r="AD626" t="s">
        <v>589</v>
      </c>
    </row>
    <row r="627" spans="2:30">
      <c r="B627">
        <v>5</v>
      </c>
      <c r="C627">
        <v>1020</v>
      </c>
      <c r="D627" t="s">
        <v>29</v>
      </c>
      <c r="E627">
        <v>10047749</v>
      </c>
      <c r="F627" t="s">
        <v>722</v>
      </c>
      <c r="G627" t="s">
        <v>43</v>
      </c>
      <c r="H627" t="s">
        <v>32</v>
      </c>
      <c r="I627" t="s">
        <v>588</v>
      </c>
      <c r="J627" t="s">
        <v>45</v>
      </c>
      <c r="K627" t="s">
        <v>35</v>
      </c>
      <c r="L627" t="s">
        <v>36</v>
      </c>
      <c r="M627" t="s">
        <v>46</v>
      </c>
      <c r="N627">
        <v>6</v>
      </c>
      <c r="O627">
        <v>4</v>
      </c>
      <c r="P627">
        <v>2</v>
      </c>
      <c r="Q627">
        <v>5</v>
      </c>
      <c r="R627">
        <v>146.35</v>
      </c>
      <c r="S627" t="str">
        <f t="shared" si="45"/>
        <v>PY: Media Crit.</v>
      </c>
      <c r="T627">
        <f t="shared" si="46"/>
        <v>0</v>
      </c>
      <c r="U627">
        <f t="shared" si="47"/>
        <v>0</v>
      </c>
      <c r="V627">
        <f t="shared" si="48"/>
        <v>1</v>
      </c>
      <c r="W627">
        <f t="shared" si="49"/>
        <v>0</v>
      </c>
      <c r="X627">
        <v>1</v>
      </c>
      <c r="Y627" s="2">
        <v>45768</v>
      </c>
      <c r="Z627" s="3" t="s">
        <v>47</v>
      </c>
      <c r="AA627" t="s">
        <v>39</v>
      </c>
      <c r="AB627" t="s">
        <v>40</v>
      </c>
      <c r="AC627" t="s">
        <v>40</v>
      </c>
      <c r="AD627" t="s">
        <v>589</v>
      </c>
    </row>
    <row r="628" spans="2:30">
      <c r="B628">
        <v>5</v>
      </c>
      <c r="C628">
        <v>1020</v>
      </c>
      <c r="D628" t="s">
        <v>29</v>
      </c>
      <c r="E628">
        <v>10163056</v>
      </c>
      <c r="F628" t="s">
        <v>723</v>
      </c>
      <c r="G628" t="s">
        <v>31</v>
      </c>
      <c r="H628" t="s">
        <v>32</v>
      </c>
      <c r="I628" t="s">
        <v>588</v>
      </c>
      <c r="J628" t="s">
        <v>45</v>
      </c>
      <c r="K628" t="s">
        <v>35</v>
      </c>
      <c r="L628" t="s">
        <v>36</v>
      </c>
      <c r="M628" t="s">
        <v>46</v>
      </c>
      <c r="N628">
        <v>5</v>
      </c>
      <c r="O628">
        <v>3</v>
      </c>
      <c r="P628">
        <v>0</v>
      </c>
      <c r="Q628">
        <v>2</v>
      </c>
      <c r="R628">
        <v>200.19</v>
      </c>
      <c r="S628" t="str">
        <f t="shared" si="45"/>
        <v>PX: Baja Crit.</v>
      </c>
      <c r="T628">
        <f t="shared" si="46"/>
        <v>0</v>
      </c>
      <c r="U628">
        <f t="shared" si="47"/>
        <v>0</v>
      </c>
      <c r="V628">
        <f t="shared" si="48"/>
        <v>1</v>
      </c>
      <c r="W628">
        <f t="shared" si="49"/>
        <v>0</v>
      </c>
      <c r="X628">
        <v>1</v>
      </c>
      <c r="Y628" s="2">
        <v>45768</v>
      </c>
      <c r="Z628" s="3" t="s">
        <v>47</v>
      </c>
      <c r="AA628" t="s">
        <v>39</v>
      </c>
      <c r="AB628" t="s">
        <v>76</v>
      </c>
      <c r="AC628" s="5" t="s">
        <v>77</v>
      </c>
      <c r="AD628" t="s">
        <v>589</v>
      </c>
    </row>
    <row r="629" spans="2:30">
      <c r="B629">
        <v>5</v>
      </c>
      <c r="C629">
        <v>1020</v>
      </c>
      <c r="D629" t="s">
        <v>29</v>
      </c>
      <c r="E629">
        <v>10040806</v>
      </c>
      <c r="F629" t="s">
        <v>724</v>
      </c>
      <c r="G629" t="s">
        <v>31</v>
      </c>
      <c r="H629" t="s">
        <v>32</v>
      </c>
      <c r="I629" t="s">
        <v>588</v>
      </c>
      <c r="J629" t="s">
        <v>45</v>
      </c>
      <c r="K629" t="s">
        <v>106</v>
      </c>
      <c r="L629" t="s">
        <v>36</v>
      </c>
      <c r="M629" t="s">
        <v>46</v>
      </c>
      <c r="N629">
        <v>8</v>
      </c>
      <c r="O629">
        <v>5</v>
      </c>
      <c r="P629">
        <v>3</v>
      </c>
      <c r="Q629">
        <v>8</v>
      </c>
      <c r="R629">
        <v>822.96</v>
      </c>
      <c r="S629" t="str">
        <f t="shared" si="45"/>
        <v>PX: Baja Crit.</v>
      </c>
      <c r="T629">
        <f t="shared" si="46"/>
        <v>0</v>
      </c>
      <c r="U629">
        <f t="shared" si="47"/>
        <v>0</v>
      </c>
      <c r="V629">
        <f t="shared" si="48"/>
        <v>1</v>
      </c>
      <c r="W629">
        <f t="shared" si="49"/>
        <v>0</v>
      </c>
      <c r="X629">
        <v>1</v>
      </c>
      <c r="Y629" s="2">
        <v>45768</v>
      </c>
      <c r="Z629" s="3" t="s">
        <v>47</v>
      </c>
      <c r="AA629" t="s">
        <v>39</v>
      </c>
      <c r="AB629" t="s">
        <v>40</v>
      </c>
      <c r="AC629" t="s">
        <v>40</v>
      </c>
      <c r="AD629" t="s">
        <v>589</v>
      </c>
    </row>
    <row r="630" spans="2:30">
      <c r="B630">
        <v>5</v>
      </c>
      <c r="C630">
        <v>1020</v>
      </c>
      <c r="D630" t="s">
        <v>29</v>
      </c>
      <c r="E630">
        <v>10040869</v>
      </c>
      <c r="F630" t="s">
        <v>725</v>
      </c>
      <c r="G630" t="s">
        <v>31</v>
      </c>
      <c r="H630" t="s">
        <v>32</v>
      </c>
      <c r="I630" t="s">
        <v>588</v>
      </c>
      <c r="J630" t="s">
        <v>34</v>
      </c>
      <c r="K630" t="s">
        <v>35</v>
      </c>
      <c r="L630" t="s">
        <v>36</v>
      </c>
      <c r="M630" t="s">
        <v>55</v>
      </c>
      <c r="N630">
        <v>200</v>
      </c>
      <c r="O630">
        <v>101</v>
      </c>
      <c r="P630">
        <v>20</v>
      </c>
      <c r="Q630">
        <v>194</v>
      </c>
      <c r="R630">
        <v>317.42</v>
      </c>
      <c r="S630" t="str">
        <f t="shared" si="45"/>
        <v>PX: Baja Crit.</v>
      </c>
      <c r="T630">
        <f t="shared" si="46"/>
        <v>0</v>
      </c>
      <c r="U630">
        <f t="shared" si="47"/>
        <v>0</v>
      </c>
      <c r="V630">
        <f t="shared" si="48"/>
        <v>1</v>
      </c>
      <c r="W630">
        <f t="shared" si="49"/>
        <v>0</v>
      </c>
      <c r="X630">
        <v>1</v>
      </c>
      <c r="Y630" s="2">
        <v>45768</v>
      </c>
      <c r="Z630" s="3" t="s">
        <v>56</v>
      </c>
      <c r="AA630" t="s">
        <v>39</v>
      </c>
      <c r="AB630" t="s">
        <v>40</v>
      </c>
      <c r="AC630" t="s">
        <v>40</v>
      </c>
      <c r="AD630" t="s">
        <v>589</v>
      </c>
    </row>
    <row r="631" spans="2:30">
      <c r="B631">
        <v>5</v>
      </c>
      <c r="C631">
        <v>1020</v>
      </c>
      <c r="D631" t="s">
        <v>29</v>
      </c>
      <c r="E631">
        <v>10047690</v>
      </c>
      <c r="F631" t="s">
        <v>726</v>
      </c>
      <c r="G631" t="s">
        <v>43</v>
      </c>
      <c r="H631" t="s">
        <v>44</v>
      </c>
      <c r="I631" t="s">
        <v>588</v>
      </c>
      <c r="J631" t="s">
        <v>34</v>
      </c>
      <c r="K631" t="s">
        <v>35</v>
      </c>
      <c r="L631" t="s">
        <v>36</v>
      </c>
      <c r="M631" t="s">
        <v>117</v>
      </c>
      <c r="N631">
        <v>7</v>
      </c>
      <c r="O631">
        <v>5</v>
      </c>
      <c r="P631">
        <v>2</v>
      </c>
      <c r="Q631">
        <v>28</v>
      </c>
      <c r="R631" s="4">
        <v>28393.41</v>
      </c>
      <c r="S631" t="str">
        <f t="shared" si="45"/>
        <v>PY: Media Crit.</v>
      </c>
      <c r="T631">
        <f t="shared" si="46"/>
        <v>0</v>
      </c>
      <c r="U631">
        <f t="shared" si="47"/>
        <v>0</v>
      </c>
      <c r="V631">
        <f t="shared" si="48"/>
        <v>0</v>
      </c>
      <c r="W631">
        <f t="shared" si="49"/>
        <v>1</v>
      </c>
      <c r="X631">
        <v>1</v>
      </c>
      <c r="Y631" s="2">
        <v>45768</v>
      </c>
      <c r="Z631" s="3" t="s">
        <v>118</v>
      </c>
      <c r="AA631" t="s">
        <v>39</v>
      </c>
      <c r="AB631" t="s">
        <v>40</v>
      </c>
      <c r="AC631" t="s">
        <v>40</v>
      </c>
      <c r="AD631" t="s">
        <v>589</v>
      </c>
    </row>
    <row r="632" spans="2:30">
      <c r="B632">
        <v>5</v>
      </c>
      <c r="C632">
        <v>1020</v>
      </c>
      <c r="D632" t="s">
        <v>29</v>
      </c>
      <c r="E632">
        <v>10049921</v>
      </c>
      <c r="F632" t="s">
        <v>727</v>
      </c>
      <c r="G632" t="s">
        <v>31</v>
      </c>
      <c r="H632" t="s">
        <v>32</v>
      </c>
      <c r="I632" t="s">
        <v>588</v>
      </c>
      <c r="J632" t="s">
        <v>34</v>
      </c>
      <c r="K632" t="s">
        <v>35</v>
      </c>
      <c r="L632" t="s">
        <v>36</v>
      </c>
      <c r="M632" t="s">
        <v>55</v>
      </c>
      <c r="N632">
        <v>100</v>
      </c>
      <c r="O632">
        <v>51</v>
      </c>
      <c r="P632">
        <v>10</v>
      </c>
      <c r="Q632">
        <v>0</v>
      </c>
      <c r="R632">
        <v>0</v>
      </c>
      <c r="S632" t="str">
        <f t="shared" si="45"/>
        <v>PX: Baja Crit.</v>
      </c>
      <c r="T632">
        <f t="shared" si="46"/>
        <v>1</v>
      </c>
      <c r="U632">
        <f t="shared" si="47"/>
        <v>0</v>
      </c>
      <c r="V632">
        <f t="shared" si="48"/>
        <v>0</v>
      </c>
      <c r="W632">
        <f t="shared" si="49"/>
        <v>0</v>
      </c>
      <c r="X632">
        <v>1</v>
      </c>
      <c r="Y632" s="2">
        <v>45768</v>
      </c>
      <c r="Z632" s="3" t="s">
        <v>56</v>
      </c>
      <c r="AA632" t="s">
        <v>39</v>
      </c>
      <c r="AB632" t="s">
        <v>76</v>
      </c>
      <c r="AC632" s="5" t="s">
        <v>77</v>
      </c>
      <c r="AD632" t="s">
        <v>589</v>
      </c>
    </row>
    <row r="633" spans="2:30">
      <c r="B633">
        <v>5</v>
      </c>
      <c r="C633">
        <v>1020</v>
      </c>
      <c r="D633" t="s">
        <v>29</v>
      </c>
      <c r="E633">
        <v>10052320</v>
      </c>
      <c r="F633" t="s">
        <v>728</v>
      </c>
      <c r="G633" t="s">
        <v>31</v>
      </c>
      <c r="H633" t="s">
        <v>32</v>
      </c>
      <c r="I633" t="s">
        <v>588</v>
      </c>
      <c r="J633" t="s">
        <v>45</v>
      </c>
      <c r="K633" t="s">
        <v>35</v>
      </c>
      <c r="L633" t="s">
        <v>36</v>
      </c>
      <c r="M633" t="s">
        <v>46</v>
      </c>
      <c r="N633">
        <v>20</v>
      </c>
      <c r="O633">
        <v>11</v>
      </c>
      <c r="P633">
        <v>4</v>
      </c>
      <c r="Q633">
        <v>17</v>
      </c>
      <c r="R633">
        <v>64.77</v>
      </c>
      <c r="S633" t="str">
        <f t="shared" si="45"/>
        <v>PX: Baja Crit.</v>
      </c>
      <c r="T633">
        <f t="shared" si="46"/>
        <v>0</v>
      </c>
      <c r="U633">
        <f t="shared" si="47"/>
        <v>0</v>
      </c>
      <c r="V633">
        <f t="shared" si="48"/>
        <v>1</v>
      </c>
      <c r="W633">
        <f t="shared" si="49"/>
        <v>0</v>
      </c>
      <c r="X633">
        <v>1</v>
      </c>
      <c r="Y633" s="2">
        <v>45768</v>
      </c>
      <c r="Z633" s="3" t="s">
        <v>47</v>
      </c>
      <c r="AA633" t="s">
        <v>39</v>
      </c>
      <c r="AB633" t="s">
        <v>40</v>
      </c>
      <c r="AC633" t="s">
        <v>40</v>
      </c>
      <c r="AD633" t="s">
        <v>589</v>
      </c>
    </row>
    <row r="634" spans="2:30">
      <c r="B634">
        <v>5</v>
      </c>
      <c r="C634">
        <v>1020</v>
      </c>
      <c r="D634" t="s">
        <v>29</v>
      </c>
      <c r="E634">
        <v>10029787</v>
      </c>
      <c r="F634" t="s">
        <v>729</v>
      </c>
      <c r="G634" t="s">
        <v>31</v>
      </c>
      <c r="H634" t="s">
        <v>44</v>
      </c>
      <c r="I634" t="s">
        <v>588</v>
      </c>
      <c r="J634" t="s">
        <v>45</v>
      </c>
      <c r="K634" t="s">
        <v>252</v>
      </c>
      <c r="L634" t="s">
        <v>36</v>
      </c>
      <c r="M634" t="s">
        <v>69</v>
      </c>
      <c r="N634">
        <v>500</v>
      </c>
      <c r="O634">
        <v>201</v>
      </c>
      <c r="P634">
        <v>0</v>
      </c>
      <c r="Q634">
        <v>400</v>
      </c>
      <c r="R634" s="4">
        <v>5758.96</v>
      </c>
      <c r="S634" t="str">
        <f t="shared" si="45"/>
        <v>PX: Baja Crit.</v>
      </c>
      <c r="T634">
        <f t="shared" si="46"/>
        <v>0</v>
      </c>
      <c r="U634">
        <f t="shared" si="47"/>
        <v>0</v>
      </c>
      <c r="V634">
        <f t="shared" si="48"/>
        <v>1</v>
      </c>
      <c r="W634">
        <f t="shared" si="49"/>
        <v>0</v>
      </c>
      <c r="X634">
        <v>1</v>
      </c>
      <c r="Y634" s="2">
        <v>45768</v>
      </c>
      <c r="Z634" s="3" t="s">
        <v>70</v>
      </c>
      <c r="AA634" t="s">
        <v>39</v>
      </c>
      <c r="AB634" t="s">
        <v>40</v>
      </c>
      <c r="AC634" t="s">
        <v>40</v>
      </c>
      <c r="AD634" t="s">
        <v>589</v>
      </c>
    </row>
    <row r="635" spans="2:30">
      <c r="B635">
        <v>5</v>
      </c>
      <c r="C635">
        <v>1020</v>
      </c>
      <c r="D635" t="s">
        <v>29</v>
      </c>
      <c r="E635">
        <v>10055132</v>
      </c>
      <c r="F635" t="s">
        <v>730</v>
      </c>
      <c r="G635" t="s">
        <v>43</v>
      </c>
      <c r="H635" t="s">
        <v>44</v>
      </c>
      <c r="I635" t="s">
        <v>588</v>
      </c>
      <c r="J635" t="s">
        <v>45</v>
      </c>
      <c r="K635" t="s">
        <v>35</v>
      </c>
      <c r="L635" t="s">
        <v>36</v>
      </c>
      <c r="M635" t="s">
        <v>117</v>
      </c>
      <c r="N635">
        <v>4</v>
      </c>
      <c r="O635">
        <v>2</v>
      </c>
      <c r="P635">
        <v>2</v>
      </c>
      <c r="Q635">
        <v>4</v>
      </c>
      <c r="R635" s="4">
        <v>1686.31</v>
      </c>
      <c r="S635" t="str">
        <f t="shared" si="45"/>
        <v>PY: Media Crit.</v>
      </c>
      <c r="T635">
        <f t="shared" si="46"/>
        <v>0</v>
      </c>
      <c r="U635">
        <f t="shared" si="47"/>
        <v>0</v>
      </c>
      <c r="V635">
        <f t="shared" si="48"/>
        <v>1</v>
      </c>
      <c r="W635">
        <f t="shared" si="49"/>
        <v>0</v>
      </c>
      <c r="X635">
        <v>1</v>
      </c>
      <c r="Y635" s="2">
        <v>45768</v>
      </c>
      <c r="Z635" s="3" t="s">
        <v>118</v>
      </c>
      <c r="AA635" t="s">
        <v>39</v>
      </c>
      <c r="AB635" t="s">
        <v>76</v>
      </c>
      <c r="AC635" s="5" t="s">
        <v>77</v>
      </c>
      <c r="AD635" t="s">
        <v>589</v>
      </c>
    </row>
    <row r="636" spans="2:30">
      <c r="B636">
        <v>5</v>
      </c>
      <c r="C636">
        <v>1020</v>
      </c>
      <c r="D636" t="s">
        <v>29</v>
      </c>
      <c r="E636">
        <v>10044791</v>
      </c>
      <c r="F636" t="s">
        <v>731</v>
      </c>
      <c r="G636" t="s">
        <v>43</v>
      </c>
      <c r="H636" t="s">
        <v>32</v>
      </c>
      <c r="I636" t="s">
        <v>588</v>
      </c>
      <c r="J636" t="s">
        <v>45</v>
      </c>
      <c r="K636" t="s">
        <v>35</v>
      </c>
      <c r="L636" t="s">
        <v>36</v>
      </c>
      <c r="M636" t="s">
        <v>117</v>
      </c>
      <c r="N636">
        <v>6</v>
      </c>
      <c r="O636">
        <v>4</v>
      </c>
      <c r="P636">
        <v>1</v>
      </c>
      <c r="Q636">
        <v>30</v>
      </c>
      <c r="R636" s="4">
        <v>2692.24</v>
      </c>
      <c r="S636" t="str">
        <f t="shared" si="45"/>
        <v>PY: Media Crit.</v>
      </c>
      <c r="T636">
        <f t="shared" si="46"/>
        <v>0</v>
      </c>
      <c r="U636">
        <f t="shared" si="47"/>
        <v>0</v>
      </c>
      <c r="V636">
        <f t="shared" si="48"/>
        <v>0</v>
      </c>
      <c r="W636">
        <f t="shared" si="49"/>
        <v>1</v>
      </c>
      <c r="X636">
        <v>1</v>
      </c>
      <c r="Y636" s="2">
        <v>45768</v>
      </c>
      <c r="Z636" s="3" t="s">
        <v>118</v>
      </c>
      <c r="AA636" t="s">
        <v>39</v>
      </c>
      <c r="AB636" t="s">
        <v>40</v>
      </c>
      <c r="AC636" t="s">
        <v>40</v>
      </c>
      <c r="AD636" t="s">
        <v>589</v>
      </c>
    </row>
    <row r="637" spans="2:30">
      <c r="B637">
        <v>5</v>
      </c>
      <c r="C637">
        <v>1020</v>
      </c>
      <c r="D637" t="s">
        <v>29</v>
      </c>
      <c r="E637">
        <v>14205271</v>
      </c>
      <c r="F637" t="s">
        <v>732</v>
      </c>
      <c r="G637" t="s">
        <v>52</v>
      </c>
      <c r="H637" t="s">
        <v>60</v>
      </c>
      <c r="I637" t="s">
        <v>588</v>
      </c>
      <c r="J637" t="s">
        <v>45</v>
      </c>
      <c r="K637" t="s">
        <v>35</v>
      </c>
      <c r="L637" t="s">
        <v>36</v>
      </c>
      <c r="M637" t="s">
        <v>88</v>
      </c>
      <c r="N637">
        <v>100</v>
      </c>
      <c r="O637">
        <v>50</v>
      </c>
      <c r="P637">
        <v>0</v>
      </c>
      <c r="Q637">
        <v>100</v>
      </c>
      <c r="R637">
        <v>184.78</v>
      </c>
      <c r="S637" t="str">
        <f t="shared" si="45"/>
        <v>PZ: Alta Crit.</v>
      </c>
      <c r="T637">
        <f t="shared" si="46"/>
        <v>0</v>
      </c>
      <c r="U637">
        <f t="shared" si="47"/>
        <v>0</v>
      </c>
      <c r="V637">
        <f t="shared" si="48"/>
        <v>1</v>
      </c>
      <c r="W637">
        <f t="shared" si="49"/>
        <v>0</v>
      </c>
      <c r="X637">
        <v>1</v>
      </c>
      <c r="Y637" s="2">
        <v>45768</v>
      </c>
      <c r="Z637" s="3" t="s">
        <v>89</v>
      </c>
      <c r="AA637" t="s">
        <v>39</v>
      </c>
      <c r="AB637" t="s">
        <v>40</v>
      </c>
      <c r="AC637" t="s">
        <v>40</v>
      </c>
      <c r="AD637" t="s">
        <v>589</v>
      </c>
    </row>
    <row r="638" spans="2:30">
      <c r="B638">
        <v>5</v>
      </c>
      <c r="C638">
        <v>1020</v>
      </c>
      <c r="D638" t="s">
        <v>29</v>
      </c>
      <c r="E638">
        <v>14314526</v>
      </c>
      <c r="F638" t="s">
        <v>733</v>
      </c>
      <c r="G638" t="s">
        <v>43</v>
      </c>
      <c r="H638" t="s">
        <v>32</v>
      </c>
      <c r="I638" t="s">
        <v>588</v>
      </c>
      <c r="J638" t="s">
        <v>45</v>
      </c>
      <c r="K638" t="s">
        <v>35</v>
      </c>
      <c r="L638" t="s">
        <v>36</v>
      </c>
      <c r="M638" t="s">
        <v>37</v>
      </c>
      <c r="N638">
        <v>10</v>
      </c>
      <c r="O638">
        <v>5</v>
      </c>
      <c r="P638">
        <v>0</v>
      </c>
      <c r="Q638">
        <v>4</v>
      </c>
      <c r="R638">
        <v>149</v>
      </c>
      <c r="S638" t="str">
        <f t="shared" si="45"/>
        <v>PY: Media Crit.</v>
      </c>
      <c r="T638">
        <f t="shared" si="46"/>
        <v>0</v>
      </c>
      <c r="U638">
        <f t="shared" si="47"/>
        <v>0</v>
      </c>
      <c r="V638">
        <f t="shared" si="48"/>
        <v>1</v>
      </c>
      <c r="W638">
        <f t="shared" si="49"/>
        <v>0</v>
      </c>
      <c r="X638">
        <v>1</v>
      </c>
      <c r="Y638" s="2">
        <v>45768</v>
      </c>
      <c r="Z638" s="3" t="s">
        <v>38</v>
      </c>
      <c r="AA638" t="s">
        <v>39</v>
      </c>
      <c r="AB638" t="s">
        <v>49</v>
      </c>
      <c r="AC638" s="5" t="s">
        <v>50</v>
      </c>
      <c r="AD638" t="s">
        <v>589</v>
      </c>
    </row>
    <row r="639" spans="2:30">
      <c r="B639">
        <v>5</v>
      </c>
      <c r="C639">
        <v>1020</v>
      </c>
      <c r="D639" t="s">
        <v>29</v>
      </c>
      <c r="E639">
        <v>10045399</v>
      </c>
      <c r="F639" t="s">
        <v>734</v>
      </c>
      <c r="G639" t="s">
        <v>31</v>
      </c>
      <c r="H639" t="s">
        <v>32</v>
      </c>
      <c r="I639" t="s">
        <v>588</v>
      </c>
      <c r="J639" t="s">
        <v>45</v>
      </c>
      <c r="K639" t="s">
        <v>35</v>
      </c>
      <c r="L639" t="s">
        <v>36</v>
      </c>
      <c r="M639" t="s">
        <v>55</v>
      </c>
      <c r="N639">
        <v>80</v>
      </c>
      <c r="O639">
        <v>41</v>
      </c>
      <c r="P639">
        <v>0</v>
      </c>
      <c r="Q639">
        <v>80</v>
      </c>
      <c r="R639">
        <v>198.1</v>
      </c>
      <c r="S639" t="str">
        <f t="shared" si="45"/>
        <v>PX: Baja Crit.</v>
      </c>
      <c r="T639">
        <f t="shared" si="46"/>
        <v>0</v>
      </c>
      <c r="U639">
        <f t="shared" si="47"/>
        <v>0</v>
      </c>
      <c r="V639">
        <f t="shared" si="48"/>
        <v>1</v>
      </c>
      <c r="W639">
        <f t="shared" si="49"/>
        <v>0</v>
      </c>
      <c r="X639">
        <v>1</v>
      </c>
      <c r="Y639" s="2">
        <v>45768</v>
      </c>
      <c r="Z639" s="3" t="s">
        <v>56</v>
      </c>
      <c r="AA639" t="s">
        <v>39</v>
      </c>
      <c r="AB639" t="s">
        <v>40</v>
      </c>
      <c r="AC639" t="s">
        <v>40</v>
      </c>
      <c r="AD639" t="s">
        <v>589</v>
      </c>
    </row>
    <row r="640" spans="2:30">
      <c r="B640">
        <v>5</v>
      </c>
      <c r="C640">
        <v>1020</v>
      </c>
      <c r="D640" t="s">
        <v>29</v>
      </c>
      <c r="E640">
        <v>14062652</v>
      </c>
      <c r="F640" t="s">
        <v>735</v>
      </c>
      <c r="G640" t="s">
        <v>43</v>
      </c>
      <c r="H640" t="s">
        <v>32</v>
      </c>
      <c r="I640" t="s">
        <v>588</v>
      </c>
      <c r="J640" t="s">
        <v>34</v>
      </c>
      <c r="K640" t="s">
        <v>35</v>
      </c>
      <c r="L640" t="s">
        <v>36</v>
      </c>
      <c r="M640" t="s">
        <v>46</v>
      </c>
      <c r="N640">
        <v>6</v>
      </c>
      <c r="O640">
        <v>5</v>
      </c>
      <c r="P640">
        <v>1</v>
      </c>
      <c r="Q640">
        <v>7</v>
      </c>
      <c r="R640" s="4">
        <v>1106.6500000000001</v>
      </c>
      <c r="S640" t="str">
        <f t="shared" si="45"/>
        <v>PY: Media Crit.</v>
      </c>
      <c r="T640">
        <f t="shared" si="46"/>
        <v>0</v>
      </c>
      <c r="U640">
        <f t="shared" si="47"/>
        <v>0</v>
      </c>
      <c r="V640">
        <f t="shared" si="48"/>
        <v>0</v>
      </c>
      <c r="W640">
        <f t="shared" si="49"/>
        <v>1</v>
      </c>
      <c r="X640">
        <v>1</v>
      </c>
      <c r="Y640" s="2">
        <v>45768</v>
      </c>
      <c r="Z640" s="3" t="s">
        <v>47</v>
      </c>
      <c r="AA640" t="s">
        <v>39</v>
      </c>
      <c r="AB640" t="s">
        <v>49</v>
      </c>
      <c r="AC640" s="5" t="s">
        <v>50</v>
      </c>
      <c r="AD640" t="s">
        <v>589</v>
      </c>
    </row>
    <row r="641" spans="2:30">
      <c r="B641">
        <v>5</v>
      </c>
      <c r="C641">
        <v>1020</v>
      </c>
      <c r="D641" t="s">
        <v>29</v>
      </c>
      <c r="E641">
        <v>10045611</v>
      </c>
      <c r="F641" t="s">
        <v>736</v>
      </c>
      <c r="G641" t="s">
        <v>43</v>
      </c>
      <c r="H641" t="s">
        <v>32</v>
      </c>
      <c r="I641" t="s">
        <v>588</v>
      </c>
      <c r="J641" t="s">
        <v>45</v>
      </c>
      <c r="K641" t="s">
        <v>35</v>
      </c>
      <c r="L641" t="s">
        <v>36</v>
      </c>
      <c r="M641" t="s">
        <v>55</v>
      </c>
      <c r="N641">
        <v>20</v>
      </c>
      <c r="O641">
        <v>11</v>
      </c>
      <c r="P641">
        <v>5</v>
      </c>
      <c r="Q641">
        <v>13</v>
      </c>
      <c r="R641">
        <v>133.84</v>
      </c>
      <c r="S641" t="str">
        <f t="shared" si="45"/>
        <v>PY: Media Crit.</v>
      </c>
      <c r="T641">
        <f t="shared" si="46"/>
        <v>0</v>
      </c>
      <c r="U641">
        <f t="shared" si="47"/>
        <v>0</v>
      </c>
      <c r="V641">
        <f t="shared" si="48"/>
        <v>1</v>
      </c>
      <c r="W641">
        <f t="shared" si="49"/>
        <v>0</v>
      </c>
      <c r="X641">
        <v>1</v>
      </c>
      <c r="Y641" s="2">
        <v>45768</v>
      </c>
      <c r="Z641" s="3" t="s">
        <v>56</v>
      </c>
      <c r="AA641" t="s">
        <v>39</v>
      </c>
      <c r="AB641" t="s">
        <v>40</v>
      </c>
      <c r="AC641" t="s">
        <v>40</v>
      </c>
      <c r="AD641" t="s">
        <v>589</v>
      </c>
    </row>
    <row r="642" spans="2:30">
      <c r="B642">
        <v>5</v>
      </c>
      <c r="C642">
        <v>1020</v>
      </c>
      <c r="D642" t="s">
        <v>29</v>
      </c>
      <c r="E642">
        <v>10050845</v>
      </c>
      <c r="F642" t="s">
        <v>737</v>
      </c>
      <c r="G642" t="s">
        <v>43</v>
      </c>
      <c r="H642" t="s">
        <v>32</v>
      </c>
      <c r="I642" t="s">
        <v>588</v>
      </c>
      <c r="J642" t="s">
        <v>45</v>
      </c>
      <c r="K642" t="s">
        <v>35</v>
      </c>
      <c r="L642" t="s">
        <v>36</v>
      </c>
      <c r="M642" t="s">
        <v>88</v>
      </c>
      <c r="N642">
        <v>2</v>
      </c>
      <c r="O642">
        <v>2</v>
      </c>
      <c r="P642">
        <v>1</v>
      </c>
      <c r="Q642">
        <v>2</v>
      </c>
      <c r="R642">
        <v>415.09</v>
      </c>
      <c r="S642" t="str">
        <f t="shared" ref="S642:S705" si="50">+IF(G642="PZ", "PZ: Alta Crit.",IF(G642="PY","PY: Media Crit.", "PX: Baja Crit."))</f>
        <v>PY: Media Crit.</v>
      </c>
      <c r="T642">
        <f t="shared" ref="T642:T705" si="51">+IF(Q642=0,1,0)</f>
        <v>0</v>
      </c>
      <c r="U642">
        <f t="shared" ref="U642:U705" si="52">+IF(AND(Q642&lt;=P642,Q642&gt;0),1,0)</f>
        <v>0</v>
      </c>
      <c r="V642">
        <f t="shared" ref="V642:V705" si="53">+IF(AND(Q642&gt;P642,Q642&lt;=N642),1,0)</f>
        <v>1</v>
      </c>
      <c r="W642">
        <f t="shared" ref="W642:W705" si="54">+IF(Q642&gt;N642,1,0)</f>
        <v>0</v>
      </c>
      <c r="X642">
        <v>1</v>
      </c>
      <c r="Y642" s="2">
        <v>45768</v>
      </c>
      <c r="Z642" s="3" t="s">
        <v>89</v>
      </c>
      <c r="AA642" t="s">
        <v>39</v>
      </c>
      <c r="AB642" t="s">
        <v>40</v>
      </c>
      <c r="AC642" t="s">
        <v>40</v>
      </c>
      <c r="AD642" t="s">
        <v>589</v>
      </c>
    </row>
    <row r="643" spans="2:30">
      <c r="B643">
        <v>5</v>
      </c>
      <c r="C643">
        <v>1020</v>
      </c>
      <c r="D643" t="s">
        <v>29</v>
      </c>
      <c r="E643">
        <v>10056293</v>
      </c>
      <c r="F643" t="s">
        <v>738</v>
      </c>
      <c r="G643" t="s">
        <v>43</v>
      </c>
      <c r="H643" t="s">
        <v>32</v>
      </c>
      <c r="I643" t="s">
        <v>588</v>
      </c>
      <c r="J643" t="s">
        <v>45</v>
      </c>
      <c r="K643" t="s">
        <v>35</v>
      </c>
      <c r="L643" t="s">
        <v>36</v>
      </c>
      <c r="M643" t="s">
        <v>46</v>
      </c>
      <c r="N643">
        <v>30</v>
      </c>
      <c r="O643">
        <v>21</v>
      </c>
      <c r="P643">
        <v>5</v>
      </c>
      <c r="Q643">
        <v>25</v>
      </c>
      <c r="R643" s="4">
        <v>1401.76</v>
      </c>
      <c r="S643" t="str">
        <f t="shared" si="50"/>
        <v>PY: Media Crit.</v>
      </c>
      <c r="T643">
        <f t="shared" si="51"/>
        <v>0</v>
      </c>
      <c r="U643">
        <f t="shared" si="52"/>
        <v>0</v>
      </c>
      <c r="V643">
        <f t="shared" si="53"/>
        <v>1</v>
      </c>
      <c r="W643">
        <f t="shared" si="54"/>
        <v>0</v>
      </c>
      <c r="X643">
        <v>1</v>
      </c>
      <c r="Y643" s="2">
        <v>45768</v>
      </c>
      <c r="Z643" s="3" t="s">
        <v>47</v>
      </c>
      <c r="AA643" t="s">
        <v>39</v>
      </c>
      <c r="AB643" t="s">
        <v>40</v>
      </c>
      <c r="AC643" t="s">
        <v>40</v>
      </c>
      <c r="AD643" t="s">
        <v>589</v>
      </c>
    </row>
    <row r="644" spans="2:30">
      <c r="B644">
        <v>5</v>
      </c>
      <c r="C644">
        <v>1020</v>
      </c>
      <c r="D644" t="s">
        <v>29</v>
      </c>
      <c r="E644">
        <v>10601385</v>
      </c>
      <c r="F644" t="s">
        <v>739</v>
      </c>
      <c r="G644" t="s">
        <v>43</v>
      </c>
      <c r="H644" t="s">
        <v>60</v>
      </c>
      <c r="I644" t="s">
        <v>588</v>
      </c>
      <c r="J644" t="s">
        <v>45</v>
      </c>
      <c r="K644" t="s">
        <v>35</v>
      </c>
      <c r="L644" t="s">
        <v>36</v>
      </c>
      <c r="M644" t="s">
        <v>46</v>
      </c>
      <c r="N644">
        <v>19</v>
      </c>
      <c r="O644">
        <v>8</v>
      </c>
      <c r="P644">
        <v>7</v>
      </c>
      <c r="Q644">
        <v>17</v>
      </c>
      <c r="R644" s="4">
        <v>9802.77</v>
      </c>
      <c r="S644" t="str">
        <f t="shared" si="50"/>
        <v>PY: Media Crit.</v>
      </c>
      <c r="T644">
        <f t="shared" si="51"/>
        <v>0</v>
      </c>
      <c r="U644">
        <f t="shared" si="52"/>
        <v>0</v>
      </c>
      <c r="V644">
        <f t="shared" si="53"/>
        <v>1</v>
      </c>
      <c r="W644">
        <f t="shared" si="54"/>
        <v>0</v>
      </c>
      <c r="X644">
        <v>1</v>
      </c>
      <c r="Y644" s="2">
        <v>45768</v>
      </c>
      <c r="Z644" s="3" t="s">
        <v>47</v>
      </c>
      <c r="AA644" t="s">
        <v>39</v>
      </c>
      <c r="AB644" t="s">
        <v>40</v>
      </c>
      <c r="AC644" t="s">
        <v>40</v>
      </c>
      <c r="AD644" t="s">
        <v>589</v>
      </c>
    </row>
    <row r="645" spans="2:30">
      <c r="B645">
        <v>5</v>
      </c>
      <c r="C645">
        <v>1020</v>
      </c>
      <c r="D645" t="s">
        <v>29</v>
      </c>
      <c r="E645">
        <v>10056292</v>
      </c>
      <c r="F645" t="s">
        <v>740</v>
      </c>
      <c r="G645" t="s">
        <v>43</v>
      </c>
      <c r="H645" t="s">
        <v>32</v>
      </c>
      <c r="I645" t="s">
        <v>588</v>
      </c>
      <c r="J645" t="s">
        <v>45</v>
      </c>
      <c r="K645" t="s">
        <v>35</v>
      </c>
      <c r="L645" t="s">
        <v>36</v>
      </c>
      <c r="M645" t="s">
        <v>46</v>
      </c>
      <c r="N645">
        <v>10</v>
      </c>
      <c r="O645">
        <v>6</v>
      </c>
      <c r="P645">
        <v>5</v>
      </c>
      <c r="Q645">
        <v>5</v>
      </c>
      <c r="R645">
        <v>216.55</v>
      </c>
      <c r="S645" t="str">
        <f t="shared" si="50"/>
        <v>PY: Media Crit.</v>
      </c>
      <c r="T645">
        <f t="shared" si="51"/>
        <v>0</v>
      </c>
      <c r="U645">
        <f t="shared" si="52"/>
        <v>1</v>
      </c>
      <c r="V645">
        <f t="shared" si="53"/>
        <v>0</v>
      </c>
      <c r="W645">
        <f t="shared" si="54"/>
        <v>0</v>
      </c>
      <c r="X645">
        <v>1</v>
      </c>
      <c r="Y645" s="2">
        <v>45768</v>
      </c>
      <c r="Z645" s="3" t="s">
        <v>47</v>
      </c>
      <c r="AA645" t="s">
        <v>39</v>
      </c>
      <c r="AB645" t="s">
        <v>76</v>
      </c>
      <c r="AC645" s="5" t="s">
        <v>77</v>
      </c>
      <c r="AD645" t="s">
        <v>589</v>
      </c>
    </row>
    <row r="646" spans="2:30">
      <c r="B646">
        <v>5</v>
      </c>
      <c r="C646">
        <v>1020</v>
      </c>
      <c r="D646" t="s">
        <v>29</v>
      </c>
      <c r="E646">
        <v>10057038</v>
      </c>
      <c r="F646" t="s">
        <v>741</v>
      </c>
      <c r="G646" t="s">
        <v>52</v>
      </c>
      <c r="H646" t="s">
        <v>32</v>
      </c>
      <c r="I646" t="s">
        <v>588</v>
      </c>
      <c r="J646" t="s">
        <v>34</v>
      </c>
      <c r="K646" t="s">
        <v>35</v>
      </c>
      <c r="L646" t="s">
        <v>36</v>
      </c>
      <c r="M646" t="s">
        <v>117</v>
      </c>
      <c r="N646">
        <v>10</v>
      </c>
      <c r="O646">
        <v>6</v>
      </c>
      <c r="P646">
        <v>1</v>
      </c>
      <c r="Q646">
        <v>0</v>
      </c>
      <c r="R646">
        <v>0</v>
      </c>
      <c r="S646" t="str">
        <f t="shared" si="50"/>
        <v>PZ: Alta Crit.</v>
      </c>
      <c r="T646">
        <f t="shared" si="51"/>
        <v>1</v>
      </c>
      <c r="U646">
        <f t="shared" si="52"/>
        <v>0</v>
      </c>
      <c r="V646">
        <f t="shared" si="53"/>
        <v>0</v>
      </c>
      <c r="W646">
        <f t="shared" si="54"/>
        <v>0</v>
      </c>
      <c r="X646">
        <v>1</v>
      </c>
      <c r="Y646" s="2">
        <v>45768</v>
      </c>
      <c r="Z646" s="3" t="s">
        <v>118</v>
      </c>
      <c r="AA646" t="s">
        <v>39</v>
      </c>
      <c r="AB646" t="s">
        <v>49</v>
      </c>
      <c r="AC646" s="5" t="s">
        <v>50</v>
      </c>
      <c r="AD646" t="s">
        <v>589</v>
      </c>
    </row>
    <row r="647" spans="2:30">
      <c r="B647">
        <v>5</v>
      </c>
      <c r="C647">
        <v>1020</v>
      </c>
      <c r="D647" t="s">
        <v>29</v>
      </c>
      <c r="E647">
        <v>10042107</v>
      </c>
      <c r="F647" t="s">
        <v>742</v>
      </c>
      <c r="G647" t="s">
        <v>31</v>
      </c>
      <c r="H647" t="s">
        <v>32</v>
      </c>
      <c r="I647" t="s">
        <v>588</v>
      </c>
      <c r="J647" t="s">
        <v>45</v>
      </c>
      <c r="K647" t="s">
        <v>35</v>
      </c>
      <c r="L647" t="s">
        <v>36</v>
      </c>
      <c r="M647" t="s">
        <v>117</v>
      </c>
      <c r="N647">
        <v>20</v>
      </c>
      <c r="O647">
        <v>11</v>
      </c>
      <c r="P647">
        <v>5</v>
      </c>
      <c r="Q647">
        <v>12</v>
      </c>
      <c r="R647">
        <v>198</v>
      </c>
      <c r="S647" t="str">
        <f t="shared" si="50"/>
        <v>PX: Baja Crit.</v>
      </c>
      <c r="T647">
        <f t="shared" si="51"/>
        <v>0</v>
      </c>
      <c r="U647">
        <f t="shared" si="52"/>
        <v>0</v>
      </c>
      <c r="V647">
        <f t="shared" si="53"/>
        <v>1</v>
      </c>
      <c r="W647">
        <f t="shared" si="54"/>
        <v>0</v>
      </c>
      <c r="X647">
        <v>1</v>
      </c>
      <c r="Y647" s="2">
        <v>45768</v>
      </c>
      <c r="Z647" s="3" t="s">
        <v>118</v>
      </c>
      <c r="AA647" t="s">
        <v>39</v>
      </c>
      <c r="AB647" t="s">
        <v>40</v>
      </c>
      <c r="AC647" t="s">
        <v>40</v>
      </c>
      <c r="AD647" t="s">
        <v>589</v>
      </c>
    </row>
    <row r="648" spans="2:30">
      <c r="B648">
        <v>5</v>
      </c>
      <c r="C648">
        <v>1020</v>
      </c>
      <c r="D648" t="s">
        <v>29</v>
      </c>
      <c r="E648">
        <v>10043457</v>
      </c>
      <c r="F648" t="s">
        <v>743</v>
      </c>
      <c r="G648" t="s">
        <v>43</v>
      </c>
      <c r="H648" t="s">
        <v>32</v>
      </c>
      <c r="I648" t="s">
        <v>588</v>
      </c>
      <c r="J648" t="s">
        <v>45</v>
      </c>
      <c r="K648" t="s">
        <v>35</v>
      </c>
      <c r="L648" t="s">
        <v>36</v>
      </c>
      <c r="M648" t="s">
        <v>46</v>
      </c>
      <c r="N648">
        <v>4</v>
      </c>
      <c r="O648">
        <v>2</v>
      </c>
      <c r="P648">
        <v>0</v>
      </c>
      <c r="Q648">
        <v>4</v>
      </c>
      <c r="R648">
        <v>89.72</v>
      </c>
      <c r="S648" t="str">
        <f t="shared" si="50"/>
        <v>PY: Media Crit.</v>
      </c>
      <c r="T648">
        <f t="shared" si="51"/>
        <v>0</v>
      </c>
      <c r="U648">
        <f t="shared" si="52"/>
        <v>0</v>
      </c>
      <c r="V648">
        <f t="shared" si="53"/>
        <v>1</v>
      </c>
      <c r="W648">
        <f t="shared" si="54"/>
        <v>0</v>
      </c>
      <c r="X648">
        <v>1</v>
      </c>
      <c r="Y648" s="2">
        <v>45768</v>
      </c>
      <c r="Z648" s="3" t="s">
        <v>47</v>
      </c>
      <c r="AA648" t="s">
        <v>39</v>
      </c>
      <c r="AB648" t="s">
        <v>40</v>
      </c>
      <c r="AC648" t="s">
        <v>40</v>
      </c>
      <c r="AD648" t="s">
        <v>589</v>
      </c>
    </row>
    <row r="649" spans="2:30">
      <c r="B649">
        <v>5</v>
      </c>
      <c r="C649">
        <v>1020</v>
      </c>
      <c r="D649" t="s">
        <v>29</v>
      </c>
      <c r="E649">
        <v>10045638</v>
      </c>
      <c r="F649" t="s">
        <v>744</v>
      </c>
      <c r="G649" t="s">
        <v>31</v>
      </c>
      <c r="H649" t="s">
        <v>32</v>
      </c>
      <c r="I649" t="s">
        <v>588</v>
      </c>
      <c r="J649" t="s">
        <v>34</v>
      </c>
      <c r="K649" t="s">
        <v>35</v>
      </c>
      <c r="L649" t="s">
        <v>36</v>
      </c>
      <c r="M649" t="s">
        <v>55</v>
      </c>
      <c r="N649">
        <v>50</v>
      </c>
      <c r="O649">
        <v>31</v>
      </c>
      <c r="P649">
        <v>10</v>
      </c>
      <c r="Q649">
        <v>43</v>
      </c>
      <c r="R649">
        <v>591.91</v>
      </c>
      <c r="S649" t="str">
        <f t="shared" si="50"/>
        <v>PX: Baja Crit.</v>
      </c>
      <c r="T649">
        <f t="shared" si="51"/>
        <v>0</v>
      </c>
      <c r="U649">
        <f t="shared" si="52"/>
        <v>0</v>
      </c>
      <c r="V649">
        <f t="shared" si="53"/>
        <v>1</v>
      </c>
      <c r="W649">
        <f t="shared" si="54"/>
        <v>0</v>
      </c>
      <c r="X649">
        <v>1</v>
      </c>
      <c r="Y649" s="2">
        <v>45768</v>
      </c>
      <c r="Z649" s="3" t="s">
        <v>56</v>
      </c>
      <c r="AA649" t="s">
        <v>39</v>
      </c>
      <c r="AB649" t="s">
        <v>40</v>
      </c>
      <c r="AC649" t="s">
        <v>40</v>
      </c>
      <c r="AD649" t="s">
        <v>589</v>
      </c>
    </row>
    <row r="650" spans="2:30">
      <c r="B650">
        <v>5</v>
      </c>
      <c r="C650">
        <v>1020</v>
      </c>
      <c r="D650" t="s">
        <v>29</v>
      </c>
      <c r="E650">
        <v>10640704</v>
      </c>
      <c r="F650" t="s">
        <v>745</v>
      </c>
      <c r="G650" t="s">
        <v>31</v>
      </c>
      <c r="H650" t="s">
        <v>32</v>
      </c>
      <c r="I650" t="s">
        <v>588</v>
      </c>
      <c r="J650" t="s">
        <v>34</v>
      </c>
      <c r="K650" t="s">
        <v>419</v>
      </c>
      <c r="L650" t="s">
        <v>36</v>
      </c>
      <c r="M650" t="s">
        <v>37</v>
      </c>
      <c r="N650">
        <v>30</v>
      </c>
      <c r="O650">
        <v>21</v>
      </c>
      <c r="P650">
        <v>10</v>
      </c>
      <c r="Q650">
        <v>22</v>
      </c>
      <c r="R650">
        <v>815.27</v>
      </c>
      <c r="S650" t="str">
        <f t="shared" si="50"/>
        <v>PX: Baja Crit.</v>
      </c>
      <c r="T650">
        <f t="shared" si="51"/>
        <v>0</v>
      </c>
      <c r="U650">
        <f t="shared" si="52"/>
        <v>0</v>
      </c>
      <c r="V650">
        <f t="shared" si="53"/>
        <v>1</v>
      </c>
      <c r="W650">
        <f t="shared" si="54"/>
        <v>0</v>
      </c>
      <c r="X650">
        <v>1</v>
      </c>
      <c r="Y650" s="2">
        <v>45768</v>
      </c>
      <c r="Z650" s="3" t="s">
        <v>38</v>
      </c>
      <c r="AA650" t="s">
        <v>39</v>
      </c>
      <c r="AB650" t="s">
        <v>40</v>
      </c>
      <c r="AC650" t="s">
        <v>40</v>
      </c>
      <c r="AD650" t="s">
        <v>589</v>
      </c>
    </row>
    <row r="651" spans="2:30">
      <c r="B651">
        <v>5</v>
      </c>
      <c r="C651">
        <v>1020</v>
      </c>
      <c r="D651" t="s">
        <v>29</v>
      </c>
      <c r="E651">
        <v>10045524</v>
      </c>
      <c r="F651" t="s">
        <v>746</v>
      </c>
      <c r="G651" t="s">
        <v>31</v>
      </c>
      <c r="H651" t="s">
        <v>32</v>
      </c>
      <c r="I651" t="s">
        <v>588</v>
      </c>
      <c r="J651" t="s">
        <v>45</v>
      </c>
      <c r="K651" t="s">
        <v>35</v>
      </c>
      <c r="L651" t="s">
        <v>36</v>
      </c>
      <c r="M651" t="s">
        <v>55</v>
      </c>
      <c r="N651">
        <v>200</v>
      </c>
      <c r="O651">
        <v>81</v>
      </c>
      <c r="P651">
        <v>50</v>
      </c>
      <c r="Q651">
        <v>170</v>
      </c>
      <c r="R651">
        <v>91.93</v>
      </c>
      <c r="S651" t="str">
        <f t="shared" si="50"/>
        <v>PX: Baja Crit.</v>
      </c>
      <c r="T651">
        <f t="shared" si="51"/>
        <v>0</v>
      </c>
      <c r="U651">
        <f t="shared" si="52"/>
        <v>0</v>
      </c>
      <c r="V651">
        <f t="shared" si="53"/>
        <v>1</v>
      </c>
      <c r="W651">
        <f t="shared" si="54"/>
        <v>0</v>
      </c>
      <c r="X651">
        <v>1</v>
      </c>
      <c r="Y651" s="2">
        <v>45768</v>
      </c>
      <c r="Z651" s="3" t="s">
        <v>56</v>
      </c>
      <c r="AA651" t="s">
        <v>39</v>
      </c>
      <c r="AB651" t="s">
        <v>40</v>
      </c>
      <c r="AC651" t="s">
        <v>40</v>
      </c>
      <c r="AD651" t="s">
        <v>589</v>
      </c>
    </row>
    <row r="652" spans="2:30">
      <c r="B652">
        <v>5</v>
      </c>
      <c r="C652">
        <v>1020</v>
      </c>
      <c r="D652" t="s">
        <v>29</v>
      </c>
      <c r="E652">
        <v>10048485</v>
      </c>
      <c r="F652" t="s">
        <v>747</v>
      </c>
      <c r="G652" t="s">
        <v>52</v>
      </c>
      <c r="H652" t="s">
        <v>32</v>
      </c>
      <c r="I652" t="s">
        <v>588</v>
      </c>
      <c r="J652" t="s">
        <v>45</v>
      </c>
      <c r="K652" t="s">
        <v>62</v>
      </c>
      <c r="L652" t="s">
        <v>36</v>
      </c>
      <c r="M652" t="s">
        <v>46</v>
      </c>
      <c r="N652">
        <v>4</v>
      </c>
      <c r="O652">
        <v>3</v>
      </c>
      <c r="P652">
        <v>1</v>
      </c>
      <c r="Q652">
        <v>3</v>
      </c>
      <c r="R652">
        <v>290.83</v>
      </c>
      <c r="S652" t="str">
        <f t="shared" si="50"/>
        <v>PZ: Alta Crit.</v>
      </c>
      <c r="T652">
        <f t="shared" si="51"/>
        <v>0</v>
      </c>
      <c r="U652">
        <f t="shared" si="52"/>
        <v>0</v>
      </c>
      <c r="V652">
        <f t="shared" si="53"/>
        <v>1</v>
      </c>
      <c r="W652">
        <f t="shared" si="54"/>
        <v>0</v>
      </c>
      <c r="X652">
        <v>1</v>
      </c>
      <c r="Y652" s="2">
        <v>45768</v>
      </c>
      <c r="Z652" s="3" t="s">
        <v>47</v>
      </c>
      <c r="AA652" t="s">
        <v>39</v>
      </c>
      <c r="AB652" t="s">
        <v>76</v>
      </c>
      <c r="AC652" s="5" t="s">
        <v>77</v>
      </c>
      <c r="AD652" t="s">
        <v>589</v>
      </c>
    </row>
    <row r="653" spans="2:30">
      <c r="B653">
        <v>5</v>
      </c>
      <c r="C653">
        <v>1020</v>
      </c>
      <c r="D653" t="s">
        <v>29</v>
      </c>
      <c r="E653">
        <v>10292132</v>
      </c>
      <c r="F653" t="s">
        <v>748</v>
      </c>
      <c r="G653" t="s">
        <v>43</v>
      </c>
      <c r="H653" t="s">
        <v>32</v>
      </c>
      <c r="I653" t="s">
        <v>588</v>
      </c>
      <c r="J653" t="s">
        <v>45</v>
      </c>
      <c r="K653" t="s">
        <v>35</v>
      </c>
      <c r="L653" t="s">
        <v>36</v>
      </c>
      <c r="M653" t="s">
        <v>117</v>
      </c>
      <c r="N653">
        <v>50</v>
      </c>
      <c r="O653">
        <v>31</v>
      </c>
      <c r="P653">
        <v>10</v>
      </c>
      <c r="Q653">
        <v>10</v>
      </c>
      <c r="R653" s="4">
        <v>4940.71</v>
      </c>
      <c r="S653" t="str">
        <f t="shared" si="50"/>
        <v>PY: Media Crit.</v>
      </c>
      <c r="T653">
        <f t="shared" si="51"/>
        <v>0</v>
      </c>
      <c r="U653">
        <f t="shared" si="52"/>
        <v>1</v>
      </c>
      <c r="V653">
        <f t="shared" si="53"/>
        <v>0</v>
      </c>
      <c r="W653">
        <f t="shared" si="54"/>
        <v>0</v>
      </c>
      <c r="X653">
        <v>1</v>
      </c>
      <c r="Y653" s="2">
        <v>45768</v>
      </c>
      <c r="Z653" s="3" t="s">
        <v>118</v>
      </c>
      <c r="AA653" t="s">
        <v>39</v>
      </c>
      <c r="AB653" t="s">
        <v>49</v>
      </c>
      <c r="AC653" s="5" t="s">
        <v>50</v>
      </c>
      <c r="AD653" t="s">
        <v>589</v>
      </c>
    </row>
    <row r="654" spans="2:30">
      <c r="B654">
        <v>5</v>
      </c>
      <c r="C654">
        <v>1020</v>
      </c>
      <c r="D654" t="s">
        <v>29</v>
      </c>
      <c r="E654">
        <v>14126975</v>
      </c>
      <c r="F654" t="s">
        <v>749</v>
      </c>
      <c r="G654" t="s">
        <v>52</v>
      </c>
      <c r="H654" t="s">
        <v>32</v>
      </c>
      <c r="I654" t="s">
        <v>588</v>
      </c>
      <c r="J654" t="s">
        <v>45</v>
      </c>
      <c r="K654" t="s">
        <v>35</v>
      </c>
      <c r="L654" t="s">
        <v>36</v>
      </c>
      <c r="M654" t="s">
        <v>37</v>
      </c>
      <c r="N654">
        <v>2</v>
      </c>
      <c r="O654">
        <v>1</v>
      </c>
      <c r="P654">
        <v>0</v>
      </c>
      <c r="Q654">
        <v>2</v>
      </c>
      <c r="R654">
        <v>198.75</v>
      </c>
      <c r="S654" t="str">
        <f t="shared" si="50"/>
        <v>PZ: Alta Crit.</v>
      </c>
      <c r="T654">
        <f t="shared" si="51"/>
        <v>0</v>
      </c>
      <c r="U654">
        <f t="shared" si="52"/>
        <v>0</v>
      </c>
      <c r="V654">
        <f t="shared" si="53"/>
        <v>1</v>
      </c>
      <c r="W654">
        <f t="shared" si="54"/>
        <v>0</v>
      </c>
      <c r="X654">
        <v>1</v>
      </c>
      <c r="Y654" s="2">
        <v>45768</v>
      </c>
      <c r="Z654" s="3" t="s">
        <v>38</v>
      </c>
      <c r="AA654" t="s">
        <v>39</v>
      </c>
      <c r="AB654" t="s">
        <v>40</v>
      </c>
      <c r="AC654" t="s">
        <v>40</v>
      </c>
      <c r="AD654" t="s">
        <v>589</v>
      </c>
    </row>
    <row r="655" spans="2:30">
      <c r="B655">
        <v>5</v>
      </c>
      <c r="C655">
        <v>1020</v>
      </c>
      <c r="D655" t="s">
        <v>29</v>
      </c>
      <c r="E655">
        <v>10046141</v>
      </c>
      <c r="F655" t="s">
        <v>750</v>
      </c>
      <c r="G655" t="s">
        <v>43</v>
      </c>
      <c r="H655" t="s">
        <v>60</v>
      </c>
      <c r="I655" t="s">
        <v>588</v>
      </c>
      <c r="J655" t="s">
        <v>45</v>
      </c>
      <c r="K655" t="s">
        <v>35</v>
      </c>
      <c r="L655" t="s">
        <v>36</v>
      </c>
      <c r="M655" t="s">
        <v>117</v>
      </c>
      <c r="N655">
        <v>2</v>
      </c>
      <c r="O655">
        <v>1</v>
      </c>
      <c r="P655">
        <v>1</v>
      </c>
      <c r="Q655">
        <v>2</v>
      </c>
      <c r="R655" s="4">
        <v>1069.5899999999999</v>
      </c>
      <c r="S655" t="str">
        <f t="shared" si="50"/>
        <v>PY: Media Crit.</v>
      </c>
      <c r="T655">
        <f t="shared" si="51"/>
        <v>0</v>
      </c>
      <c r="U655">
        <f t="shared" si="52"/>
        <v>0</v>
      </c>
      <c r="V655">
        <f t="shared" si="53"/>
        <v>1</v>
      </c>
      <c r="W655">
        <f t="shared" si="54"/>
        <v>0</v>
      </c>
      <c r="X655">
        <v>1</v>
      </c>
      <c r="Y655" s="2">
        <v>45768</v>
      </c>
      <c r="Z655" s="3" t="s">
        <v>118</v>
      </c>
      <c r="AA655" t="s">
        <v>39</v>
      </c>
      <c r="AB655" t="s">
        <v>40</v>
      </c>
      <c r="AC655" t="s">
        <v>40</v>
      </c>
      <c r="AD655" t="s">
        <v>589</v>
      </c>
    </row>
    <row r="656" spans="2:30">
      <c r="B656">
        <v>5</v>
      </c>
      <c r="C656">
        <v>1020</v>
      </c>
      <c r="D656" t="s">
        <v>29</v>
      </c>
      <c r="E656">
        <v>10601447</v>
      </c>
      <c r="F656" t="s">
        <v>751</v>
      </c>
      <c r="G656" t="s">
        <v>43</v>
      </c>
      <c r="H656" t="s">
        <v>44</v>
      </c>
      <c r="I656" t="s">
        <v>588</v>
      </c>
      <c r="J656" t="s">
        <v>34</v>
      </c>
      <c r="K656" t="s">
        <v>35</v>
      </c>
      <c r="L656" t="s">
        <v>36</v>
      </c>
      <c r="M656" t="s">
        <v>69</v>
      </c>
      <c r="N656">
        <v>12</v>
      </c>
      <c r="O656">
        <v>7</v>
      </c>
      <c r="P656">
        <v>4</v>
      </c>
      <c r="Q656">
        <v>12</v>
      </c>
      <c r="R656" s="4">
        <v>3635.8</v>
      </c>
      <c r="S656" t="str">
        <f t="shared" si="50"/>
        <v>PY: Media Crit.</v>
      </c>
      <c r="T656">
        <f t="shared" si="51"/>
        <v>0</v>
      </c>
      <c r="U656">
        <f t="shared" si="52"/>
        <v>0</v>
      </c>
      <c r="V656">
        <f t="shared" si="53"/>
        <v>1</v>
      </c>
      <c r="W656">
        <f t="shared" si="54"/>
        <v>0</v>
      </c>
      <c r="X656">
        <v>1</v>
      </c>
      <c r="Y656" s="2">
        <v>45768</v>
      </c>
      <c r="Z656" s="3" t="s">
        <v>70</v>
      </c>
      <c r="AA656" t="s">
        <v>39</v>
      </c>
      <c r="AB656" t="s">
        <v>40</v>
      </c>
      <c r="AC656" t="s">
        <v>40</v>
      </c>
      <c r="AD656" t="s">
        <v>589</v>
      </c>
    </row>
    <row r="657" spans="2:30">
      <c r="B657">
        <v>5</v>
      </c>
      <c r="C657">
        <v>1020</v>
      </c>
      <c r="D657" t="s">
        <v>29</v>
      </c>
      <c r="E657">
        <v>14062721</v>
      </c>
      <c r="F657" t="s">
        <v>752</v>
      </c>
      <c r="G657" t="s">
        <v>31</v>
      </c>
      <c r="H657" t="s">
        <v>32</v>
      </c>
      <c r="I657" t="s">
        <v>588</v>
      </c>
      <c r="J657" t="s">
        <v>34</v>
      </c>
      <c r="K657" t="s">
        <v>62</v>
      </c>
      <c r="L657" t="s">
        <v>36</v>
      </c>
      <c r="M657" t="s">
        <v>46</v>
      </c>
      <c r="N657">
        <v>80</v>
      </c>
      <c r="O657">
        <v>31</v>
      </c>
      <c r="P657">
        <v>5</v>
      </c>
      <c r="Q657">
        <v>60</v>
      </c>
      <c r="R657">
        <v>923.26</v>
      </c>
      <c r="S657" t="str">
        <f t="shared" si="50"/>
        <v>PX: Baja Crit.</v>
      </c>
      <c r="T657">
        <f t="shared" si="51"/>
        <v>0</v>
      </c>
      <c r="U657">
        <f t="shared" si="52"/>
        <v>0</v>
      </c>
      <c r="V657">
        <f t="shared" si="53"/>
        <v>1</v>
      </c>
      <c r="W657">
        <f t="shared" si="54"/>
        <v>0</v>
      </c>
      <c r="X657">
        <v>1</v>
      </c>
      <c r="Y657" s="2">
        <v>45768</v>
      </c>
      <c r="Z657" s="3" t="s">
        <v>47</v>
      </c>
      <c r="AA657" t="s">
        <v>39</v>
      </c>
      <c r="AB657" t="s">
        <v>40</v>
      </c>
      <c r="AC657" t="s">
        <v>40</v>
      </c>
      <c r="AD657" t="s">
        <v>589</v>
      </c>
    </row>
    <row r="658" spans="2:30">
      <c r="B658">
        <v>5</v>
      </c>
      <c r="C658">
        <v>1020</v>
      </c>
      <c r="D658" t="s">
        <v>29</v>
      </c>
      <c r="E658">
        <v>10045338</v>
      </c>
      <c r="F658" t="s">
        <v>753</v>
      </c>
      <c r="G658" t="s">
        <v>31</v>
      </c>
      <c r="H658" t="s">
        <v>32</v>
      </c>
      <c r="I658" t="s">
        <v>588</v>
      </c>
      <c r="J658" t="s">
        <v>45</v>
      </c>
      <c r="K658" t="s">
        <v>35</v>
      </c>
      <c r="L658" t="s">
        <v>36</v>
      </c>
      <c r="M658" t="s">
        <v>55</v>
      </c>
      <c r="N658">
        <v>60</v>
      </c>
      <c r="O658">
        <v>41</v>
      </c>
      <c r="P658">
        <v>10</v>
      </c>
      <c r="Q658">
        <v>50</v>
      </c>
      <c r="R658">
        <v>311.06</v>
      </c>
      <c r="S658" t="str">
        <f t="shared" si="50"/>
        <v>PX: Baja Crit.</v>
      </c>
      <c r="T658">
        <f t="shared" si="51"/>
        <v>0</v>
      </c>
      <c r="U658">
        <f t="shared" si="52"/>
        <v>0</v>
      </c>
      <c r="V658">
        <f t="shared" si="53"/>
        <v>1</v>
      </c>
      <c r="W658">
        <f t="shared" si="54"/>
        <v>0</v>
      </c>
      <c r="X658">
        <v>1</v>
      </c>
      <c r="Y658" s="2">
        <v>45768</v>
      </c>
      <c r="Z658" s="3" t="s">
        <v>56</v>
      </c>
      <c r="AA658" t="s">
        <v>39</v>
      </c>
      <c r="AB658" t="s">
        <v>40</v>
      </c>
      <c r="AC658" t="s">
        <v>40</v>
      </c>
      <c r="AD658" t="s">
        <v>589</v>
      </c>
    </row>
    <row r="659" spans="2:30">
      <c r="B659">
        <v>5</v>
      </c>
      <c r="C659">
        <v>1020</v>
      </c>
      <c r="D659" t="s">
        <v>29</v>
      </c>
      <c r="E659">
        <v>10057112</v>
      </c>
      <c r="F659" t="s">
        <v>754</v>
      </c>
      <c r="G659" t="s">
        <v>43</v>
      </c>
      <c r="H659" t="s">
        <v>60</v>
      </c>
      <c r="I659" t="s">
        <v>588</v>
      </c>
      <c r="J659" t="s">
        <v>45</v>
      </c>
      <c r="K659" t="s">
        <v>35</v>
      </c>
      <c r="L659" t="s">
        <v>36</v>
      </c>
      <c r="M659" t="s">
        <v>55</v>
      </c>
      <c r="N659">
        <v>2</v>
      </c>
      <c r="O659">
        <v>1</v>
      </c>
      <c r="P659">
        <v>0</v>
      </c>
      <c r="Q659">
        <v>2</v>
      </c>
      <c r="R659">
        <v>493.65</v>
      </c>
      <c r="S659" t="str">
        <f t="shared" si="50"/>
        <v>PY: Media Crit.</v>
      </c>
      <c r="T659">
        <f t="shared" si="51"/>
        <v>0</v>
      </c>
      <c r="U659">
        <f t="shared" si="52"/>
        <v>0</v>
      </c>
      <c r="V659">
        <f t="shared" si="53"/>
        <v>1</v>
      </c>
      <c r="W659">
        <f t="shared" si="54"/>
        <v>0</v>
      </c>
      <c r="X659">
        <v>1</v>
      </c>
      <c r="Y659" s="2">
        <v>45768</v>
      </c>
      <c r="Z659" s="3" t="s">
        <v>56</v>
      </c>
      <c r="AA659" t="s">
        <v>39</v>
      </c>
      <c r="AB659" t="s">
        <v>40</v>
      </c>
      <c r="AC659" t="s">
        <v>40</v>
      </c>
      <c r="AD659" t="s">
        <v>589</v>
      </c>
    </row>
    <row r="660" spans="2:30">
      <c r="B660">
        <v>5</v>
      </c>
      <c r="C660">
        <v>1020</v>
      </c>
      <c r="D660" t="s">
        <v>29</v>
      </c>
      <c r="E660">
        <v>10297611</v>
      </c>
      <c r="F660" t="s">
        <v>755</v>
      </c>
      <c r="G660" t="s">
        <v>43</v>
      </c>
      <c r="H660" t="s">
        <v>60</v>
      </c>
      <c r="I660" t="s">
        <v>588</v>
      </c>
      <c r="J660" t="s">
        <v>45</v>
      </c>
      <c r="K660" t="s">
        <v>35</v>
      </c>
      <c r="L660" t="s">
        <v>36</v>
      </c>
      <c r="M660" t="s">
        <v>46</v>
      </c>
      <c r="N660">
        <v>4</v>
      </c>
      <c r="O660">
        <v>3</v>
      </c>
      <c r="P660">
        <v>1</v>
      </c>
      <c r="Q660">
        <v>4</v>
      </c>
      <c r="R660" s="4">
        <v>1608.14</v>
      </c>
      <c r="S660" t="str">
        <f t="shared" si="50"/>
        <v>PY: Media Crit.</v>
      </c>
      <c r="T660">
        <f t="shared" si="51"/>
        <v>0</v>
      </c>
      <c r="U660">
        <f t="shared" si="52"/>
        <v>0</v>
      </c>
      <c r="V660">
        <f t="shared" si="53"/>
        <v>1</v>
      </c>
      <c r="W660">
        <f t="shared" si="54"/>
        <v>0</v>
      </c>
      <c r="X660">
        <v>1</v>
      </c>
      <c r="Y660" s="2">
        <v>45768</v>
      </c>
      <c r="Z660" s="3" t="s">
        <v>47</v>
      </c>
      <c r="AA660" t="s">
        <v>39</v>
      </c>
      <c r="AB660" t="s">
        <v>40</v>
      </c>
      <c r="AC660" t="s">
        <v>40</v>
      </c>
      <c r="AD660" t="s">
        <v>589</v>
      </c>
    </row>
    <row r="661" spans="2:30">
      <c r="B661">
        <v>5</v>
      </c>
      <c r="C661">
        <v>1020</v>
      </c>
      <c r="D661" t="s">
        <v>29</v>
      </c>
      <c r="E661">
        <v>10607947</v>
      </c>
      <c r="F661" t="s">
        <v>756</v>
      </c>
      <c r="G661" t="s">
        <v>52</v>
      </c>
      <c r="H661" t="s">
        <v>60</v>
      </c>
      <c r="I661" t="s">
        <v>588</v>
      </c>
      <c r="J661" t="s">
        <v>34</v>
      </c>
      <c r="K661" t="s">
        <v>35</v>
      </c>
      <c r="L661" t="s">
        <v>36</v>
      </c>
      <c r="M661" t="s">
        <v>46</v>
      </c>
      <c r="N661">
        <v>12</v>
      </c>
      <c r="O661">
        <v>6</v>
      </c>
      <c r="P661">
        <v>4</v>
      </c>
      <c r="Q661">
        <v>2</v>
      </c>
      <c r="R661">
        <v>579.27</v>
      </c>
      <c r="S661" t="str">
        <f t="shared" si="50"/>
        <v>PZ: Alta Crit.</v>
      </c>
      <c r="T661">
        <f t="shared" si="51"/>
        <v>0</v>
      </c>
      <c r="U661">
        <f t="shared" si="52"/>
        <v>1</v>
      </c>
      <c r="V661">
        <f t="shared" si="53"/>
        <v>0</v>
      </c>
      <c r="W661">
        <f t="shared" si="54"/>
        <v>0</v>
      </c>
      <c r="X661">
        <v>1</v>
      </c>
      <c r="Y661" s="2">
        <v>45768</v>
      </c>
      <c r="Z661" s="3" t="s">
        <v>47</v>
      </c>
      <c r="AA661" t="s">
        <v>39</v>
      </c>
      <c r="AB661" t="s">
        <v>49</v>
      </c>
      <c r="AC661" s="5" t="s">
        <v>50</v>
      </c>
      <c r="AD661" t="s">
        <v>589</v>
      </c>
    </row>
    <row r="662" spans="2:30">
      <c r="B662">
        <v>5</v>
      </c>
      <c r="C662">
        <v>1020</v>
      </c>
      <c r="D662" t="s">
        <v>29</v>
      </c>
      <c r="E662">
        <v>14106406</v>
      </c>
      <c r="F662" t="s">
        <v>757</v>
      </c>
      <c r="G662" t="s">
        <v>43</v>
      </c>
      <c r="H662" t="s">
        <v>60</v>
      </c>
      <c r="I662" t="s">
        <v>588</v>
      </c>
      <c r="J662" t="s">
        <v>45</v>
      </c>
      <c r="K662" t="s">
        <v>35</v>
      </c>
      <c r="L662" t="s">
        <v>36</v>
      </c>
      <c r="M662" t="s">
        <v>117</v>
      </c>
      <c r="N662">
        <v>16</v>
      </c>
      <c r="O662">
        <v>9</v>
      </c>
      <c r="P662">
        <v>4</v>
      </c>
      <c r="Q662">
        <v>16</v>
      </c>
      <c r="R662" s="4">
        <v>3425.99</v>
      </c>
      <c r="S662" t="str">
        <f t="shared" si="50"/>
        <v>PY: Media Crit.</v>
      </c>
      <c r="T662">
        <f t="shared" si="51"/>
        <v>0</v>
      </c>
      <c r="U662">
        <f t="shared" si="52"/>
        <v>0</v>
      </c>
      <c r="V662">
        <f t="shared" si="53"/>
        <v>1</v>
      </c>
      <c r="W662">
        <f t="shared" si="54"/>
        <v>0</v>
      </c>
      <c r="X662">
        <v>1</v>
      </c>
      <c r="Y662" s="2">
        <v>45768</v>
      </c>
      <c r="Z662" s="3" t="s">
        <v>118</v>
      </c>
      <c r="AA662" t="s">
        <v>39</v>
      </c>
      <c r="AB662" t="s">
        <v>40</v>
      </c>
      <c r="AC662" t="s">
        <v>40</v>
      </c>
      <c r="AD662" t="s">
        <v>589</v>
      </c>
    </row>
    <row r="663" spans="2:30">
      <c r="B663">
        <v>5</v>
      </c>
      <c r="C663">
        <v>1020</v>
      </c>
      <c r="D663" t="s">
        <v>29</v>
      </c>
      <c r="E663">
        <v>14106407</v>
      </c>
      <c r="F663" t="s">
        <v>758</v>
      </c>
      <c r="G663" t="s">
        <v>43</v>
      </c>
      <c r="H663" t="s">
        <v>32</v>
      </c>
      <c r="I663" t="s">
        <v>588</v>
      </c>
      <c r="J663" t="s">
        <v>45</v>
      </c>
      <c r="K663" t="s">
        <v>35</v>
      </c>
      <c r="L663" t="s">
        <v>36</v>
      </c>
      <c r="M663" t="s">
        <v>117</v>
      </c>
      <c r="N663">
        <v>16</v>
      </c>
      <c r="O663">
        <v>9</v>
      </c>
      <c r="P663">
        <v>4</v>
      </c>
      <c r="Q663">
        <v>16</v>
      </c>
      <c r="R663" s="4">
        <v>2735.99</v>
      </c>
      <c r="S663" t="str">
        <f t="shared" si="50"/>
        <v>PY: Media Crit.</v>
      </c>
      <c r="T663">
        <f t="shared" si="51"/>
        <v>0</v>
      </c>
      <c r="U663">
        <f t="shared" si="52"/>
        <v>0</v>
      </c>
      <c r="V663">
        <f t="shared" si="53"/>
        <v>1</v>
      </c>
      <c r="W663">
        <f t="shared" si="54"/>
        <v>0</v>
      </c>
      <c r="X663">
        <v>1</v>
      </c>
      <c r="Y663" s="2">
        <v>45768</v>
      </c>
      <c r="Z663" s="3" t="s">
        <v>118</v>
      </c>
      <c r="AA663" t="s">
        <v>39</v>
      </c>
      <c r="AB663" t="s">
        <v>40</v>
      </c>
      <c r="AC663" t="s">
        <v>40</v>
      </c>
      <c r="AD663" t="s">
        <v>589</v>
      </c>
    </row>
    <row r="664" spans="2:30">
      <c r="B664">
        <v>5</v>
      </c>
      <c r="C664">
        <v>1020</v>
      </c>
      <c r="D664" t="s">
        <v>29</v>
      </c>
      <c r="E664">
        <v>10052027</v>
      </c>
      <c r="F664" t="s">
        <v>759</v>
      </c>
      <c r="G664" t="s">
        <v>43</v>
      </c>
      <c r="H664" t="s">
        <v>32</v>
      </c>
      <c r="I664" t="s">
        <v>588</v>
      </c>
      <c r="J664" t="s">
        <v>45</v>
      </c>
      <c r="K664" t="s">
        <v>35</v>
      </c>
      <c r="L664" t="s">
        <v>36</v>
      </c>
      <c r="M664" t="s">
        <v>46</v>
      </c>
      <c r="N664">
        <v>40</v>
      </c>
      <c r="O664">
        <v>25</v>
      </c>
      <c r="P664">
        <v>15</v>
      </c>
      <c r="Q664">
        <v>21</v>
      </c>
      <c r="R664" s="4">
        <v>9747.15</v>
      </c>
      <c r="S664" t="str">
        <f t="shared" si="50"/>
        <v>PY: Media Crit.</v>
      </c>
      <c r="T664">
        <f t="shared" si="51"/>
        <v>0</v>
      </c>
      <c r="U664">
        <f t="shared" si="52"/>
        <v>0</v>
      </c>
      <c r="V664">
        <f t="shared" si="53"/>
        <v>1</v>
      </c>
      <c r="W664">
        <f t="shared" si="54"/>
        <v>0</v>
      </c>
      <c r="X664">
        <v>1</v>
      </c>
      <c r="Y664" s="2">
        <v>45768</v>
      </c>
      <c r="Z664" s="3" t="s">
        <v>47</v>
      </c>
      <c r="AA664" t="s">
        <v>39</v>
      </c>
      <c r="AB664" t="s">
        <v>76</v>
      </c>
      <c r="AC664" s="5" t="s">
        <v>77</v>
      </c>
      <c r="AD664" t="s">
        <v>589</v>
      </c>
    </row>
    <row r="665" spans="2:30">
      <c r="B665">
        <v>5</v>
      </c>
      <c r="C665">
        <v>1020</v>
      </c>
      <c r="D665" t="s">
        <v>29</v>
      </c>
      <c r="E665">
        <v>14203331</v>
      </c>
      <c r="F665" t="s">
        <v>760</v>
      </c>
      <c r="G665" t="s">
        <v>43</v>
      </c>
      <c r="H665" t="s">
        <v>44</v>
      </c>
      <c r="I665" t="s">
        <v>588</v>
      </c>
      <c r="J665" t="s">
        <v>45</v>
      </c>
      <c r="K665" t="s">
        <v>35</v>
      </c>
      <c r="L665" t="s">
        <v>36</v>
      </c>
      <c r="M665" t="s">
        <v>46</v>
      </c>
      <c r="N665">
        <v>15</v>
      </c>
      <c r="O665">
        <v>10</v>
      </c>
      <c r="P665">
        <v>0</v>
      </c>
      <c r="Q665">
        <v>5</v>
      </c>
      <c r="R665" s="4">
        <v>1589.25</v>
      </c>
      <c r="S665" t="str">
        <f t="shared" si="50"/>
        <v>PY: Media Crit.</v>
      </c>
      <c r="T665">
        <f t="shared" si="51"/>
        <v>0</v>
      </c>
      <c r="U665">
        <f t="shared" si="52"/>
        <v>0</v>
      </c>
      <c r="V665">
        <f t="shared" si="53"/>
        <v>1</v>
      </c>
      <c r="W665">
        <f t="shared" si="54"/>
        <v>0</v>
      </c>
      <c r="X665">
        <v>1</v>
      </c>
      <c r="Y665" s="2">
        <v>45768</v>
      </c>
      <c r="Z665" s="3" t="s">
        <v>47</v>
      </c>
      <c r="AA665" t="s">
        <v>39</v>
      </c>
      <c r="AB665" t="s">
        <v>76</v>
      </c>
      <c r="AC665" s="5" t="s">
        <v>77</v>
      </c>
      <c r="AD665" t="s">
        <v>589</v>
      </c>
    </row>
    <row r="666" spans="2:30">
      <c r="B666">
        <v>5</v>
      </c>
      <c r="C666">
        <v>1020</v>
      </c>
      <c r="D666" t="s">
        <v>29</v>
      </c>
      <c r="E666">
        <v>10047687</v>
      </c>
      <c r="F666" t="s">
        <v>761</v>
      </c>
      <c r="G666" t="s">
        <v>52</v>
      </c>
      <c r="H666" t="s">
        <v>44</v>
      </c>
      <c r="I666" t="s">
        <v>588</v>
      </c>
      <c r="J666" t="s">
        <v>34</v>
      </c>
      <c r="K666" t="s">
        <v>35</v>
      </c>
      <c r="L666" t="s">
        <v>36</v>
      </c>
      <c r="M666" t="s">
        <v>117</v>
      </c>
      <c r="N666">
        <v>24</v>
      </c>
      <c r="O666">
        <v>12</v>
      </c>
      <c r="P666">
        <v>6</v>
      </c>
      <c r="Q666">
        <v>1</v>
      </c>
      <c r="R666">
        <v>294.61</v>
      </c>
      <c r="S666" t="str">
        <f t="shared" si="50"/>
        <v>PZ: Alta Crit.</v>
      </c>
      <c r="T666">
        <f t="shared" si="51"/>
        <v>0</v>
      </c>
      <c r="U666">
        <f t="shared" si="52"/>
        <v>1</v>
      </c>
      <c r="V666">
        <f t="shared" si="53"/>
        <v>0</v>
      </c>
      <c r="W666">
        <f t="shared" si="54"/>
        <v>0</v>
      </c>
      <c r="X666">
        <v>1</v>
      </c>
      <c r="Y666" s="2">
        <v>45768</v>
      </c>
      <c r="Z666" s="3" t="s">
        <v>118</v>
      </c>
      <c r="AA666" t="s">
        <v>39</v>
      </c>
      <c r="AB666" t="s">
        <v>49</v>
      </c>
      <c r="AC666" s="5" t="s">
        <v>50</v>
      </c>
      <c r="AD666" t="s">
        <v>589</v>
      </c>
    </row>
    <row r="667" spans="2:30">
      <c r="B667">
        <v>5</v>
      </c>
      <c r="C667">
        <v>1020</v>
      </c>
      <c r="D667" t="s">
        <v>29</v>
      </c>
      <c r="E667">
        <v>10296212</v>
      </c>
      <c r="F667" t="s">
        <v>762</v>
      </c>
      <c r="G667" t="s">
        <v>31</v>
      </c>
      <c r="H667" t="s">
        <v>32</v>
      </c>
      <c r="I667" t="s">
        <v>588</v>
      </c>
      <c r="J667" t="s">
        <v>45</v>
      </c>
      <c r="K667" t="s">
        <v>35</v>
      </c>
      <c r="L667" t="s">
        <v>36</v>
      </c>
      <c r="M667" t="s">
        <v>69</v>
      </c>
      <c r="N667">
        <v>5</v>
      </c>
      <c r="O667">
        <v>5</v>
      </c>
      <c r="P667">
        <v>0</v>
      </c>
      <c r="Q667">
        <v>5</v>
      </c>
      <c r="R667">
        <v>802.91</v>
      </c>
      <c r="S667" t="str">
        <f t="shared" si="50"/>
        <v>PX: Baja Crit.</v>
      </c>
      <c r="T667">
        <f t="shared" si="51"/>
        <v>0</v>
      </c>
      <c r="U667">
        <f t="shared" si="52"/>
        <v>0</v>
      </c>
      <c r="V667">
        <f t="shared" si="53"/>
        <v>1</v>
      </c>
      <c r="W667">
        <f t="shared" si="54"/>
        <v>0</v>
      </c>
      <c r="X667">
        <v>1</v>
      </c>
      <c r="Y667" s="2">
        <v>45768</v>
      </c>
      <c r="Z667" s="3" t="s">
        <v>70</v>
      </c>
      <c r="AA667" t="s">
        <v>39</v>
      </c>
      <c r="AB667" t="s">
        <v>40</v>
      </c>
      <c r="AC667" t="s">
        <v>40</v>
      </c>
      <c r="AD667" t="s">
        <v>589</v>
      </c>
    </row>
    <row r="668" spans="2:30">
      <c r="B668">
        <v>5</v>
      </c>
      <c r="C668">
        <v>1020</v>
      </c>
      <c r="D668" t="s">
        <v>29</v>
      </c>
      <c r="E668">
        <v>10616082</v>
      </c>
      <c r="F668" t="s">
        <v>763</v>
      </c>
      <c r="G668" t="s">
        <v>52</v>
      </c>
      <c r="H668" t="s">
        <v>32</v>
      </c>
      <c r="I668" t="s">
        <v>588</v>
      </c>
      <c r="J668" t="s">
        <v>45</v>
      </c>
      <c r="K668" t="s">
        <v>35</v>
      </c>
      <c r="L668" t="s">
        <v>36</v>
      </c>
      <c r="M668" t="s">
        <v>46</v>
      </c>
      <c r="N668">
        <v>4</v>
      </c>
      <c r="O668">
        <v>3</v>
      </c>
      <c r="P668">
        <v>2</v>
      </c>
      <c r="Q668">
        <v>10</v>
      </c>
      <c r="R668" s="4">
        <v>1250</v>
      </c>
      <c r="S668" t="str">
        <f t="shared" si="50"/>
        <v>PZ: Alta Crit.</v>
      </c>
      <c r="T668">
        <f t="shared" si="51"/>
        <v>0</v>
      </c>
      <c r="U668">
        <f t="shared" si="52"/>
        <v>0</v>
      </c>
      <c r="V668">
        <f t="shared" si="53"/>
        <v>0</v>
      </c>
      <c r="W668">
        <f t="shared" si="54"/>
        <v>1</v>
      </c>
      <c r="X668">
        <v>1</v>
      </c>
      <c r="Y668" s="2">
        <v>45768</v>
      </c>
      <c r="Z668" s="3" t="s">
        <v>47</v>
      </c>
      <c r="AA668" t="s">
        <v>39</v>
      </c>
      <c r="AB668" t="s">
        <v>40</v>
      </c>
      <c r="AC668" t="s">
        <v>40</v>
      </c>
      <c r="AD668" t="s">
        <v>589</v>
      </c>
    </row>
    <row r="669" spans="2:30">
      <c r="B669">
        <v>5</v>
      </c>
      <c r="C669">
        <v>1020</v>
      </c>
      <c r="D669" t="s">
        <v>29</v>
      </c>
      <c r="E669">
        <v>10050688</v>
      </c>
      <c r="F669" t="s">
        <v>764</v>
      </c>
      <c r="G669" t="s">
        <v>31</v>
      </c>
      <c r="H669" t="s">
        <v>32</v>
      </c>
      <c r="I669" t="s">
        <v>588</v>
      </c>
      <c r="J669" t="s">
        <v>45</v>
      </c>
      <c r="K669" t="s">
        <v>35</v>
      </c>
      <c r="L669" t="s">
        <v>36</v>
      </c>
      <c r="M669" t="s">
        <v>55</v>
      </c>
      <c r="N669">
        <v>60</v>
      </c>
      <c r="O669">
        <v>31</v>
      </c>
      <c r="P669">
        <v>8</v>
      </c>
      <c r="Q669">
        <v>17</v>
      </c>
      <c r="R669">
        <v>12.74</v>
      </c>
      <c r="S669" t="str">
        <f t="shared" si="50"/>
        <v>PX: Baja Crit.</v>
      </c>
      <c r="T669">
        <f t="shared" si="51"/>
        <v>0</v>
      </c>
      <c r="U669">
        <f t="shared" si="52"/>
        <v>0</v>
      </c>
      <c r="V669">
        <f t="shared" si="53"/>
        <v>1</v>
      </c>
      <c r="W669">
        <f t="shared" si="54"/>
        <v>0</v>
      </c>
      <c r="X669">
        <v>1</v>
      </c>
      <c r="Y669" s="2">
        <v>45768</v>
      </c>
      <c r="Z669" s="3" t="s">
        <v>56</v>
      </c>
      <c r="AA669" t="s">
        <v>39</v>
      </c>
      <c r="AB669" t="s">
        <v>49</v>
      </c>
      <c r="AC669" s="5" t="s">
        <v>50</v>
      </c>
      <c r="AD669" t="s">
        <v>589</v>
      </c>
    </row>
    <row r="670" spans="2:30">
      <c r="B670">
        <v>5</v>
      </c>
      <c r="C670">
        <v>1020</v>
      </c>
      <c r="D670" t="s">
        <v>29</v>
      </c>
      <c r="E670">
        <v>10610600</v>
      </c>
      <c r="F670" t="s">
        <v>765</v>
      </c>
      <c r="G670" t="s">
        <v>31</v>
      </c>
      <c r="H670" t="s">
        <v>32</v>
      </c>
      <c r="I670" t="s">
        <v>588</v>
      </c>
      <c r="J670" t="s">
        <v>45</v>
      </c>
      <c r="K670" t="s">
        <v>35</v>
      </c>
      <c r="L670" t="s">
        <v>36</v>
      </c>
      <c r="M670" t="s">
        <v>69</v>
      </c>
      <c r="N670">
        <v>4</v>
      </c>
      <c r="O670">
        <v>2</v>
      </c>
      <c r="P670">
        <v>0</v>
      </c>
      <c r="Q670">
        <v>4</v>
      </c>
      <c r="R670" s="4">
        <v>2677.63</v>
      </c>
      <c r="S670" t="str">
        <f t="shared" si="50"/>
        <v>PX: Baja Crit.</v>
      </c>
      <c r="T670">
        <f t="shared" si="51"/>
        <v>0</v>
      </c>
      <c r="U670">
        <f t="shared" si="52"/>
        <v>0</v>
      </c>
      <c r="V670">
        <f t="shared" si="53"/>
        <v>1</v>
      </c>
      <c r="W670">
        <f t="shared" si="54"/>
        <v>0</v>
      </c>
      <c r="X670">
        <v>1</v>
      </c>
      <c r="Y670" s="2">
        <v>45768</v>
      </c>
      <c r="Z670" s="3" t="s">
        <v>70</v>
      </c>
      <c r="AA670" t="s">
        <v>39</v>
      </c>
      <c r="AB670" t="s">
        <v>40</v>
      </c>
      <c r="AC670" t="s">
        <v>40</v>
      </c>
      <c r="AD670" t="s">
        <v>589</v>
      </c>
    </row>
    <row r="671" spans="2:30">
      <c r="B671">
        <v>5</v>
      </c>
      <c r="C671">
        <v>1020</v>
      </c>
      <c r="D671" t="s">
        <v>29</v>
      </c>
      <c r="E671">
        <v>10047689</v>
      </c>
      <c r="F671" t="s">
        <v>766</v>
      </c>
      <c r="G671" t="s">
        <v>52</v>
      </c>
      <c r="H671" t="s">
        <v>60</v>
      </c>
      <c r="I671" t="s">
        <v>588</v>
      </c>
      <c r="J671" t="s">
        <v>34</v>
      </c>
      <c r="K671" t="s">
        <v>35</v>
      </c>
      <c r="L671" t="s">
        <v>36</v>
      </c>
      <c r="M671" t="s">
        <v>117</v>
      </c>
      <c r="N671">
        <v>20</v>
      </c>
      <c r="O671">
        <v>17</v>
      </c>
      <c r="P671">
        <v>9</v>
      </c>
      <c r="Q671">
        <v>33</v>
      </c>
      <c r="R671" s="4">
        <v>9534.91</v>
      </c>
      <c r="S671" t="str">
        <f t="shared" si="50"/>
        <v>PZ: Alta Crit.</v>
      </c>
      <c r="T671">
        <f t="shared" si="51"/>
        <v>0</v>
      </c>
      <c r="U671">
        <f t="shared" si="52"/>
        <v>0</v>
      </c>
      <c r="V671">
        <f t="shared" si="53"/>
        <v>0</v>
      </c>
      <c r="W671">
        <f t="shared" si="54"/>
        <v>1</v>
      </c>
      <c r="X671">
        <v>1</v>
      </c>
      <c r="Y671" s="2">
        <v>45768</v>
      </c>
      <c r="Z671" s="3" t="s">
        <v>118</v>
      </c>
      <c r="AA671" t="s">
        <v>39</v>
      </c>
      <c r="AB671" t="s">
        <v>40</v>
      </c>
      <c r="AC671" t="s">
        <v>40</v>
      </c>
      <c r="AD671" t="s">
        <v>589</v>
      </c>
    </row>
    <row r="672" spans="2:30">
      <c r="B672">
        <v>5</v>
      </c>
      <c r="C672">
        <v>1020</v>
      </c>
      <c r="D672" t="s">
        <v>29</v>
      </c>
      <c r="E672">
        <v>10048372</v>
      </c>
      <c r="F672" t="s">
        <v>767</v>
      </c>
      <c r="G672" t="s">
        <v>43</v>
      </c>
      <c r="H672" t="s">
        <v>32</v>
      </c>
      <c r="I672" t="s">
        <v>588</v>
      </c>
      <c r="J672" t="s">
        <v>45</v>
      </c>
      <c r="K672" t="s">
        <v>35</v>
      </c>
      <c r="L672" t="s">
        <v>36</v>
      </c>
      <c r="M672" t="s">
        <v>46</v>
      </c>
      <c r="N672">
        <v>10</v>
      </c>
      <c r="O672">
        <v>6</v>
      </c>
      <c r="P672">
        <v>3</v>
      </c>
      <c r="Q672">
        <v>7</v>
      </c>
      <c r="R672" s="4">
        <v>1678.78</v>
      </c>
      <c r="S672" t="str">
        <f t="shared" si="50"/>
        <v>PY: Media Crit.</v>
      </c>
      <c r="T672">
        <f t="shared" si="51"/>
        <v>0</v>
      </c>
      <c r="U672">
        <f t="shared" si="52"/>
        <v>0</v>
      </c>
      <c r="V672">
        <f t="shared" si="53"/>
        <v>1</v>
      </c>
      <c r="W672">
        <f t="shared" si="54"/>
        <v>0</v>
      </c>
      <c r="X672">
        <v>1</v>
      </c>
      <c r="Y672" s="2">
        <v>45768</v>
      </c>
      <c r="Z672" s="3" t="s">
        <v>47</v>
      </c>
      <c r="AA672" t="s">
        <v>39</v>
      </c>
      <c r="AB672" t="s">
        <v>76</v>
      </c>
      <c r="AC672" s="5" t="s">
        <v>77</v>
      </c>
      <c r="AD672" t="s">
        <v>589</v>
      </c>
    </row>
    <row r="673" spans="2:30">
      <c r="B673">
        <v>5</v>
      </c>
      <c r="C673">
        <v>1020</v>
      </c>
      <c r="D673" t="s">
        <v>29</v>
      </c>
      <c r="E673">
        <v>10050567</v>
      </c>
      <c r="F673" t="s">
        <v>768</v>
      </c>
      <c r="G673" t="s">
        <v>31</v>
      </c>
      <c r="H673" t="s">
        <v>32</v>
      </c>
      <c r="I673" t="s">
        <v>588</v>
      </c>
      <c r="J673" t="s">
        <v>45</v>
      </c>
      <c r="K673" t="s">
        <v>35</v>
      </c>
      <c r="L673" t="s">
        <v>36</v>
      </c>
      <c r="M673" t="s">
        <v>55</v>
      </c>
      <c r="N673">
        <v>50</v>
      </c>
      <c r="O673">
        <v>31</v>
      </c>
      <c r="P673">
        <v>10</v>
      </c>
      <c r="Q673">
        <v>54</v>
      </c>
      <c r="R673">
        <v>19.87</v>
      </c>
      <c r="S673" t="str">
        <f t="shared" si="50"/>
        <v>PX: Baja Crit.</v>
      </c>
      <c r="T673">
        <f t="shared" si="51"/>
        <v>0</v>
      </c>
      <c r="U673">
        <f t="shared" si="52"/>
        <v>0</v>
      </c>
      <c r="V673">
        <f t="shared" si="53"/>
        <v>0</v>
      </c>
      <c r="W673">
        <f t="shared" si="54"/>
        <v>1</v>
      </c>
      <c r="X673">
        <v>1</v>
      </c>
      <c r="Y673" s="2">
        <v>45768</v>
      </c>
      <c r="Z673" s="3" t="s">
        <v>56</v>
      </c>
      <c r="AA673" t="s">
        <v>39</v>
      </c>
      <c r="AB673" t="s">
        <v>40</v>
      </c>
      <c r="AC673" t="s">
        <v>40</v>
      </c>
      <c r="AD673" t="s">
        <v>589</v>
      </c>
    </row>
    <row r="674" spans="2:30">
      <c r="B674">
        <v>5</v>
      </c>
      <c r="C674">
        <v>1020</v>
      </c>
      <c r="D674" t="s">
        <v>29</v>
      </c>
      <c r="E674">
        <v>14150873</v>
      </c>
      <c r="F674" t="s">
        <v>769</v>
      </c>
      <c r="G674" t="s">
        <v>43</v>
      </c>
      <c r="H674" t="s">
        <v>60</v>
      </c>
      <c r="I674" t="s">
        <v>588</v>
      </c>
      <c r="J674" t="s">
        <v>45</v>
      </c>
      <c r="K674" t="s">
        <v>35</v>
      </c>
      <c r="L674" t="s">
        <v>36</v>
      </c>
      <c r="M674" t="s">
        <v>55</v>
      </c>
      <c r="N674">
        <v>100</v>
      </c>
      <c r="O674">
        <v>50</v>
      </c>
      <c r="P674">
        <v>25</v>
      </c>
      <c r="Q674">
        <v>223</v>
      </c>
      <c r="R674" s="4">
        <v>6623.81</v>
      </c>
      <c r="S674" t="str">
        <f t="shared" si="50"/>
        <v>PY: Media Crit.</v>
      </c>
      <c r="T674">
        <f t="shared" si="51"/>
        <v>0</v>
      </c>
      <c r="U674">
        <f t="shared" si="52"/>
        <v>0</v>
      </c>
      <c r="V674">
        <f t="shared" si="53"/>
        <v>0</v>
      </c>
      <c r="W674">
        <f t="shared" si="54"/>
        <v>1</v>
      </c>
      <c r="X674">
        <v>1</v>
      </c>
      <c r="Y674" s="2">
        <v>45768</v>
      </c>
      <c r="Z674" s="3" t="s">
        <v>56</v>
      </c>
      <c r="AA674" t="s">
        <v>39</v>
      </c>
      <c r="AB674" t="s">
        <v>40</v>
      </c>
      <c r="AC674" t="s">
        <v>40</v>
      </c>
      <c r="AD674" t="s">
        <v>589</v>
      </c>
    </row>
    <row r="675" spans="2:30">
      <c r="B675">
        <v>5</v>
      </c>
      <c r="C675">
        <v>1020</v>
      </c>
      <c r="D675" t="s">
        <v>29</v>
      </c>
      <c r="E675">
        <v>10043301</v>
      </c>
      <c r="F675" t="s">
        <v>770</v>
      </c>
      <c r="G675" t="s">
        <v>52</v>
      </c>
      <c r="H675" t="s">
        <v>32</v>
      </c>
      <c r="I675" t="s">
        <v>588</v>
      </c>
      <c r="J675" t="s">
        <v>45</v>
      </c>
      <c r="K675" t="s">
        <v>35</v>
      </c>
      <c r="L675" t="s">
        <v>36</v>
      </c>
      <c r="M675" t="s">
        <v>117</v>
      </c>
      <c r="N675">
        <v>6</v>
      </c>
      <c r="O675">
        <v>5</v>
      </c>
      <c r="P675">
        <v>1</v>
      </c>
      <c r="Q675">
        <v>6</v>
      </c>
      <c r="R675" s="4">
        <v>3017.62</v>
      </c>
      <c r="S675" t="str">
        <f t="shared" si="50"/>
        <v>PZ: Alta Crit.</v>
      </c>
      <c r="T675">
        <f t="shared" si="51"/>
        <v>0</v>
      </c>
      <c r="U675">
        <f t="shared" si="52"/>
        <v>0</v>
      </c>
      <c r="V675">
        <f t="shared" si="53"/>
        <v>1</v>
      </c>
      <c r="W675">
        <f t="shared" si="54"/>
        <v>0</v>
      </c>
      <c r="X675">
        <v>1</v>
      </c>
      <c r="Y675" s="2">
        <v>45768</v>
      </c>
      <c r="Z675" s="3" t="s">
        <v>118</v>
      </c>
      <c r="AA675" t="s">
        <v>39</v>
      </c>
      <c r="AB675" t="s">
        <v>40</v>
      </c>
      <c r="AC675" t="s">
        <v>40</v>
      </c>
      <c r="AD675" t="s">
        <v>589</v>
      </c>
    </row>
    <row r="676" spans="2:30">
      <c r="B676">
        <v>5</v>
      </c>
      <c r="C676">
        <v>1020</v>
      </c>
      <c r="D676" t="s">
        <v>29</v>
      </c>
      <c r="E676">
        <v>14057296</v>
      </c>
      <c r="F676" t="s">
        <v>771</v>
      </c>
      <c r="G676" t="s">
        <v>52</v>
      </c>
      <c r="H676" t="s">
        <v>44</v>
      </c>
      <c r="I676" t="s">
        <v>588</v>
      </c>
      <c r="J676" t="s">
        <v>45</v>
      </c>
      <c r="K676" t="s">
        <v>62</v>
      </c>
      <c r="L676" t="s">
        <v>36</v>
      </c>
      <c r="M676" t="s">
        <v>117</v>
      </c>
      <c r="N676">
        <v>4</v>
      </c>
      <c r="O676">
        <v>3</v>
      </c>
      <c r="P676">
        <v>1</v>
      </c>
      <c r="Q676">
        <v>5</v>
      </c>
      <c r="R676" s="4">
        <v>8341.09</v>
      </c>
      <c r="S676" t="str">
        <f t="shared" si="50"/>
        <v>PZ: Alta Crit.</v>
      </c>
      <c r="T676">
        <f t="shared" si="51"/>
        <v>0</v>
      </c>
      <c r="U676">
        <f t="shared" si="52"/>
        <v>0</v>
      </c>
      <c r="V676">
        <f t="shared" si="53"/>
        <v>0</v>
      </c>
      <c r="W676">
        <f t="shared" si="54"/>
        <v>1</v>
      </c>
      <c r="X676">
        <v>1</v>
      </c>
      <c r="Y676" s="2">
        <v>45768</v>
      </c>
      <c r="Z676" s="3" t="s">
        <v>118</v>
      </c>
      <c r="AA676" t="s">
        <v>39</v>
      </c>
      <c r="AB676" t="s">
        <v>40</v>
      </c>
      <c r="AC676" t="s">
        <v>40</v>
      </c>
      <c r="AD676" t="s">
        <v>589</v>
      </c>
    </row>
    <row r="677" spans="2:30">
      <c r="B677">
        <v>5</v>
      </c>
      <c r="C677">
        <v>1020</v>
      </c>
      <c r="D677" t="s">
        <v>29</v>
      </c>
      <c r="E677">
        <v>10041208</v>
      </c>
      <c r="F677" t="s">
        <v>772</v>
      </c>
      <c r="G677" t="s">
        <v>43</v>
      </c>
      <c r="H677" t="s">
        <v>32</v>
      </c>
      <c r="I677" t="s">
        <v>588</v>
      </c>
      <c r="J677" t="s">
        <v>45</v>
      </c>
      <c r="K677" t="s">
        <v>252</v>
      </c>
      <c r="L677" t="s">
        <v>36</v>
      </c>
      <c r="M677" t="s">
        <v>69</v>
      </c>
      <c r="N677">
        <v>200</v>
      </c>
      <c r="O677">
        <v>101</v>
      </c>
      <c r="P677">
        <v>100</v>
      </c>
      <c r="Q677">
        <v>200</v>
      </c>
      <c r="R677" s="4">
        <v>2644.6</v>
      </c>
      <c r="S677" t="str">
        <f t="shared" si="50"/>
        <v>PY: Media Crit.</v>
      </c>
      <c r="T677">
        <f t="shared" si="51"/>
        <v>0</v>
      </c>
      <c r="U677">
        <f t="shared" si="52"/>
        <v>0</v>
      </c>
      <c r="V677">
        <f t="shared" si="53"/>
        <v>1</v>
      </c>
      <c r="W677">
        <f t="shared" si="54"/>
        <v>0</v>
      </c>
      <c r="X677">
        <v>1</v>
      </c>
      <c r="Y677" s="2">
        <v>45768</v>
      </c>
      <c r="Z677" s="3" t="s">
        <v>70</v>
      </c>
      <c r="AA677" t="s">
        <v>39</v>
      </c>
      <c r="AB677" t="s">
        <v>40</v>
      </c>
      <c r="AC677" t="s">
        <v>40</v>
      </c>
      <c r="AD677" t="s">
        <v>589</v>
      </c>
    </row>
    <row r="678" spans="2:30">
      <c r="B678">
        <v>5</v>
      </c>
      <c r="C678">
        <v>1020</v>
      </c>
      <c r="D678" t="s">
        <v>29</v>
      </c>
      <c r="E678">
        <v>10041775</v>
      </c>
      <c r="F678" t="s">
        <v>773</v>
      </c>
      <c r="G678" t="s">
        <v>31</v>
      </c>
      <c r="H678" t="s">
        <v>32</v>
      </c>
      <c r="I678" t="s">
        <v>588</v>
      </c>
      <c r="J678" t="s">
        <v>45</v>
      </c>
      <c r="K678" t="s">
        <v>35</v>
      </c>
      <c r="L678" t="s">
        <v>36</v>
      </c>
      <c r="M678" t="s">
        <v>69</v>
      </c>
      <c r="N678">
        <v>8</v>
      </c>
      <c r="O678">
        <v>6</v>
      </c>
      <c r="P678">
        <v>0</v>
      </c>
      <c r="Q678">
        <v>0</v>
      </c>
      <c r="R678">
        <v>0</v>
      </c>
      <c r="S678" t="str">
        <f t="shared" si="50"/>
        <v>PX: Baja Crit.</v>
      </c>
      <c r="T678">
        <f t="shared" si="51"/>
        <v>1</v>
      </c>
      <c r="U678">
        <f t="shared" si="52"/>
        <v>0</v>
      </c>
      <c r="V678">
        <f t="shared" si="53"/>
        <v>0</v>
      </c>
      <c r="W678">
        <f t="shared" si="54"/>
        <v>0</v>
      </c>
      <c r="X678">
        <v>1</v>
      </c>
      <c r="Y678" s="2">
        <v>45768</v>
      </c>
      <c r="Z678" s="3" t="s">
        <v>70</v>
      </c>
      <c r="AA678" t="s">
        <v>39</v>
      </c>
      <c r="AB678" t="s">
        <v>76</v>
      </c>
      <c r="AC678" s="5" t="s">
        <v>77</v>
      </c>
      <c r="AD678" t="s">
        <v>589</v>
      </c>
    </row>
    <row r="679" spans="2:30">
      <c r="B679">
        <v>5</v>
      </c>
      <c r="C679">
        <v>1020</v>
      </c>
      <c r="D679" t="s">
        <v>29</v>
      </c>
      <c r="E679">
        <v>10044419</v>
      </c>
      <c r="F679" t="s">
        <v>774</v>
      </c>
      <c r="G679" t="s">
        <v>43</v>
      </c>
      <c r="H679" t="s">
        <v>32</v>
      </c>
      <c r="I679" t="s">
        <v>588</v>
      </c>
      <c r="J679" t="s">
        <v>34</v>
      </c>
      <c r="K679" t="s">
        <v>35</v>
      </c>
      <c r="L679" t="s">
        <v>36</v>
      </c>
      <c r="M679" t="s">
        <v>46</v>
      </c>
      <c r="N679">
        <v>8</v>
      </c>
      <c r="O679">
        <v>5</v>
      </c>
      <c r="P679">
        <v>2</v>
      </c>
      <c r="Q679">
        <v>8</v>
      </c>
      <c r="R679" s="4">
        <v>2461.02</v>
      </c>
      <c r="S679" t="str">
        <f t="shared" si="50"/>
        <v>PY: Media Crit.</v>
      </c>
      <c r="T679">
        <f t="shared" si="51"/>
        <v>0</v>
      </c>
      <c r="U679">
        <f t="shared" si="52"/>
        <v>0</v>
      </c>
      <c r="V679">
        <f t="shared" si="53"/>
        <v>1</v>
      </c>
      <c r="W679">
        <f t="shared" si="54"/>
        <v>0</v>
      </c>
      <c r="X679">
        <v>1</v>
      </c>
      <c r="Y679" s="2">
        <v>45768</v>
      </c>
      <c r="Z679" s="3" t="s">
        <v>47</v>
      </c>
      <c r="AA679" t="s">
        <v>39</v>
      </c>
      <c r="AB679" t="s">
        <v>40</v>
      </c>
      <c r="AC679" t="s">
        <v>40</v>
      </c>
      <c r="AD679" t="s">
        <v>589</v>
      </c>
    </row>
    <row r="680" spans="2:30">
      <c r="B680">
        <v>5</v>
      </c>
      <c r="C680">
        <v>1020</v>
      </c>
      <c r="D680" t="s">
        <v>29</v>
      </c>
      <c r="E680">
        <v>10045690</v>
      </c>
      <c r="F680" t="s">
        <v>775</v>
      </c>
      <c r="G680" t="s">
        <v>43</v>
      </c>
      <c r="H680" t="s">
        <v>32</v>
      </c>
      <c r="I680" t="s">
        <v>588</v>
      </c>
      <c r="J680" t="s">
        <v>45</v>
      </c>
      <c r="K680" t="s">
        <v>35</v>
      </c>
      <c r="L680" t="s">
        <v>36</v>
      </c>
      <c r="M680" t="s">
        <v>55</v>
      </c>
      <c r="N680">
        <v>40</v>
      </c>
      <c r="O680">
        <v>21</v>
      </c>
      <c r="P680">
        <v>2</v>
      </c>
      <c r="Q680">
        <v>40</v>
      </c>
      <c r="R680">
        <v>468.35</v>
      </c>
      <c r="S680" t="str">
        <f t="shared" si="50"/>
        <v>PY: Media Crit.</v>
      </c>
      <c r="T680">
        <f t="shared" si="51"/>
        <v>0</v>
      </c>
      <c r="U680">
        <f t="shared" si="52"/>
        <v>0</v>
      </c>
      <c r="V680">
        <f t="shared" si="53"/>
        <v>1</v>
      </c>
      <c r="W680">
        <f t="shared" si="54"/>
        <v>0</v>
      </c>
      <c r="X680">
        <v>1</v>
      </c>
      <c r="Y680" s="2">
        <v>45768</v>
      </c>
      <c r="Z680" s="3" t="s">
        <v>56</v>
      </c>
      <c r="AA680" t="s">
        <v>39</v>
      </c>
      <c r="AB680" t="s">
        <v>40</v>
      </c>
      <c r="AC680" t="s">
        <v>40</v>
      </c>
      <c r="AD680" t="s">
        <v>589</v>
      </c>
    </row>
    <row r="681" spans="2:30">
      <c r="B681">
        <v>5</v>
      </c>
      <c r="C681">
        <v>1020</v>
      </c>
      <c r="D681" t="s">
        <v>29</v>
      </c>
      <c r="E681">
        <v>10045526</v>
      </c>
      <c r="F681" t="s">
        <v>776</v>
      </c>
      <c r="G681" t="s">
        <v>43</v>
      </c>
      <c r="H681" t="s">
        <v>32</v>
      </c>
      <c r="I681" t="s">
        <v>588</v>
      </c>
      <c r="J681" t="s">
        <v>45</v>
      </c>
      <c r="K681" t="s">
        <v>35</v>
      </c>
      <c r="L681" t="s">
        <v>36</v>
      </c>
      <c r="M681" t="s">
        <v>55</v>
      </c>
      <c r="N681">
        <v>15</v>
      </c>
      <c r="O681">
        <v>8</v>
      </c>
      <c r="P681">
        <v>2</v>
      </c>
      <c r="Q681">
        <v>15</v>
      </c>
      <c r="R681">
        <v>215.19</v>
      </c>
      <c r="S681" t="str">
        <f t="shared" si="50"/>
        <v>PY: Media Crit.</v>
      </c>
      <c r="T681">
        <f t="shared" si="51"/>
        <v>0</v>
      </c>
      <c r="U681">
        <f t="shared" si="52"/>
        <v>0</v>
      </c>
      <c r="V681">
        <f t="shared" si="53"/>
        <v>1</v>
      </c>
      <c r="W681">
        <f t="shared" si="54"/>
        <v>0</v>
      </c>
      <c r="X681">
        <v>1</v>
      </c>
      <c r="Y681" s="2">
        <v>45768</v>
      </c>
      <c r="Z681" s="3" t="s">
        <v>56</v>
      </c>
      <c r="AA681" t="s">
        <v>39</v>
      </c>
      <c r="AB681" t="s">
        <v>40</v>
      </c>
      <c r="AC681" t="s">
        <v>40</v>
      </c>
      <c r="AD681" t="s">
        <v>589</v>
      </c>
    </row>
    <row r="682" spans="2:30">
      <c r="B682">
        <v>5</v>
      </c>
      <c r="C682">
        <v>1020</v>
      </c>
      <c r="D682" t="s">
        <v>29</v>
      </c>
      <c r="E682">
        <v>10047920</v>
      </c>
      <c r="F682" t="s">
        <v>777</v>
      </c>
      <c r="G682" t="s">
        <v>43</v>
      </c>
      <c r="H682" t="s">
        <v>44</v>
      </c>
      <c r="I682" t="s">
        <v>588</v>
      </c>
      <c r="J682" t="s">
        <v>45</v>
      </c>
      <c r="K682" t="s">
        <v>35</v>
      </c>
      <c r="L682" t="s">
        <v>36</v>
      </c>
      <c r="M682" t="s">
        <v>46</v>
      </c>
      <c r="N682">
        <v>15</v>
      </c>
      <c r="O682">
        <v>11</v>
      </c>
      <c r="P682">
        <v>0</v>
      </c>
      <c r="Q682">
        <v>10</v>
      </c>
      <c r="R682">
        <v>471.43</v>
      </c>
      <c r="S682" t="str">
        <f t="shared" si="50"/>
        <v>PY: Media Crit.</v>
      </c>
      <c r="T682">
        <f t="shared" si="51"/>
        <v>0</v>
      </c>
      <c r="U682">
        <f t="shared" si="52"/>
        <v>0</v>
      </c>
      <c r="V682">
        <f t="shared" si="53"/>
        <v>1</v>
      </c>
      <c r="W682">
        <f t="shared" si="54"/>
        <v>0</v>
      </c>
      <c r="X682">
        <v>1</v>
      </c>
      <c r="Y682" s="2">
        <v>45768</v>
      </c>
      <c r="Z682" s="3" t="s">
        <v>47</v>
      </c>
      <c r="AA682" t="s">
        <v>39</v>
      </c>
      <c r="AB682" t="s">
        <v>49</v>
      </c>
      <c r="AC682" s="5" t="s">
        <v>50</v>
      </c>
      <c r="AD682" t="s">
        <v>589</v>
      </c>
    </row>
    <row r="683" spans="2:30">
      <c r="B683">
        <v>5</v>
      </c>
      <c r="C683">
        <v>1020</v>
      </c>
      <c r="D683" t="s">
        <v>29</v>
      </c>
      <c r="E683">
        <v>10043435</v>
      </c>
      <c r="F683" t="s">
        <v>778</v>
      </c>
      <c r="G683" t="s">
        <v>43</v>
      </c>
      <c r="H683" t="s">
        <v>32</v>
      </c>
      <c r="I683" t="s">
        <v>588</v>
      </c>
      <c r="J683" t="s">
        <v>45</v>
      </c>
      <c r="K683" t="s">
        <v>35</v>
      </c>
      <c r="L683" t="s">
        <v>36</v>
      </c>
      <c r="M683" t="s">
        <v>46</v>
      </c>
      <c r="N683">
        <v>20</v>
      </c>
      <c r="O683">
        <v>11</v>
      </c>
      <c r="P683">
        <v>2</v>
      </c>
      <c r="Q683">
        <v>29</v>
      </c>
      <c r="R683" s="4">
        <v>1475.89</v>
      </c>
      <c r="S683" t="str">
        <f t="shared" si="50"/>
        <v>PY: Media Crit.</v>
      </c>
      <c r="T683">
        <f t="shared" si="51"/>
        <v>0</v>
      </c>
      <c r="U683">
        <f t="shared" si="52"/>
        <v>0</v>
      </c>
      <c r="V683">
        <f t="shared" si="53"/>
        <v>0</v>
      </c>
      <c r="W683">
        <f t="shared" si="54"/>
        <v>1</v>
      </c>
      <c r="X683">
        <v>1</v>
      </c>
      <c r="Y683" s="2">
        <v>45768</v>
      </c>
      <c r="Z683" s="3" t="s">
        <v>47</v>
      </c>
      <c r="AA683" t="s">
        <v>39</v>
      </c>
      <c r="AB683" t="s">
        <v>40</v>
      </c>
      <c r="AC683" t="s">
        <v>40</v>
      </c>
      <c r="AD683" t="s">
        <v>589</v>
      </c>
    </row>
    <row r="684" spans="2:30">
      <c r="B684">
        <v>5</v>
      </c>
      <c r="C684">
        <v>1020</v>
      </c>
      <c r="D684" t="s">
        <v>29</v>
      </c>
      <c r="E684">
        <v>10050649</v>
      </c>
      <c r="F684" t="s">
        <v>779</v>
      </c>
      <c r="G684" t="s">
        <v>31</v>
      </c>
      <c r="H684" t="s">
        <v>32</v>
      </c>
      <c r="I684" t="s">
        <v>588</v>
      </c>
      <c r="J684" t="s">
        <v>45</v>
      </c>
      <c r="K684" t="s">
        <v>35</v>
      </c>
      <c r="L684" t="s">
        <v>36</v>
      </c>
      <c r="M684" t="s">
        <v>55</v>
      </c>
      <c r="N684">
        <v>60</v>
      </c>
      <c r="O684">
        <v>31</v>
      </c>
      <c r="P684">
        <v>20</v>
      </c>
      <c r="Q684">
        <v>45</v>
      </c>
      <c r="R684">
        <v>176.81</v>
      </c>
      <c r="S684" t="str">
        <f t="shared" si="50"/>
        <v>PX: Baja Crit.</v>
      </c>
      <c r="T684">
        <f t="shared" si="51"/>
        <v>0</v>
      </c>
      <c r="U684">
        <f t="shared" si="52"/>
        <v>0</v>
      </c>
      <c r="V684">
        <f t="shared" si="53"/>
        <v>1</v>
      </c>
      <c r="W684">
        <f t="shared" si="54"/>
        <v>0</v>
      </c>
      <c r="X684">
        <v>1</v>
      </c>
      <c r="Y684" s="2">
        <v>45768</v>
      </c>
      <c r="Z684" s="3" t="s">
        <v>56</v>
      </c>
      <c r="AA684" t="s">
        <v>39</v>
      </c>
      <c r="AB684" t="s">
        <v>40</v>
      </c>
      <c r="AC684" t="s">
        <v>40</v>
      </c>
      <c r="AD684" t="s">
        <v>589</v>
      </c>
    </row>
    <row r="685" spans="2:30">
      <c r="B685">
        <v>5</v>
      </c>
      <c r="C685">
        <v>1020</v>
      </c>
      <c r="D685" t="s">
        <v>29</v>
      </c>
      <c r="E685">
        <v>10056278</v>
      </c>
      <c r="F685" t="s">
        <v>780</v>
      </c>
      <c r="G685" t="s">
        <v>43</v>
      </c>
      <c r="H685" t="s">
        <v>32</v>
      </c>
      <c r="I685" t="s">
        <v>588</v>
      </c>
      <c r="J685" t="s">
        <v>45</v>
      </c>
      <c r="K685" t="s">
        <v>260</v>
      </c>
      <c r="L685" t="s">
        <v>36</v>
      </c>
      <c r="M685" t="s">
        <v>69</v>
      </c>
      <c r="N685">
        <v>25</v>
      </c>
      <c r="O685">
        <v>12</v>
      </c>
      <c r="P685">
        <v>12</v>
      </c>
      <c r="Q685">
        <v>13</v>
      </c>
      <c r="R685" s="4">
        <v>8945.41</v>
      </c>
      <c r="S685" t="str">
        <f t="shared" si="50"/>
        <v>PY: Media Crit.</v>
      </c>
      <c r="T685">
        <f t="shared" si="51"/>
        <v>0</v>
      </c>
      <c r="U685">
        <f t="shared" si="52"/>
        <v>0</v>
      </c>
      <c r="V685">
        <f t="shared" si="53"/>
        <v>1</v>
      </c>
      <c r="W685">
        <f t="shared" si="54"/>
        <v>0</v>
      </c>
      <c r="X685">
        <v>1</v>
      </c>
      <c r="Y685" s="2">
        <v>45768</v>
      </c>
      <c r="Z685" s="3" t="s">
        <v>70</v>
      </c>
      <c r="AA685" t="s">
        <v>39</v>
      </c>
      <c r="AB685" t="s">
        <v>40</v>
      </c>
      <c r="AC685" t="s">
        <v>40</v>
      </c>
      <c r="AD685" t="s">
        <v>589</v>
      </c>
    </row>
    <row r="686" spans="2:30">
      <c r="B686">
        <v>5</v>
      </c>
      <c r="C686">
        <v>1020</v>
      </c>
      <c r="D686" t="s">
        <v>29</v>
      </c>
      <c r="E686">
        <v>10050586</v>
      </c>
      <c r="F686" t="s">
        <v>781</v>
      </c>
      <c r="G686" t="s">
        <v>31</v>
      </c>
      <c r="H686" t="s">
        <v>32</v>
      </c>
      <c r="I686" t="s">
        <v>588</v>
      </c>
      <c r="J686" t="s">
        <v>45</v>
      </c>
      <c r="K686" t="s">
        <v>35</v>
      </c>
      <c r="L686" t="s">
        <v>36</v>
      </c>
      <c r="M686" t="s">
        <v>55</v>
      </c>
      <c r="N686">
        <v>50</v>
      </c>
      <c r="O686">
        <v>31</v>
      </c>
      <c r="P686">
        <v>10</v>
      </c>
      <c r="Q686">
        <v>50</v>
      </c>
      <c r="R686">
        <v>59.66</v>
      </c>
      <c r="S686" t="str">
        <f t="shared" si="50"/>
        <v>PX: Baja Crit.</v>
      </c>
      <c r="T686">
        <f t="shared" si="51"/>
        <v>0</v>
      </c>
      <c r="U686">
        <f t="shared" si="52"/>
        <v>0</v>
      </c>
      <c r="V686">
        <f t="shared" si="53"/>
        <v>1</v>
      </c>
      <c r="W686">
        <f t="shared" si="54"/>
        <v>0</v>
      </c>
      <c r="X686">
        <v>1</v>
      </c>
      <c r="Y686" s="2">
        <v>45768</v>
      </c>
      <c r="Z686" s="3" t="s">
        <v>56</v>
      </c>
      <c r="AA686" t="s">
        <v>39</v>
      </c>
      <c r="AB686" t="s">
        <v>40</v>
      </c>
      <c r="AC686" t="s">
        <v>40</v>
      </c>
      <c r="AD686" t="s">
        <v>589</v>
      </c>
    </row>
    <row r="687" spans="2:30">
      <c r="B687">
        <v>5</v>
      </c>
      <c r="C687">
        <v>1020</v>
      </c>
      <c r="D687" t="s">
        <v>29</v>
      </c>
      <c r="E687">
        <v>10041350</v>
      </c>
      <c r="F687" t="s">
        <v>782</v>
      </c>
      <c r="G687" t="s">
        <v>43</v>
      </c>
      <c r="H687" t="s">
        <v>32</v>
      </c>
      <c r="I687" t="s">
        <v>588</v>
      </c>
      <c r="J687" t="s">
        <v>45</v>
      </c>
      <c r="K687" t="s">
        <v>35</v>
      </c>
      <c r="L687" t="s">
        <v>36</v>
      </c>
      <c r="M687" t="s">
        <v>46</v>
      </c>
      <c r="N687">
        <v>3</v>
      </c>
      <c r="O687">
        <v>2</v>
      </c>
      <c r="P687">
        <v>0</v>
      </c>
      <c r="Q687">
        <v>7</v>
      </c>
      <c r="R687">
        <v>294.93</v>
      </c>
      <c r="S687" t="str">
        <f t="shared" si="50"/>
        <v>PY: Media Crit.</v>
      </c>
      <c r="T687">
        <f t="shared" si="51"/>
        <v>0</v>
      </c>
      <c r="U687">
        <f t="shared" si="52"/>
        <v>0</v>
      </c>
      <c r="V687">
        <f t="shared" si="53"/>
        <v>0</v>
      </c>
      <c r="W687">
        <f t="shared" si="54"/>
        <v>1</v>
      </c>
      <c r="X687">
        <v>1</v>
      </c>
      <c r="Y687" s="2">
        <v>45768</v>
      </c>
      <c r="Z687" s="3" t="s">
        <v>47</v>
      </c>
      <c r="AA687" t="s">
        <v>39</v>
      </c>
      <c r="AB687" t="s">
        <v>40</v>
      </c>
      <c r="AC687" t="s">
        <v>40</v>
      </c>
      <c r="AD687" t="s">
        <v>589</v>
      </c>
    </row>
    <row r="688" spans="2:30">
      <c r="B688">
        <v>5</v>
      </c>
      <c r="C688">
        <v>1020</v>
      </c>
      <c r="D688" t="s">
        <v>29</v>
      </c>
      <c r="E688">
        <v>10057024</v>
      </c>
      <c r="F688" t="s">
        <v>783</v>
      </c>
      <c r="G688" t="s">
        <v>43</v>
      </c>
      <c r="H688" t="s">
        <v>44</v>
      </c>
      <c r="I688" t="s">
        <v>588</v>
      </c>
      <c r="J688" t="s">
        <v>34</v>
      </c>
      <c r="K688" t="s">
        <v>35</v>
      </c>
      <c r="L688" t="s">
        <v>36</v>
      </c>
      <c r="M688" t="s">
        <v>117</v>
      </c>
      <c r="N688">
        <v>12</v>
      </c>
      <c r="O688">
        <v>9</v>
      </c>
      <c r="P688">
        <v>2</v>
      </c>
      <c r="Q688">
        <v>12</v>
      </c>
      <c r="R688" s="4">
        <v>6371.04</v>
      </c>
      <c r="S688" t="str">
        <f t="shared" si="50"/>
        <v>PY: Media Crit.</v>
      </c>
      <c r="T688">
        <f t="shared" si="51"/>
        <v>0</v>
      </c>
      <c r="U688">
        <f t="shared" si="52"/>
        <v>0</v>
      </c>
      <c r="V688">
        <f t="shared" si="53"/>
        <v>1</v>
      </c>
      <c r="W688">
        <f t="shared" si="54"/>
        <v>0</v>
      </c>
      <c r="X688">
        <v>1</v>
      </c>
      <c r="Y688" s="2">
        <v>45768</v>
      </c>
      <c r="Z688" s="3" t="s">
        <v>118</v>
      </c>
      <c r="AA688" t="s">
        <v>39</v>
      </c>
      <c r="AB688" t="s">
        <v>40</v>
      </c>
      <c r="AC688" t="s">
        <v>40</v>
      </c>
      <c r="AD688" t="s">
        <v>589</v>
      </c>
    </row>
    <row r="689" spans="2:30">
      <c r="B689">
        <v>5</v>
      </c>
      <c r="C689">
        <v>1020</v>
      </c>
      <c r="D689" t="s">
        <v>29</v>
      </c>
      <c r="E689">
        <v>10610581</v>
      </c>
      <c r="F689" t="s">
        <v>784</v>
      </c>
      <c r="G689" t="s">
        <v>31</v>
      </c>
      <c r="H689" t="s">
        <v>32</v>
      </c>
      <c r="I689" t="s">
        <v>588</v>
      </c>
      <c r="J689" t="s">
        <v>45</v>
      </c>
      <c r="K689" t="s">
        <v>35</v>
      </c>
      <c r="L689" t="s">
        <v>36</v>
      </c>
      <c r="M689" t="s">
        <v>88</v>
      </c>
      <c r="N689">
        <v>200</v>
      </c>
      <c r="O689">
        <v>101</v>
      </c>
      <c r="P689">
        <v>50</v>
      </c>
      <c r="Q689">
        <v>0</v>
      </c>
      <c r="R689">
        <v>0</v>
      </c>
      <c r="S689" t="str">
        <f t="shared" si="50"/>
        <v>PX: Baja Crit.</v>
      </c>
      <c r="T689">
        <f t="shared" si="51"/>
        <v>1</v>
      </c>
      <c r="U689">
        <f t="shared" si="52"/>
        <v>0</v>
      </c>
      <c r="V689">
        <f t="shared" si="53"/>
        <v>0</v>
      </c>
      <c r="W689">
        <f t="shared" si="54"/>
        <v>0</v>
      </c>
      <c r="X689">
        <v>1</v>
      </c>
      <c r="Y689" s="2">
        <v>45768</v>
      </c>
      <c r="Z689" s="3" t="s">
        <v>89</v>
      </c>
      <c r="AA689" t="s">
        <v>39</v>
      </c>
      <c r="AB689" t="s">
        <v>49</v>
      </c>
      <c r="AC689" s="5" t="s">
        <v>50</v>
      </c>
      <c r="AD689" t="s">
        <v>589</v>
      </c>
    </row>
    <row r="690" spans="2:30">
      <c r="B690">
        <v>5</v>
      </c>
      <c r="C690">
        <v>1020</v>
      </c>
      <c r="D690" t="s">
        <v>29</v>
      </c>
      <c r="E690">
        <v>14100712</v>
      </c>
      <c r="F690" t="s">
        <v>785</v>
      </c>
      <c r="G690" t="s">
        <v>43</v>
      </c>
      <c r="H690" t="s">
        <v>60</v>
      </c>
      <c r="I690" t="s">
        <v>588</v>
      </c>
      <c r="J690" t="s">
        <v>45</v>
      </c>
      <c r="K690" t="s">
        <v>35</v>
      </c>
      <c r="L690" t="s">
        <v>36</v>
      </c>
      <c r="M690" t="s">
        <v>117</v>
      </c>
      <c r="N690">
        <v>12</v>
      </c>
      <c r="O690">
        <v>8</v>
      </c>
      <c r="P690">
        <v>0</v>
      </c>
      <c r="Q690">
        <v>12</v>
      </c>
      <c r="R690" s="4">
        <v>1669.37</v>
      </c>
      <c r="S690" t="str">
        <f t="shared" si="50"/>
        <v>PY: Media Crit.</v>
      </c>
      <c r="T690">
        <f t="shared" si="51"/>
        <v>0</v>
      </c>
      <c r="U690">
        <f t="shared" si="52"/>
        <v>0</v>
      </c>
      <c r="V690">
        <f t="shared" si="53"/>
        <v>1</v>
      </c>
      <c r="W690">
        <f t="shared" si="54"/>
        <v>0</v>
      </c>
      <c r="X690">
        <v>1</v>
      </c>
      <c r="Y690" s="2">
        <v>45768</v>
      </c>
      <c r="Z690" s="3" t="s">
        <v>118</v>
      </c>
      <c r="AA690" t="s">
        <v>39</v>
      </c>
      <c r="AB690" t="s">
        <v>40</v>
      </c>
      <c r="AC690" t="s">
        <v>40</v>
      </c>
      <c r="AD690" t="s">
        <v>589</v>
      </c>
    </row>
    <row r="691" spans="2:30">
      <c r="B691">
        <v>5</v>
      </c>
      <c r="C691">
        <v>1020</v>
      </c>
      <c r="D691" t="s">
        <v>29</v>
      </c>
      <c r="E691">
        <v>14214987</v>
      </c>
      <c r="F691" t="s">
        <v>786</v>
      </c>
      <c r="G691" t="s">
        <v>52</v>
      </c>
      <c r="H691" t="s">
        <v>44</v>
      </c>
      <c r="I691" t="s">
        <v>588</v>
      </c>
      <c r="J691" t="s">
        <v>45</v>
      </c>
      <c r="K691" t="s">
        <v>35</v>
      </c>
      <c r="L691" t="s">
        <v>36</v>
      </c>
      <c r="M691" t="s">
        <v>37</v>
      </c>
      <c r="N691">
        <v>40</v>
      </c>
      <c r="O691">
        <v>20</v>
      </c>
      <c r="P691">
        <v>5</v>
      </c>
      <c r="Q691">
        <v>39</v>
      </c>
      <c r="R691" s="4">
        <v>81885.89</v>
      </c>
      <c r="S691" t="str">
        <f t="shared" si="50"/>
        <v>PZ: Alta Crit.</v>
      </c>
      <c r="T691">
        <f t="shared" si="51"/>
        <v>0</v>
      </c>
      <c r="U691">
        <f t="shared" si="52"/>
        <v>0</v>
      </c>
      <c r="V691">
        <f t="shared" si="53"/>
        <v>1</v>
      </c>
      <c r="W691">
        <f t="shared" si="54"/>
        <v>0</v>
      </c>
      <c r="X691">
        <v>1</v>
      </c>
      <c r="Y691" s="2">
        <v>45768</v>
      </c>
      <c r="Z691" s="3" t="s">
        <v>38</v>
      </c>
      <c r="AA691" t="s">
        <v>39</v>
      </c>
      <c r="AB691" t="s">
        <v>40</v>
      </c>
      <c r="AC691" t="s">
        <v>40</v>
      </c>
      <c r="AD691" t="s">
        <v>589</v>
      </c>
    </row>
    <row r="692" spans="2:30">
      <c r="B692">
        <v>5</v>
      </c>
      <c r="C692">
        <v>1020</v>
      </c>
      <c r="D692" t="s">
        <v>29</v>
      </c>
      <c r="E692">
        <v>10056340</v>
      </c>
      <c r="F692" t="s">
        <v>787</v>
      </c>
      <c r="G692" t="s">
        <v>52</v>
      </c>
      <c r="H692" t="s">
        <v>32</v>
      </c>
      <c r="I692" t="s">
        <v>588</v>
      </c>
      <c r="J692" t="s">
        <v>34</v>
      </c>
      <c r="K692" t="s">
        <v>35</v>
      </c>
      <c r="L692" t="s">
        <v>36</v>
      </c>
      <c r="M692" t="s">
        <v>46</v>
      </c>
      <c r="N692">
        <v>10</v>
      </c>
      <c r="O692">
        <v>6</v>
      </c>
      <c r="P692">
        <v>2</v>
      </c>
      <c r="Q692">
        <v>10</v>
      </c>
      <c r="R692" s="4">
        <v>1320.31</v>
      </c>
      <c r="S692" t="str">
        <f t="shared" si="50"/>
        <v>PZ: Alta Crit.</v>
      </c>
      <c r="T692">
        <f t="shared" si="51"/>
        <v>0</v>
      </c>
      <c r="U692">
        <f t="shared" si="52"/>
        <v>0</v>
      </c>
      <c r="V692">
        <f t="shared" si="53"/>
        <v>1</v>
      </c>
      <c r="W692">
        <f t="shared" si="54"/>
        <v>0</v>
      </c>
      <c r="X692">
        <v>1</v>
      </c>
      <c r="Y692" s="2">
        <v>45768</v>
      </c>
      <c r="Z692" s="3" t="s">
        <v>47</v>
      </c>
      <c r="AA692" t="s">
        <v>39</v>
      </c>
      <c r="AB692" t="s">
        <v>49</v>
      </c>
      <c r="AC692" s="5" t="s">
        <v>50</v>
      </c>
      <c r="AD692" t="s">
        <v>589</v>
      </c>
    </row>
    <row r="693" spans="2:30">
      <c r="B693">
        <v>5</v>
      </c>
      <c r="C693">
        <v>1020</v>
      </c>
      <c r="D693" t="s">
        <v>29</v>
      </c>
      <c r="E693">
        <v>10042617</v>
      </c>
      <c r="F693" t="s">
        <v>788</v>
      </c>
      <c r="G693" t="s">
        <v>52</v>
      </c>
      <c r="H693" t="s">
        <v>44</v>
      </c>
      <c r="I693" t="s">
        <v>588</v>
      </c>
      <c r="J693" t="s">
        <v>45</v>
      </c>
      <c r="K693" t="s">
        <v>62</v>
      </c>
      <c r="L693" t="s">
        <v>36</v>
      </c>
      <c r="M693" t="s">
        <v>117</v>
      </c>
      <c r="N693">
        <v>8</v>
      </c>
      <c r="O693">
        <v>7</v>
      </c>
      <c r="P693">
        <v>4</v>
      </c>
      <c r="Q693">
        <v>7</v>
      </c>
      <c r="R693" s="4">
        <v>37179.919999999998</v>
      </c>
      <c r="S693" t="str">
        <f t="shared" si="50"/>
        <v>PZ: Alta Crit.</v>
      </c>
      <c r="T693">
        <f t="shared" si="51"/>
        <v>0</v>
      </c>
      <c r="U693">
        <f t="shared" si="52"/>
        <v>0</v>
      </c>
      <c r="V693">
        <f t="shared" si="53"/>
        <v>1</v>
      </c>
      <c r="W693">
        <f t="shared" si="54"/>
        <v>0</v>
      </c>
      <c r="X693">
        <v>1</v>
      </c>
      <c r="Y693" s="2">
        <v>45768</v>
      </c>
      <c r="Z693" s="3" t="s">
        <v>118</v>
      </c>
      <c r="AA693" t="s">
        <v>39</v>
      </c>
      <c r="AB693" t="s">
        <v>40</v>
      </c>
      <c r="AC693" t="s">
        <v>40</v>
      </c>
      <c r="AD693" t="s">
        <v>589</v>
      </c>
    </row>
    <row r="694" spans="2:30">
      <c r="B694">
        <v>5</v>
      </c>
      <c r="C694">
        <v>1020</v>
      </c>
      <c r="D694" t="s">
        <v>29</v>
      </c>
      <c r="E694">
        <v>10043712</v>
      </c>
      <c r="F694" t="s">
        <v>789</v>
      </c>
      <c r="G694" t="s">
        <v>31</v>
      </c>
      <c r="H694" t="s">
        <v>60</v>
      </c>
      <c r="I694" t="s">
        <v>588</v>
      </c>
      <c r="J694" t="s">
        <v>45</v>
      </c>
      <c r="K694" t="s">
        <v>35</v>
      </c>
      <c r="L694" t="s">
        <v>36</v>
      </c>
      <c r="M694" t="s">
        <v>46</v>
      </c>
      <c r="N694">
        <v>1</v>
      </c>
      <c r="O694">
        <v>1</v>
      </c>
      <c r="P694">
        <v>1</v>
      </c>
      <c r="Q694">
        <v>1</v>
      </c>
      <c r="R694" s="4">
        <v>1213.5899999999999</v>
      </c>
      <c r="S694" t="str">
        <f t="shared" si="50"/>
        <v>PX: Baja Crit.</v>
      </c>
      <c r="T694">
        <f t="shared" si="51"/>
        <v>0</v>
      </c>
      <c r="U694">
        <f t="shared" si="52"/>
        <v>1</v>
      </c>
      <c r="V694">
        <f t="shared" si="53"/>
        <v>0</v>
      </c>
      <c r="W694">
        <f t="shared" si="54"/>
        <v>0</v>
      </c>
      <c r="X694">
        <v>1</v>
      </c>
      <c r="Y694" s="2">
        <v>45768</v>
      </c>
      <c r="Z694" s="3" t="s">
        <v>47</v>
      </c>
      <c r="AA694" t="s">
        <v>39</v>
      </c>
      <c r="AB694" t="s">
        <v>40</v>
      </c>
      <c r="AC694" t="s">
        <v>40</v>
      </c>
      <c r="AD694" t="s">
        <v>589</v>
      </c>
    </row>
    <row r="695" spans="2:30">
      <c r="B695">
        <v>5</v>
      </c>
      <c r="C695">
        <v>1020</v>
      </c>
      <c r="D695" t="s">
        <v>29</v>
      </c>
      <c r="E695">
        <v>10044420</v>
      </c>
      <c r="F695" t="s">
        <v>790</v>
      </c>
      <c r="G695" t="s">
        <v>31</v>
      </c>
      <c r="H695" t="s">
        <v>32</v>
      </c>
      <c r="I695" t="s">
        <v>588</v>
      </c>
      <c r="J695" t="s">
        <v>45</v>
      </c>
      <c r="K695" t="s">
        <v>35</v>
      </c>
      <c r="L695" t="s">
        <v>36</v>
      </c>
      <c r="M695" t="s">
        <v>55</v>
      </c>
      <c r="N695">
        <v>2</v>
      </c>
      <c r="O695">
        <v>2</v>
      </c>
      <c r="P695">
        <v>1</v>
      </c>
      <c r="Q695">
        <v>2</v>
      </c>
      <c r="R695" s="4">
        <v>1419.13</v>
      </c>
      <c r="S695" t="str">
        <f t="shared" si="50"/>
        <v>PX: Baja Crit.</v>
      </c>
      <c r="T695">
        <f t="shared" si="51"/>
        <v>0</v>
      </c>
      <c r="U695">
        <f t="shared" si="52"/>
        <v>0</v>
      </c>
      <c r="V695">
        <f t="shared" si="53"/>
        <v>1</v>
      </c>
      <c r="W695">
        <f t="shared" si="54"/>
        <v>0</v>
      </c>
      <c r="X695">
        <v>1</v>
      </c>
      <c r="Y695" s="2">
        <v>45768</v>
      </c>
      <c r="Z695" s="3" t="s">
        <v>56</v>
      </c>
      <c r="AA695" t="s">
        <v>39</v>
      </c>
      <c r="AB695" t="s">
        <v>40</v>
      </c>
      <c r="AC695" t="s">
        <v>40</v>
      </c>
      <c r="AD695" t="s">
        <v>589</v>
      </c>
    </row>
    <row r="696" spans="2:30">
      <c r="B696">
        <v>5</v>
      </c>
      <c r="C696">
        <v>1020</v>
      </c>
      <c r="D696" t="s">
        <v>29</v>
      </c>
      <c r="E696">
        <v>10045352</v>
      </c>
      <c r="F696" t="s">
        <v>791</v>
      </c>
      <c r="G696" t="s">
        <v>43</v>
      </c>
      <c r="H696" t="s">
        <v>32</v>
      </c>
      <c r="I696" t="s">
        <v>588</v>
      </c>
      <c r="J696" t="s">
        <v>34</v>
      </c>
      <c r="K696" t="s">
        <v>35</v>
      </c>
      <c r="L696" t="s">
        <v>36</v>
      </c>
      <c r="M696" t="s">
        <v>55</v>
      </c>
      <c r="N696">
        <v>60</v>
      </c>
      <c r="O696">
        <v>36</v>
      </c>
      <c r="P696">
        <v>15</v>
      </c>
      <c r="Q696">
        <v>60</v>
      </c>
      <c r="R696">
        <v>509.84</v>
      </c>
      <c r="S696" t="str">
        <f t="shared" si="50"/>
        <v>PY: Media Crit.</v>
      </c>
      <c r="T696">
        <f t="shared" si="51"/>
        <v>0</v>
      </c>
      <c r="U696">
        <f t="shared" si="52"/>
        <v>0</v>
      </c>
      <c r="V696">
        <f t="shared" si="53"/>
        <v>1</v>
      </c>
      <c r="W696">
        <f t="shared" si="54"/>
        <v>0</v>
      </c>
      <c r="X696">
        <v>1</v>
      </c>
      <c r="Y696" s="2">
        <v>45768</v>
      </c>
      <c r="Z696" s="3" t="s">
        <v>56</v>
      </c>
      <c r="AA696" t="s">
        <v>39</v>
      </c>
      <c r="AB696" t="s">
        <v>40</v>
      </c>
      <c r="AC696" t="s">
        <v>40</v>
      </c>
      <c r="AD696" t="s">
        <v>589</v>
      </c>
    </row>
    <row r="697" spans="2:30">
      <c r="B697">
        <v>5</v>
      </c>
      <c r="C697">
        <v>1020</v>
      </c>
      <c r="D697" t="s">
        <v>29</v>
      </c>
      <c r="E697">
        <v>10045618</v>
      </c>
      <c r="F697" t="s">
        <v>792</v>
      </c>
      <c r="G697" t="s">
        <v>31</v>
      </c>
      <c r="H697" t="s">
        <v>32</v>
      </c>
      <c r="I697" t="s">
        <v>588</v>
      </c>
      <c r="J697" t="s">
        <v>34</v>
      </c>
      <c r="K697" t="s">
        <v>35</v>
      </c>
      <c r="L697" t="s">
        <v>36</v>
      </c>
      <c r="M697" t="s">
        <v>55</v>
      </c>
      <c r="N697">
        <v>50</v>
      </c>
      <c r="O697">
        <v>31</v>
      </c>
      <c r="P697">
        <v>8</v>
      </c>
      <c r="Q697">
        <v>35</v>
      </c>
      <c r="R697">
        <v>690.97</v>
      </c>
      <c r="S697" t="str">
        <f t="shared" si="50"/>
        <v>PX: Baja Crit.</v>
      </c>
      <c r="T697">
        <f t="shared" si="51"/>
        <v>0</v>
      </c>
      <c r="U697">
        <f t="shared" si="52"/>
        <v>0</v>
      </c>
      <c r="V697">
        <f t="shared" si="53"/>
        <v>1</v>
      </c>
      <c r="W697">
        <f t="shared" si="54"/>
        <v>0</v>
      </c>
      <c r="X697">
        <v>1</v>
      </c>
      <c r="Y697" s="2">
        <v>45768</v>
      </c>
      <c r="Z697" s="3" t="s">
        <v>56</v>
      </c>
      <c r="AA697" t="s">
        <v>39</v>
      </c>
      <c r="AB697" t="s">
        <v>40</v>
      </c>
      <c r="AC697" t="s">
        <v>40</v>
      </c>
      <c r="AD697" t="s">
        <v>589</v>
      </c>
    </row>
    <row r="698" spans="2:30">
      <c r="B698">
        <v>5</v>
      </c>
      <c r="C698">
        <v>1020</v>
      </c>
      <c r="D698" t="s">
        <v>29</v>
      </c>
      <c r="E698">
        <v>10046532</v>
      </c>
      <c r="F698" t="s">
        <v>793</v>
      </c>
      <c r="G698" t="s">
        <v>52</v>
      </c>
      <c r="H698" t="s">
        <v>44</v>
      </c>
      <c r="I698" t="s">
        <v>588</v>
      </c>
      <c r="J698" t="s">
        <v>45</v>
      </c>
      <c r="K698" t="s">
        <v>35</v>
      </c>
      <c r="L698" t="s">
        <v>36</v>
      </c>
      <c r="M698" t="s">
        <v>117</v>
      </c>
      <c r="N698">
        <v>2</v>
      </c>
      <c r="O698">
        <v>2</v>
      </c>
      <c r="P698">
        <v>1</v>
      </c>
      <c r="Q698">
        <v>1</v>
      </c>
      <c r="R698" s="4">
        <v>9759.84</v>
      </c>
      <c r="S698" t="str">
        <f t="shared" si="50"/>
        <v>PZ: Alta Crit.</v>
      </c>
      <c r="T698">
        <f t="shared" si="51"/>
        <v>0</v>
      </c>
      <c r="U698">
        <f t="shared" si="52"/>
        <v>1</v>
      </c>
      <c r="V698">
        <f t="shared" si="53"/>
        <v>0</v>
      </c>
      <c r="W698">
        <f t="shared" si="54"/>
        <v>0</v>
      </c>
      <c r="X698">
        <v>1</v>
      </c>
      <c r="Y698" s="2">
        <v>45768</v>
      </c>
      <c r="Z698" s="3" t="s">
        <v>118</v>
      </c>
      <c r="AA698" t="s">
        <v>39</v>
      </c>
      <c r="AB698" t="s">
        <v>49</v>
      </c>
      <c r="AC698" s="5" t="s">
        <v>50</v>
      </c>
      <c r="AD698" t="s">
        <v>589</v>
      </c>
    </row>
    <row r="699" spans="2:30">
      <c r="B699">
        <v>5</v>
      </c>
      <c r="C699">
        <v>1020</v>
      </c>
      <c r="D699" t="s">
        <v>29</v>
      </c>
      <c r="E699">
        <v>10046570</v>
      </c>
      <c r="F699" t="s">
        <v>794</v>
      </c>
      <c r="G699" t="s">
        <v>52</v>
      </c>
      <c r="H699" t="s">
        <v>60</v>
      </c>
      <c r="I699" t="s">
        <v>588</v>
      </c>
      <c r="J699" t="s">
        <v>34</v>
      </c>
      <c r="K699" t="s">
        <v>35</v>
      </c>
      <c r="L699" t="s">
        <v>36</v>
      </c>
      <c r="M699" t="s">
        <v>46</v>
      </c>
      <c r="N699">
        <v>8</v>
      </c>
      <c r="O699">
        <v>5</v>
      </c>
      <c r="P699">
        <v>2</v>
      </c>
      <c r="Q699">
        <v>4</v>
      </c>
      <c r="R699" s="4">
        <v>1855.79</v>
      </c>
      <c r="S699" t="str">
        <f t="shared" si="50"/>
        <v>PZ: Alta Crit.</v>
      </c>
      <c r="T699">
        <f t="shared" si="51"/>
        <v>0</v>
      </c>
      <c r="U699">
        <f t="shared" si="52"/>
        <v>0</v>
      </c>
      <c r="V699">
        <f t="shared" si="53"/>
        <v>1</v>
      </c>
      <c r="W699">
        <f t="shared" si="54"/>
        <v>0</v>
      </c>
      <c r="X699">
        <v>1</v>
      </c>
      <c r="Y699" s="2">
        <v>45768</v>
      </c>
      <c r="Z699" s="3" t="s">
        <v>47</v>
      </c>
      <c r="AA699" t="s">
        <v>39</v>
      </c>
      <c r="AB699" t="s">
        <v>49</v>
      </c>
      <c r="AC699" s="5" t="s">
        <v>50</v>
      </c>
      <c r="AD699" t="s">
        <v>589</v>
      </c>
    </row>
    <row r="700" spans="2:30">
      <c r="B700">
        <v>5</v>
      </c>
      <c r="C700">
        <v>1020</v>
      </c>
      <c r="D700" t="s">
        <v>29</v>
      </c>
      <c r="E700">
        <v>10292387</v>
      </c>
      <c r="F700" t="s">
        <v>795</v>
      </c>
      <c r="G700" t="s">
        <v>31</v>
      </c>
      <c r="H700" t="s">
        <v>60</v>
      </c>
      <c r="I700" t="s">
        <v>588</v>
      </c>
      <c r="J700" t="s">
        <v>45</v>
      </c>
      <c r="K700" t="s">
        <v>35</v>
      </c>
      <c r="L700" t="s">
        <v>36</v>
      </c>
      <c r="M700" t="s">
        <v>46</v>
      </c>
      <c r="N700">
        <v>7</v>
      </c>
      <c r="O700">
        <v>4</v>
      </c>
      <c r="P700">
        <v>2</v>
      </c>
      <c r="Q700">
        <v>7</v>
      </c>
      <c r="R700" s="4">
        <v>10065.06</v>
      </c>
      <c r="S700" t="str">
        <f t="shared" si="50"/>
        <v>PX: Baja Crit.</v>
      </c>
      <c r="T700">
        <f t="shared" si="51"/>
        <v>0</v>
      </c>
      <c r="U700">
        <f t="shared" si="52"/>
        <v>0</v>
      </c>
      <c r="V700">
        <f t="shared" si="53"/>
        <v>1</v>
      </c>
      <c r="W700">
        <f t="shared" si="54"/>
        <v>0</v>
      </c>
      <c r="X700">
        <v>1</v>
      </c>
      <c r="Y700" s="2">
        <v>45768</v>
      </c>
      <c r="Z700" s="3" t="s">
        <v>47</v>
      </c>
      <c r="AA700" t="s">
        <v>39</v>
      </c>
      <c r="AB700" t="s">
        <v>40</v>
      </c>
      <c r="AC700" t="s">
        <v>40</v>
      </c>
      <c r="AD700" t="s">
        <v>589</v>
      </c>
    </row>
    <row r="701" spans="2:30">
      <c r="B701">
        <v>5</v>
      </c>
      <c r="C701">
        <v>1020</v>
      </c>
      <c r="D701" t="s">
        <v>29</v>
      </c>
      <c r="E701">
        <v>14169257</v>
      </c>
      <c r="F701" t="s">
        <v>796</v>
      </c>
      <c r="G701" t="s">
        <v>52</v>
      </c>
      <c r="H701" t="s">
        <v>44</v>
      </c>
      <c r="I701" t="s">
        <v>588</v>
      </c>
      <c r="J701" t="s">
        <v>45</v>
      </c>
      <c r="K701" t="s">
        <v>260</v>
      </c>
      <c r="L701" t="s">
        <v>36</v>
      </c>
      <c r="M701" t="s">
        <v>88</v>
      </c>
      <c r="N701">
        <v>3</v>
      </c>
      <c r="O701">
        <v>1</v>
      </c>
      <c r="P701">
        <v>0</v>
      </c>
      <c r="Q701">
        <v>3</v>
      </c>
      <c r="R701">
        <v>548.69000000000005</v>
      </c>
      <c r="S701" t="str">
        <f t="shared" si="50"/>
        <v>PZ: Alta Crit.</v>
      </c>
      <c r="T701">
        <f t="shared" si="51"/>
        <v>0</v>
      </c>
      <c r="U701">
        <f t="shared" si="52"/>
        <v>0</v>
      </c>
      <c r="V701">
        <f t="shared" si="53"/>
        <v>1</v>
      </c>
      <c r="W701">
        <f t="shared" si="54"/>
        <v>0</v>
      </c>
      <c r="X701">
        <v>1</v>
      </c>
      <c r="Y701" s="2">
        <v>45768</v>
      </c>
      <c r="Z701" s="3" t="s">
        <v>89</v>
      </c>
      <c r="AA701" t="s">
        <v>39</v>
      </c>
      <c r="AB701" t="s">
        <v>40</v>
      </c>
      <c r="AC701" t="s">
        <v>40</v>
      </c>
      <c r="AD701" t="s">
        <v>589</v>
      </c>
    </row>
    <row r="702" spans="2:30">
      <c r="B702">
        <v>5</v>
      </c>
      <c r="C702">
        <v>1020</v>
      </c>
      <c r="D702" t="s">
        <v>29</v>
      </c>
      <c r="E702">
        <v>14300129</v>
      </c>
      <c r="F702" t="s">
        <v>797</v>
      </c>
      <c r="G702" t="s">
        <v>43</v>
      </c>
      <c r="H702" t="s">
        <v>44</v>
      </c>
      <c r="I702" t="s">
        <v>588</v>
      </c>
      <c r="J702" t="s">
        <v>45</v>
      </c>
      <c r="K702" t="s">
        <v>35</v>
      </c>
      <c r="L702" t="s">
        <v>36</v>
      </c>
      <c r="M702" t="s">
        <v>117</v>
      </c>
      <c r="N702">
        <v>12</v>
      </c>
      <c r="O702">
        <v>5</v>
      </c>
      <c r="P702">
        <v>0</v>
      </c>
      <c r="Q702">
        <v>12</v>
      </c>
      <c r="R702" s="4">
        <v>3052.72</v>
      </c>
      <c r="S702" t="str">
        <f t="shared" si="50"/>
        <v>PY: Media Crit.</v>
      </c>
      <c r="T702">
        <f t="shared" si="51"/>
        <v>0</v>
      </c>
      <c r="U702">
        <f t="shared" si="52"/>
        <v>0</v>
      </c>
      <c r="V702">
        <f t="shared" si="53"/>
        <v>1</v>
      </c>
      <c r="W702">
        <f t="shared" si="54"/>
        <v>0</v>
      </c>
      <c r="X702">
        <v>1</v>
      </c>
      <c r="Y702" s="2">
        <v>45768</v>
      </c>
      <c r="Z702" s="3" t="s">
        <v>118</v>
      </c>
      <c r="AA702" t="s">
        <v>39</v>
      </c>
      <c r="AB702" t="s">
        <v>40</v>
      </c>
      <c r="AC702" t="s">
        <v>40</v>
      </c>
      <c r="AD702" t="s">
        <v>589</v>
      </c>
    </row>
    <row r="703" spans="2:30">
      <c r="B703">
        <v>5</v>
      </c>
      <c r="C703">
        <v>1020</v>
      </c>
      <c r="D703" t="s">
        <v>29</v>
      </c>
      <c r="E703">
        <v>10051859</v>
      </c>
      <c r="F703" t="s">
        <v>798</v>
      </c>
      <c r="G703" t="s">
        <v>43</v>
      </c>
      <c r="H703" t="s">
        <v>32</v>
      </c>
      <c r="I703" t="s">
        <v>588</v>
      </c>
      <c r="J703" t="s">
        <v>45</v>
      </c>
      <c r="K703" t="s">
        <v>35</v>
      </c>
      <c r="L703" t="s">
        <v>36</v>
      </c>
      <c r="M703" t="s">
        <v>55</v>
      </c>
      <c r="N703">
        <v>60</v>
      </c>
      <c r="O703">
        <v>35</v>
      </c>
      <c r="P703">
        <v>10</v>
      </c>
      <c r="Q703">
        <v>20</v>
      </c>
      <c r="R703">
        <v>764.93</v>
      </c>
      <c r="S703" t="str">
        <f t="shared" si="50"/>
        <v>PY: Media Crit.</v>
      </c>
      <c r="T703">
        <f t="shared" si="51"/>
        <v>0</v>
      </c>
      <c r="U703">
        <f t="shared" si="52"/>
        <v>0</v>
      </c>
      <c r="V703">
        <f t="shared" si="53"/>
        <v>1</v>
      </c>
      <c r="W703">
        <f t="shared" si="54"/>
        <v>0</v>
      </c>
      <c r="X703">
        <v>1</v>
      </c>
      <c r="Y703" s="2">
        <v>45768</v>
      </c>
      <c r="Z703" s="3" t="s">
        <v>56</v>
      </c>
      <c r="AA703" t="s">
        <v>39</v>
      </c>
      <c r="AB703" t="s">
        <v>76</v>
      </c>
      <c r="AC703" s="5" t="s">
        <v>77</v>
      </c>
      <c r="AD703" t="s">
        <v>589</v>
      </c>
    </row>
    <row r="704" spans="2:30">
      <c r="B704">
        <v>5</v>
      </c>
      <c r="C704">
        <v>1020</v>
      </c>
      <c r="D704" t="s">
        <v>29</v>
      </c>
      <c r="E704">
        <v>10636670</v>
      </c>
      <c r="F704" t="s">
        <v>799</v>
      </c>
      <c r="G704" t="s">
        <v>43</v>
      </c>
      <c r="H704" t="s">
        <v>32</v>
      </c>
      <c r="I704" t="s">
        <v>588</v>
      </c>
      <c r="J704" t="s">
        <v>34</v>
      </c>
      <c r="K704" t="s">
        <v>35</v>
      </c>
      <c r="L704" t="s">
        <v>36</v>
      </c>
      <c r="M704" t="s">
        <v>117</v>
      </c>
      <c r="N704">
        <v>8</v>
      </c>
      <c r="O704">
        <v>5</v>
      </c>
      <c r="P704">
        <v>1</v>
      </c>
      <c r="Q704">
        <v>0</v>
      </c>
      <c r="R704">
        <v>0</v>
      </c>
      <c r="S704" t="str">
        <f t="shared" si="50"/>
        <v>PY: Media Crit.</v>
      </c>
      <c r="T704">
        <f t="shared" si="51"/>
        <v>1</v>
      </c>
      <c r="U704">
        <f t="shared" si="52"/>
        <v>0</v>
      </c>
      <c r="V704">
        <f t="shared" si="53"/>
        <v>0</v>
      </c>
      <c r="W704">
        <f t="shared" si="54"/>
        <v>0</v>
      </c>
      <c r="X704">
        <v>1</v>
      </c>
      <c r="Y704" s="2">
        <v>45768</v>
      </c>
      <c r="Z704" s="3" t="s">
        <v>118</v>
      </c>
      <c r="AA704" t="s">
        <v>39</v>
      </c>
      <c r="AB704" t="s">
        <v>76</v>
      </c>
      <c r="AC704" s="5" t="s">
        <v>77</v>
      </c>
      <c r="AD704" t="s">
        <v>589</v>
      </c>
    </row>
    <row r="705" spans="2:30">
      <c r="B705">
        <v>5</v>
      </c>
      <c r="C705">
        <v>1020</v>
      </c>
      <c r="D705" t="s">
        <v>29</v>
      </c>
      <c r="E705">
        <v>10641215</v>
      </c>
      <c r="F705" t="s">
        <v>800</v>
      </c>
      <c r="G705" t="s">
        <v>43</v>
      </c>
      <c r="H705" t="s">
        <v>32</v>
      </c>
      <c r="I705" t="s">
        <v>588</v>
      </c>
      <c r="J705" t="s">
        <v>34</v>
      </c>
      <c r="K705" t="s">
        <v>35</v>
      </c>
      <c r="L705" t="s">
        <v>36</v>
      </c>
      <c r="M705" t="s">
        <v>117</v>
      </c>
      <c r="N705">
        <v>8</v>
      </c>
      <c r="O705">
        <v>5</v>
      </c>
      <c r="P705">
        <v>2</v>
      </c>
      <c r="Q705">
        <v>4</v>
      </c>
      <c r="R705" s="4">
        <v>4600</v>
      </c>
      <c r="S705" t="str">
        <f t="shared" si="50"/>
        <v>PY: Media Crit.</v>
      </c>
      <c r="T705">
        <f t="shared" si="51"/>
        <v>0</v>
      </c>
      <c r="U705">
        <f t="shared" si="52"/>
        <v>0</v>
      </c>
      <c r="V705">
        <f t="shared" si="53"/>
        <v>1</v>
      </c>
      <c r="W705">
        <f t="shared" si="54"/>
        <v>0</v>
      </c>
      <c r="X705">
        <v>1</v>
      </c>
      <c r="Y705" s="2">
        <v>45768</v>
      </c>
      <c r="Z705" s="3" t="s">
        <v>118</v>
      </c>
      <c r="AA705" t="s">
        <v>39</v>
      </c>
      <c r="AB705" t="s">
        <v>76</v>
      </c>
      <c r="AC705" s="5" t="s">
        <v>77</v>
      </c>
      <c r="AD705" t="s">
        <v>589</v>
      </c>
    </row>
    <row r="706" spans="2:30">
      <c r="B706">
        <v>5</v>
      </c>
      <c r="C706">
        <v>1020</v>
      </c>
      <c r="D706" t="s">
        <v>29</v>
      </c>
      <c r="E706">
        <v>10048405</v>
      </c>
      <c r="F706" t="s">
        <v>801</v>
      </c>
      <c r="G706" t="s">
        <v>31</v>
      </c>
      <c r="H706" t="s">
        <v>44</v>
      </c>
      <c r="I706" t="s">
        <v>588</v>
      </c>
      <c r="J706" t="s">
        <v>45</v>
      </c>
      <c r="K706" t="s">
        <v>35</v>
      </c>
      <c r="L706" t="s">
        <v>36</v>
      </c>
      <c r="M706" t="s">
        <v>46</v>
      </c>
      <c r="N706">
        <v>12</v>
      </c>
      <c r="O706">
        <v>6</v>
      </c>
      <c r="P706">
        <v>3</v>
      </c>
      <c r="Q706">
        <v>0</v>
      </c>
      <c r="R706">
        <v>0</v>
      </c>
      <c r="S706" t="str">
        <f t="shared" ref="S706:S769" si="55">+IF(G706="PZ", "PZ: Alta Crit.",IF(G706="PY","PY: Media Crit.", "PX: Baja Crit."))</f>
        <v>PX: Baja Crit.</v>
      </c>
      <c r="T706">
        <f t="shared" ref="T706:T769" si="56">+IF(Q706=0,1,0)</f>
        <v>1</v>
      </c>
      <c r="U706">
        <f t="shared" ref="U706:U769" si="57">+IF(AND(Q706&lt;=P706,Q706&gt;0),1,0)</f>
        <v>0</v>
      </c>
      <c r="V706">
        <f t="shared" ref="V706:V769" si="58">+IF(AND(Q706&gt;P706,Q706&lt;=N706),1,0)</f>
        <v>0</v>
      </c>
      <c r="W706">
        <f t="shared" ref="W706:W769" si="59">+IF(Q706&gt;N706,1,0)</f>
        <v>0</v>
      </c>
      <c r="X706">
        <v>1</v>
      </c>
      <c r="Y706" s="2">
        <v>45768</v>
      </c>
      <c r="Z706" s="3" t="s">
        <v>47</v>
      </c>
      <c r="AA706" t="s">
        <v>39</v>
      </c>
      <c r="AB706" t="s">
        <v>76</v>
      </c>
      <c r="AC706" s="5" t="s">
        <v>77</v>
      </c>
      <c r="AD706" t="s">
        <v>589</v>
      </c>
    </row>
    <row r="707" spans="2:30">
      <c r="B707">
        <v>5</v>
      </c>
      <c r="C707">
        <v>1020</v>
      </c>
      <c r="D707" t="s">
        <v>29</v>
      </c>
      <c r="E707">
        <v>14112979</v>
      </c>
      <c r="F707" t="s">
        <v>802</v>
      </c>
      <c r="G707" t="s">
        <v>43</v>
      </c>
      <c r="H707" t="s">
        <v>32</v>
      </c>
      <c r="I707" t="s">
        <v>588</v>
      </c>
      <c r="J707" t="s">
        <v>45</v>
      </c>
      <c r="K707" t="s">
        <v>35</v>
      </c>
      <c r="L707" t="s">
        <v>36</v>
      </c>
      <c r="M707" t="s">
        <v>69</v>
      </c>
      <c r="N707">
        <v>10</v>
      </c>
      <c r="O707">
        <v>6</v>
      </c>
      <c r="P707">
        <v>0</v>
      </c>
      <c r="Q707">
        <v>10</v>
      </c>
      <c r="R707" s="4">
        <v>1384.91</v>
      </c>
      <c r="S707" t="str">
        <f t="shared" si="55"/>
        <v>PY: Media Crit.</v>
      </c>
      <c r="T707">
        <f t="shared" si="56"/>
        <v>0</v>
      </c>
      <c r="U707">
        <f t="shared" si="57"/>
        <v>0</v>
      </c>
      <c r="V707">
        <f t="shared" si="58"/>
        <v>1</v>
      </c>
      <c r="W707">
        <f t="shared" si="59"/>
        <v>0</v>
      </c>
      <c r="X707">
        <v>1</v>
      </c>
      <c r="Y707" s="2">
        <v>45768</v>
      </c>
      <c r="Z707" s="3" t="s">
        <v>70</v>
      </c>
      <c r="AA707" t="s">
        <v>39</v>
      </c>
      <c r="AB707" t="s">
        <v>40</v>
      </c>
      <c r="AC707" t="s">
        <v>40</v>
      </c>
      <c r="AD707" t="s">
        <v>589</v>
      </c>
    </row>
    <row r="708" spans="2:30">
      <c r="B708">
        <v>5</v>
      </c>
      <c r="C708">
        <v>1020</v>
      </c>
      <c r="D708" t="s">
        <v>29</v>
      </c>
      <c r="E708">
        <v>14335514</v>
      </c>
      <c r="F708" s="6" t="s">
        <v>803</v>
      </c>
      <c r="G708" t="s">
        <v>52</v>
      </c>
      <c r="H708" t="s">
        <v>44</v>
      </c>
      <c r="I708" t="s">
        <v>33</v>
      </c>
      <c r="J708" t="s">
        <v>45</v>
      </c>
      <c r="K708" t="s">
        <v>106</v>
      </c>
      <c r="L708" t="s">
        <v>36</v>
      </c>
      <c r="M708" t="s">
        <v>37</v>
      </c>
      <c r="N708" s="8">
        <v>1984</v>
      </c>
      <c r="O708" s="8">
        <v>1190</v>
      </c>
      <c r="P708">
        <v>794</v>
      </c>
      <c r="Q708" s="8">
        <v>1587</v>
      </c>
      <c r="R708" s="4">
        <v>17233.060000000001</v>
      </c>
      <c r="S708" t="str">
        <f t="shared" si="55"/>
        <v>PZ: Alta Crit.</v>
      </c>
      <c r="T708">
        <f t="shared" si="56"/>
        <v>0</v>
      </c>
      <c r="U708">
        <f t="shared" si="57"/>
        <v>0</v>
      </c>
      <c r="V708">
        <f t="shared" si="58"/>
        <v>1</v>
      </c>
      <c r="W708">
        <f t="shared" si="59"/>
        <v>0</v>
      </c>
      <c r="X708">
        <v>1</v>
      </c>
      <c r="Y708" s="2">
        <v>45768</v>
      </c>
      <c r="Z708" s="3" t="s">
        <v>38</v>
      </c>
      <c r="AA708" t="s">
        <v>39</v>
      </c>
      <c r="AB708" t="s">
        <v>40</v>
      </c>
      <c r="AC708" t="s">
        <v>40</v>
      </c>
      <c r="AD708" t="s">
        <v>41</v>
      </c>
    </row>
    <row r="709" spans="2:30">
      <c r="B709">
        <v>5</v>
      </c>
      <c r="C709">
        <v>1020</v>
      </c>
      <c r="D709" t="s">
        <v>29</v>
      </c>
      <c r="E709">
        <v>10042110</v>
      </c>
      <c r="F709" t="s">
        <v>804</v>
      </c>
      <c r="G709" t="s">
        <v>43</v>
      </c>
      <c r="H709" t="s">
        <v>60</v>
      </c>
      <c r="I709" t="s">
        <v>588</v>
      </c>
      <c r="J709" t="s">
        <v>45</v>
      </c>
      <c r="K709" t="s">
        <v>35</v>
      </c>
      <c r="L709" t="s">
        <v>36</v>
      </c>
      <c r="M709" t="s">
        <v>117</v>
      </c>
      <c r="N709">
        <v>4</v>
      </c>
      <c r="O709">
        <v>3</v>
      </c>
      <c r="P709">
        <v>2</v>
      </c>
      <c r="Q709">
        <v>14</v>
      </c>
      <c r="R709" s="4">
        <v>5962.28</v>
      </c>
      <c r="S709" t="str">
        <f t="shared" si="55"/>
        <v>PY: Media Crit.</v>
      </c>
      <c r="T709">
        <f t="shared" si="56"/>
        <v>0</v>
      </c>
      <c r="U709">
        <f t="shared" si="57"/>
        <v>0</v>
      </c>
      <c r="V709">
        <f t="shared" si="58"/>
        <v>0</v>
      </c>
      <c r="W709">
        <f t="shared" si="59"/>
        <v>1</v>
      </c>
      <c r="X709">
        <v>1</v>
      </c>
      <c r="Y709" s="2">
        <v>45768</v>
      </c>
      <c r="Z709" s="3" t="s">
        <v>118</v>
      </c>
      <c r="AA709" t="s">
        <v>39</v>
      </c>
      <c r="AB709" t="s">
        <v>40</v>
      </c>
      <c r="AC709" t="s">
        <v>40</v>
      </c>
      <c r="AD709" t="s">
        <v>589</v>
      </c>
    </row>
    <row r="710" spans="2:30">
      <c r="B710">
        <v>5</v>
      </c>
      <c r="C710">
        <v>1020</v>
      </c>
      <c r="D710" t="s">
        <v>29</v>
      </c>
      <c r="E710">
        <v>10044412</v>
      </c>
      <c r="F710" t="s">
        <v>805</v>
      </c>
      <c r="G710" t="s">
        <v>43</v>
      </c>
      <c r="H710" t="s">
        <v>32</v>
      </c>
      <c r="I710" t="s">
        <v>588</v>
      </c>
      <c r="J710" t="s">
        <v>34</v>
      </c>
      <c r="K710" t="s">
        <v>35</v>
      </c>
      <c r="L710" t="s">
        <v>36</v>
      </c>
      <c r="M710" t="s">
        <v>46</v>
      </c>
      <c r="N710">
        <v>10</v>
      </c>
      <c r="O710">
        <v>6</v>
      </c>
      <c r="P710">
        <v>2</v>
      </c>
      <c r="Q710">
        <v>10</v>
      </c>
      <c r="R710" s="4">
        <v>2175.2399999999998</v>
      </c>
      <c r="S710" t="str">
        <f t="shared" si="55"/>
        <v>PY: Media Crit.</v>
      </c>
      <c r="T710">
        <f t="shared" si="56"/>
        <v>0</v>
      </c>
      <c r="U710">
        <f t="shared" si="57"/>
        <v>0</v>
      </c>
      <c r="V710">
        <f t="shared" si="58"/>
        <v>1</v>
      </c>
      <c r="W710">
        <f t="shared" si="59"/>
        <v>0</v>
      </c>
      <c r="X710">
        <v>1</v>
      </c>
      <c r="Y710" s="2">
        <v>45768</v>
      </c>
      <c r="Z710" s="3" t="s">
        <v>47</v>
      </c>
      <c r="AA710" t="s">
        <v>39</v>
      </c>
      <c r="AB710" t="s">
        <v>40</v>
      </c>
      <c r="AC710" t="s">
        <v>40</v>
      </c>
      <c r="AD710" t="s">
        <v>589</v>
      </c>
    </row>
    <row r="711" spans="2:30">
      <c r="B711">
        <v>5</v>
      </c>
      <c r="C711">
        <v>1020</v>
      </c>
      <c r="D711" t="s">
        <v>29</v>
      </c>
      <c r="E711">
        <v>10291900</v>
      </c>
      <c r="F711" t="s">
        <v>806</v>
      </c>
      <c r="G711" t="s">
        <v>31</v>
      </c>
      <c r="H711" t="s">
        <v>60</v>
      </c>
      <c r="I711" t="s">
        <v>588</v>
      </c>
      <c r="J711" t="s">
        <v>34</v>
      </c>
      <c r="K711" t="s">
        <v>35</v>
      </c>
      <c r="L711" t="s">
        <v>36</v>
      </c>
      <c r="M711" t="s">
        <v>37</v>
      </c>
      <c r="N711">
        <v>7</v>
      </c>
      <c r="O711">
        <v>5</v>
      </c>
      <c r="P711">
        <v>3</v>
      </c>
      <c r="Q711">
        <v>7</v>
      </c>
      <c r="R711" s="4">
        <v>12090.65</v>
      </c>
      <c r="S711" t="str">
        <f t="shared" si="55"/>
        <v>PX: Baja Crit.</v>
      </c>
      <c r="T711">
        <f t="shared" si="56"/>
        <v>0</v>
      </c>
      <c r="U711">
        <f t="shared" si="57"/>
        <v>0</v>
      </c>
      <c r="V711">
        <f t="shared" si="58"/>
        <v>1</v>
      </c>
      <c r="W711">
        <f t="shared" si="59"/>
        <v>0</v>
      </c>
      <c r="X711">
        <v>1</v>
      </c>
      <c r="Y711" s="2">
        <v>45768</v>
      </c>
      <c r="Z711" s="3" t="s">
        <v>38</v>
      </c>
      <c r="AA711" t="s">
        <v>39</v>
      </c>
      <c r="AB711" t="s">
        <v>40</v>
      </c>
      <c r="AC711" t="s">
        <v>40</v>
      </c>
      <c r="AD711" t="s">
        <v>589</v>
      </c>
    </row>
    <row r="712" spans="2:30">
      <c r="B712">
        <v>5</v>
      </c>
      <c r="C712">
        <v>1020</v>
      </c>
      <c r="D712" t="s">
        <v>29</v>
      </c>
      <c r="E712">
        <v>10601744</v>
      </c>
      <c r="F712" t="s">
        <v>807</v>
      </c>
      <c r="G712" t="s">
        <v>43</v>
      </c>
      <c r="H712" t="s">
        <v>60</v>
      </c>
      <c r="I712" t="s">
        <v>588</v>
      </c>
      <c r="J712" t="s">
        <v>45</v>
      </c>
      <c r="K712" t="s">
        <v>35</v>
      </c>
      <c r="L712" t="s">
        <v>36</v>
      </c>
      <c r="M712" t="s">
        <v>46</v>
      </c>
      <c r="N712">
        <v>6</v>
      </c>
      <c r="O712">
        <v>4</v>
      </c>
      <c r="P712">
        <v>2</v>
      </c>
      <c r="Q712">
        <v>4</v>
      </c>
      <c r="R712" s="4">
        <v>1524.63</v>
      </c>
      <c r="S712" t="str">
        <f t="shared" si="55"/>
        <v>PY: Media Crit.</v>
      </c>
      <c r="T712">
        <f t="shared" si="56"/>
        <v>0</v>
      </c>
      <c r="U712">
        <f t="shared" si="57"/>
        <v>0</v>
      </c>
      <c r="V712">
        <f t="shared" si="58"/>
        <v>1</v>
      </c>
      <c r="W712">
        <f t="shared" si="59"/>
        <v>0</v>
      </c>
      <c r="X712">
        <v>1</v>
      </c>
      <c r="Y712" s="2">
        <v>45768</v>
      </c>
      <c r="Z712" s="3" t="s">
        <v>47</v>
      </c>
      <c r="AA712" t="s">
        <v>39</v>
      </c>
      <c r="AB712" t="s">
        <v>40</v>
      </c>
      <c r="AC712" t="s">
        <v>40</v>
      </c>
      <c r="AD712" t="s">
        <v>589</v>
      </c>
    </row>
    <row r="713" spans="2:30">
      <c r="B713">
        <v>5</v>
      </c>
      <c r="C713">
        <v>1020</v>
      </c>
      <c r="D713" t="s">
        <v>29</v>
      </c>
      <c r="E713">
        <v>10012617</v>
      </c>
      <c r="F713" t="s">
        <v>808</v>
      </c>
      <c r="G713" t="s">
        <v>31</v>
      </c>
      <c r="H713" t="s">
        <v>32</v>
      </c>
      <c r="I713" t="s">
        <v>588</v>
      </c>
      <c r="J713" t="s">
        <v>45</v>
      </c>
      <c r="K713" t="s">
        <v>35</v>
      </c>
      <c r="L713" t="s">
        <v>36</v>
      </c>
      <c r="M713" t="s">
        <v>46</v>
      </c>
      <c r="N713">
        <v>20</v>
      </c>
      <c r="O713">
        <v>11</v>
      </c>
      <c r="P713">
        <v>3</v>
      </c>
      <c r="Q713">
        <v>55</v>
      </c>
      <c r="R713">
        <v>665.21</v>
      </c>
      <c r="S713" t="str">
        <f t="shared" si="55"/>
        <v>PX: Baja Crit.</v>
      </c>
      <c r="T713">
        <f t="shared" si="56"/>
        <v>0</v>
      </c>
      <c r="U713">
        <f t="shared" si="57"/>
        <v>0</v>
      </c>
      <c r="V713">
        <f t="shared" si="58"/>
        <v>0</v>
      </c>
      <c r="W713">
        <f t="shared" si="59"/>
        <v>1</v>
      </c>
      <c r="X713">
        <v>1</v>
      </c>
      <c r="Y713" s="2">
        <v>45768</v>
      </c>
      <c r="Z713" s="3" t="s">
        <v>47</v>
      </c>
      <c r="AA713" t="s">
        <v>39</v>
      </c>
      <c r="AB713" t="s">
        <v>40</v>
      </c>
      <c r="AC713" t="s">
        <v>40</v>
      </c>
      <c r="AD713" t="s">
        <v>589</v>
      </c>
    </row>
    <row r="714" spans="2:30">
      <c r="B714">
        <v>5</v>
      </c>
      <c r="C714">
        <v>1020</v>
      </c>
      <c r="D714" t="s">
        <v>29</v>
      </c>
      <c r="E714">
        <v>10046088</v>
      </c>
      <c r="F714" t="s">
        <v>809</v>
      </c>
      <c r="G714" t="s">
        <v>52</v>
      </c>
      <c r="H714" t="s">
        <v>44</v>
      </c>
      <c r="I714" t="s">
        <v>588</v>
      </c>
      <c r="J714" t="s">
        <v>34</v>
      </c>
      <c r="K714" t="s">
        <v>35</v>
      </c>
      <c r="L714" t="s">
        <v>36</v>
      </c>
      <c r="M714" t="s">
        <v>37</v>
      </c>
      <c r="N714">
        <v>12</v>
      </c>
      <c r="O714">
        <v>6</v>
      </c>
      <c r="P714">
        <v>4</v>
      </c>
      <c r="Q714">
        <v>3</v>
      </c>
      <c r="R714" s="4">
        <v>8711.17</v>
      </c>
      <c r="S714" t="str">
        <f t="shared" si="55"/>
        <v>PZ: Alta Crit.</v>
      </c>
      <c r="T714">
        <f t="shared" si="56"/>
        <v>0</v>
      </c>
      <c r="U714">
        <f t="shared" si="57"/>
        <v>1</v>
      </c>
      <c r="V714">
        <f t="shared" si="58"/>
        <v>0</v>
      </c>
      <c r="W714">
        <f t="shared" si="59"/>
        <v>0</v>
      </c>
      <c r="X714">
        <v>1</v>
      </c>
      <c r="Y714" s="2">
        <v>45768</v>
      </c>
      <c r="Z714" s="3" t="s">
        <v>38</v>
      </c>
      <c r="AA714" t="s">
        <v>39</v>
      </c>
      <c r="AB714" t="s">
        <v>49</v>
      </c>
      <c r="AC714" s="5" t="s">
        <v>50</v>
      </c>
      <c r="AD714" t="s">
        <v>589</v>
      </c>
    </row>
    <row r="715" spans="2:30">
      <c r="B715">
        <v>5</v>
      </c>
      <c r="C715">
        <v>1020</v>
      </c>
      <c r="D715" t="s">
        <v>29</v>
      </c>
      <c r="E715">
        <v>10054422</v>
      </c>
      <c r="F715" t="s">
        <v>810</v>
      </c>
      <c r="G715" t="s">
        <v>43</v>
      </c>
      <c r="H715" t="s">
        <v>44</v>
      </c>
      <c r="I715" t="s">
        <v>588</v>
      </c>
      <c r="J715" t="s">
        <v>34</v>
      </c>
      <c r="K715" t="s">
        <v>35</v>
      </c>
      <c r="L715" t="s">
        <v>36</v>
      </c>
      <c r="M715" t="s">
        <v>37</v>
      </c>
      <c r="N715">
        <v>4</v>
      </c>
      <c r="O715">
        <v>3</v>
      </c>
      <c r="P715">
        <v>1</v>
      </c>
      <c r="Q715">
        <v>2</v>
      </c>
      <c r="R715" s="4">
        <v>3672.75</v>
      </c>
      <c r="S715" t="str">
        <f t="shared" si="55"/>
        <v>PY: Media Crit.</v>
      </c>
      <c r="T715">
        <f t="shared" si="56"/>
        <v>0</v>
      </c>
      <c r="U715">
        <f t="shared" si="57"/>
        <v>0</v>
      </c>
      <c r="V715">
        <f t="shared" si="58"/>
        <v>1</v>
      </c>
      <c r="W715">
        <f t="shared" si="59"/>
        <v>0</v>
      </c>
      <c r="X715">
        <v>1</v>
      </c>
      <c r="Y715" s="2">
        <v>45768</v>
      </c>
      <c r="Z715" s="3" t="s">
        <v>38</v>
      </c>
      <c r="AA715" t="s">
        <v>39</v>
      </c>
      <c r="AB715" t="s">
        <v>49</v>
      </c>
      <c r="AC715" s="5" t="s">
        <v>50</v>
      </c>
      <c r="AD715" t="s">
        <v>589</v>
      </c>
    </row>
    <row r="716" spans="2:30">
      <c r="B716">
        <v>5</v>
      </c>
      <c r="C716">
        <v>1020</v>
      </c>
      <c r="D716" t="s">
        <v>29</v>
      </c>
      <c r="E716">
        <v>10057135</v>
      </c>
      <c r="F716" t="s">
        <v>811</v>
      </c>
      <c r="G716" t="s">
        <v>52</v>
      </c>
      <c r="H716" t="s">
        <v>44</v>
      </c>
      <c r="I716" t="s">
        <v>588</v>
      </c>
      <c r="J716" t="s">
        <v>45</v>
      </c>
      <c r="K716" t="s">
        <v>35</v>
      </c>
      <c r="L716" t="s">
        <v>36</v>
      </c>
      <c r="M716" t="s">
        <v>37</v>
      </c>
      <c r="N716">
        <v>30</v>
      </c>
      <c r="O716">
        <v>16</v>
      </c>
      <c r="P716">
        <v>10</v>
      </c>
      <c r="Q716">
        <v>20</v>
      </c>
      <c r="R716" s="4">
        <v>4813.91</v>
      </c>
      <c r="S716" t="str">
        <f t="shared" si="55"/>
        <v>PZ: Alta Crit.</v>
      </c>
      <c r="T716">
        <f t="shared" si="56"/>
        <v>0</v>
      </c>
      <c r="U716">
        <f t="shared" si="57"/>
        <v>0</v>
      </c>
      <c r="V716">
        <f t="shared" si="58"/>
        <v>1</v>
      </c>
      <c r="W716">
        <f t="shared" si="59"/>
        <v>0</v>
      </c>
      <c r="X716">
        <v>1</v>
      </c>
      <c r="Y716" s="2">
        <v>45768</v>
      </c>
      <c r="Z716" s="3" t="s">
        <v>38</v>
      </c>
      <c r="AA716" t="s">
        <v>39</v>
      </c>
      <c r="AB716" t="s">
        <v>40</v>
      </c>
      <c r="AC716" t="s">
        <v>40</v>
      </c>
      <c r="AD716" t="s">
        <v>589</v>
      </c>
    </row>
    <row r="717" spans="2:30">
      <c r="B717">
        <v>5</v>
      </c>
      <c r="C717">
        <v>1020</v>
      </c>
      <c r="D717" t="s">
        <v>29</v>
      </c>
      <c r="E717">
        <v>14221736</v>
      </c>
      <c r="F717" t="s">
        <v>812</v>
      </c>
      <c r="G717" t="s">
        <v>43</v>
      </c>
      <c r="H717" t="s">
        <v>44</v>
      </c>
      <c r="I717" t="s">
        <v>588</v>
      </c>
      <c r="J717" t="s">
        <v>45</v>
      </c>
      <c r="K717" t="s">
        <v>35</v>
      </c>
      <c r="L717" t="s">
        <v>36</v>
      </c>
      <c r="M717" t="s">
        <v>37</v>
      </c>
      <c r="N717">
        <v>20</v>
      </c>
      <c r="O717">
        <v>11</v>
      </c>
      <c r="P717">
        <v>0</v>
      </c>
      <c r="Q717">
        <v>20</v>
      </c>
      <c r="R717" s="4">
        <v>14588.26</v>
      </c>
      <c r="S717" t="str">
        <f t="shared" si="55"/>
        <v>PY: Media Crit.</v>
      </c>
      <c r="T717">
        <f t="shared" si="56"/>
        <v>0</v>
      </c>
      <c r="U717">
        <f t="shared" si="57"/>
        <v>0</v>
      </c>
      <c r="V717">
        <f t="shared" si="58"/>
        <v>1</v>
      </c>
      <c r="W717">
        <f t="shared" si="59"/>
        <v>0</v>
      </c>
      <c r="X717">
        <v>1</v>
      </c>
      <c r="Y717" s="2">
        <v>45768</v>
      </c>
      <c r="Z717" s="3" t="s">
        <v>38</v>
      </c>
      <c r="AA717" t="s">
        <v>39</v>
      </c>
      <c r="AB717" t="s">
        <v>40</v>
      </c>
      <c r="AC717" t="s">
        <v>40</v>
      </c>
      <c r="AD717" t="s">
        <v>589</v>
      </c>
    </row>
    <row r="718" spans="2:30">
      <c r="B718">
        <v>5</v>
      </c>
      <c r="C718">
        <v>1020</v>
      </c>
      <c r="D718" t="s">
        <v>29</v>
      </c>
      <c r="E718">
        <v>10040963</v>
      </c>
      <c r="F718" t="s">
        <v>813</v>
      </c>
      <c r="G718" t="s">
        <v>31</v>
      </c>
      <c r="H718" t="s">
        <v>32</v>
      </c>
      <c r="I718" t="s">
        <v>588</v>
      </c>
      <c r="J718" t="s">
        <v>34</v>
      </c>
      <c r="K718" t="s">
        <v>35</v>
      </c>
      <c r="L718" t="s">
        <v>36</v>
      </c>
      <c r="M718" t="s">
        <v>46</v>
      </c>
      <c r="N718" s="8">
        <v>1100</v>
      </c>
      <c r="O718" s="8">
        <v>1001</v>
      </c>
      <c r="P718">
        <v>300</v>
      </c>
      <c r="Q718">
        <v>850</v>
      </c>
      <c r="R718" s="4">
        <v>19203.47</v>
      </c>
      <c r="S718" t="str">
        <f t="shared" si="55"/>
        <v>PX: Baja Crit.</v>
      </c>
      <c r="T718">
        <f t="shared" si="56"/>
        <v>0</v>
      </c>
      <c r="U718">
        <f t="shared" si="57"/>
        <v>0</v>
      </c>
      <c r="V718">
        <f t="shared" si="58"/>
        <v>1</v>
      </c>
      <c r="W718">
        <f t="shared" si="59"/>
        <v>0</v>
      </c>
      <c r="X718">
        <v>1</v>
      </c>
      <c r="Y718" s="2">
        <v>45768</v>
      </c>
      <c r="Z718" s="3" t="s">
        <v>47</v>
      </c>
      <c r="AA718" t="s">
        <v>39</v>
      </c>
      <c r="AB718" t="s">
        <v>49</v>
      </c>
      <c r="AC718" s="5" t="s">
        <v>50</v>
      </c>
      <c r="AD718" t="s">
        <v>589</v>
      </c>
    </row>
    <row r="719" spans="2:30">
      <c r="B719">
        <v>5</v>
      </c>
      <c r="C719">
        <v>1020</v>
      </c>
      <c r="D719" t="s">
        <v>29</v>
      </c>
      <c r="E719">
        <v>10050535</v>
      </c>
      <c r="F719" t="s">
        <v>814</v>
      </c>
      <c r="G719" t="s">
        <v>43</v>
      </c>
      <c r="H719" t="s">
        <v>32</v>
      </c>
      <c r="I719" t="s">
        <v>588</v>
      </c>
      <c r="J719" t="s">
        <v>45</v>
      </c>
      <c r="K719" t="s">
        <v>35</v>
      </c>
      <c r="L719" t="s">
        <v>36</v>
      </c>
      <c r="M719" t="s">
        <v>117</v>
      </c>
      <c r="N719">
        <v>20</v>
      </c>
      <c r="O719">
        <v>12</v>
      </c>
      <c r="P719">
        <v>4</v>
      </c>
      <c r="Q719">
        <v>10</v>
      </c>
      <c r="R719">
        <v>391.5</v>
      </c>
      <c r="S719" t="str">
        <f t="shared" si="55"/>
        <v>PY: Media Crit.</v>
      </c>
      <c r="T719">
        <f t="shared" si="56"/>
        <v>0</v>
      </c>
      <c r="U719">
        <f t="shared" si="57"/>
        <v>0</v>
      </c>
      <c r="V719">
        <f t="shared" si="58"/>
        <v>1</v>
      </c>
      <c r="W719">
        <f t="shared" si="59"/>
        <v>0</v>
      </c>
      <c r="X719">
        <v>1</v>
      </c>
      <c r="Y719" s="2">
        <v>45768</v>
      </c>
      <c r="Z719" s="3" t="s">
        <v>118</v>
      </c>
      <c r="AA719" t="s">
        <v>39</v>
      </c>
      <c r="AB719" t="s">
        <v>49</v>
      </c>
      <c r="AC719" s="5" t="s">
        <v>50</v>
      </c>
      <c r="AD719" t="s">
        <v>589</v>
      </c>
    </row>
    <row r="720" spans="2:30">
      <c r="B720">
        <v>5</v>
      </c>
      <c r="C720">
        <v>1020</v>
      </c>
      <c r="D720" t="s">
        <v>29</v>
      </c>
      <c r="E720">
        <v>10056809</v>
      </c>
      <c r="F720" t="s">
        <v>815</v>
      </c>
      <c r="G720" t="s">
        <v>43</v>
      </c>
      <c r="H720" t="s">
        <v>32</v>
      </c>
      <c r="I720" t="s">
        <v>588</v>
      </c>
      <c r="J720" t="s">
        <v>34</v>
      </c>
      <c r="K720" t="s">
        <v>35</v>
      </c>
      <c r="L720" t="s">
        <v>36</v>
      </c>
      <c r="M720" t="s">
        <v>117</v>
      </c>
      <c r="N720">
        <v>10</v>
      </c>
      <c r="O720">
        <v>6</v>
      </c>
      <c r="P720">
        <v>2</v>
      </c>
      <c r="Q720">
        <v>10</v>
      </c>
      <c r="R720" s="4">
        <v>10266.129999999999</v>
      </c>
      <c r="S720" t="str">
        <f t="shared" si="55"/>
        <v>PY: Media Crit.</v>
      </c>
      <c r="T720">
        <f t="shared" si="56"/>
        <v>0</v>
      </c>
      <c r="U720">
        <f t="shared" si="57"/>
        <v>0</v>
      </c>
      <c r="V720">
        <f t="shared" si="58"/>
        <v>1</v>
      </c>
      <c r="W720">
        <f t="shared" si="59"/>
        <v>0</v>
      </c>
      <c r="X720">
        <v>1</v>
      </c>
      <c r="Y720" s="2">
        <v>45768</v>
      </c>
      <c r="Z720" s="3" t="s">
        <v>118</v>
      </c>
      <c r="AA720" t="s">
        <v>39</v>
      </c>
      <c r="AB720" t="s">
        <v>40</v>
      </c>
      <c r="AC720" t="s">
        <v>40</v>
      </c>
      <c r="AD720" t="s">
        <v>589</v>
      </c>
    </row>
    <row r="721" spans="2:30">
      <c r="B721">
        <v>5</v>
      </c>
      <c r="C721">
        <v>1020</v>
      </c>
      <c r="D721" t="s">
        <v>29</v>
      </c>
      <c r="E721">
        <v>14088718</v>
      </c>
      <c r="F721" t="s">
        <v>816</v>
      </c>
      <c r="G721" t="s">
        <v>43</v>
      </c>
      <c r="H721" t="s">
        <v>32</v>
      </c>
      <c r="I721" t="s">
        <v>588</v>
      </c>
      <c r="J721" t="s">
        <v>45</v>
      </c>
      <c r="K721" t="s">
        <v>35</v>
      </c>
      <c r="L721" t="s">
        <v>36</v>
      </c>
      <c r="M721" t="s">
        <v>37</v>
      </c>
      <c r="N721">
        <v>10</v>
      </c>
      <c r="O721">
        <v>5</v>
      </c>
      <c r="P721">
        <v>3</v>
      </c>
      <c r="Q721">
        <v>10</v>
      </c>
      <c r="R721" s="4">
        <v>5445.58</v>
      </c>
      <c r="S721" t="str">
        <f t="shared" si="55"/>
        <v>PY: Media Crit.</v>
      </c>
      <c r="T721">
        <f t="shared" si="56"/>
        <v>0</v>
      </c>
      <c r="U721">
        <f t="shared" si="57"/>
        <v>0</v>
      </c>
      <c r="V721">
        <f t="shared" si="58"/>
        <v>1</v>
      </c>
      <c r="W721">
        <f t="shared" si="59"/>
        <v>0</v>
      </c>
      <c r="X721">
        <v>1</v>
      </c>
      <c r="Y721" s="2">
        <v>45768</v>
      </c>
      <c r="Z721" s="3" t="s">
        <v>38</v>
      </c>
      <c r="AA721" t="s">
        <v>39</v>
      </c>
      <c r="AB721" t="s">
        <v>40</v>
      </c>
      <c r="AC721" t="s">
        <v>40</v>
      </c>
      <c r="AD721" t="s">
        <v>589</v>
      </c>
    </row>
    <row r="722" spans="2:30">
      <c r="B722">
        <v>5</v>
      </c>
      <c r="C722">
        <v>1020</v>
      </c>
      <c r="D722" t="s">
        <v>29</v>
      </c>
      <c r="E722">
        <v>14129611</v>
      </c>
      <c r="F722" t="s">
        <v>817</v>
      </c>
      <c r="G722" t="s">
        <v>43</v>
      </c>
      <c r="H722" t="s">
        <v>32</v>
      </c>
      <c r="I722" t="s">
        <v>588</v>
      </c>
      <c r="J722" t="s">
        <v>45</v>
      </c>
      <c r="K722" t="s">
        <v>35</v>
      </c>
      <c r="L722" t="s">
        <v>36</v>
      </c>
      <c r="M722" t="s">
        <v>69</v>
      </c>
      <c r="N722">
        <v>12</v>
      </c>
      <c r="O722">
        <v>9</v>
      </c>
      <c r="P722">
        <v>1</v>
      </c>
      <c r="Q722">
        <v>6</v>
      </c>
      <c r="R722" s="4">
        <v>1486.73</v>
      </c>
      <c r="S722" t="str">
        <f t="shared" si="55"/>
        <v>PY: Media Crit.</v>
      </c>
      <c r="T722">
        <f t="shared" si="56"/>
        <v>0</v>
      </c>
      <c r="U722">
        <f t="shared" si="57"/>
        <v>0</v>
      </c>
      <c r="V722">
        <f t="shared" si="58"/>
        <v>1</v>
      </c>
      <c r="W722">
        <f t="shared" si="59"/>
        <v>0</v>
      </c>
      <c r="X722">
        <v>1</v>
      </c>
      <c r="Y722" s="2">
        <v>45768</v>
      </c>
      <c r="Z722" s="3" t="s">
        <v>70</v>
      </c>
      <c r="AA722" t="s">
        <v>39</v>
      </c>
      <c r="AB722" t="s">
        <v>49</v>
      </c>
      <c r="AC722" s="5" t="s">
        <v>50</v>
      </c>
      <c r="AD722" t="s">
        <v>589</v>
      </c>
    </row>
    <row r="723" spans="2:30">
      <c r="B723">
        <v>5</v>
      </c>
      <c r="C723">
        <v>1020</v>
      </c>
      <c r="D723" t="s">
        <v>29</v>
      </c>
      <c r="E723">
        <v>14214673</v>
      </c>
      <c r="F723" t="s">
        <v>818</v>
      </c>
      <c r="G723" t="s">
        <v>31</v>
      </c>
      <c r="H723" t="s">
        <v>44</v>
      </c>
      <c r="I723" t="s">
        <v>588</v>
      </c>
      <c r="J723" t="s">
        <v>45</v>
      </c>
      <c r="K723" t="s">
        <v>35</v>
      </c>
      <c r="L723" t="s">
        <v>36</v>
      </c>
      <c r="M723" t="s">
        <v>69</v>
      </c>
      <c r="N723">
        <v>5</v>
      </c>
      <c r="O723">
        <v>3</v>
      </c>
      <c r="P723">
        <v>3</v>
      </c>
      <c r="Q723">
        <v>0</v>
      </c>
      <c r="R723">
        <v>0</v>
      </c>
      <c r="S723" t="str">
        <f t="shared" si="55"/>
        <v>PX: Baja Crit.</v>
      </c>
      <c r="T723">
        <f t="shared" si="56"/>
        <v>1</v>
      </c>
      <c r="U723">
        <f t="shared" si="57"/>
        <v>0</v>
      </c>
      <c r="V723">
        <f t="shared" si="58"/>
        <v>0</v>
      </c>
      <c r="W723">
        <f t="shared" si="59"/>
        <v>0</v>
      </c>
      <c r="X723">
        <v>1</v>
      </c>
      <c r="Y723" s="2">
        <v>45768</v>
      </c>
      <c r="Z723" s="3" t="s">
        <v>70</v>
      </c>
      <c r="AA723" t="s">
        <v>39</v>
      </c>
      <c r="AB723" t="s">
        <v>76</v>
      </c>
      <c r="AC723" s="5" t="s">
        <v>77</v>
      </c>
      <c r="AD723" t="s">
        <v>589</v>
      </c>
    </row>
    <row r="724" spans="2:30">
      <c r="B724">
        <v>5</v>
      </c>
      <c r="C724">
        <v>1020</v>
      </c>
      <c r="D724" t="s">
        <v>29</v>
      </c>
      <c r="E724">
        <v>10048802</v>
      </c>
      <c r="F724" t="s">
        <v>819</v>
      </c>
      <c r="G724" t="s">
        <v>52</v>
      </c>
      <c r="H724" t="s">
        <v>44</v>
      </c>
      <c r="I724" t="s">
        <v>588</v>
      </c>
      <c r="J724" t="s">
        <v>45</v>
      </c>
      <c r="K724" t="s">
        <v>35</v>
      </c>
      <c r="L724" t="s">
        <v>36</v>
      </c>
      <c r="M724" t="s">
        <v>69</v>
      </c>
      <c r="N724">
        <v>64</v>
      </c>
      <c r="O724">
        <v>48</v>
      </c>
      <c r="P724">
        <v>22</v>
      </c>
      <c r="Q724">
        <v>43</v>
      </c>
      <c r="R724" s="4">
        <v>33223.14</v>
      </c>
      <c r="S724" t="str">
        <f t="shared" si="55"/>
        <v>PZ: Alta Crit.</v>
      </c>
      <c r="T724">
        <f t="shared" si="56"/>
        <v>0</v>
      </c>
      <c r="U724">
        <f t="shared" si="57"/>
        <v>0</v>
      </c>
      <c r="V724">
        <f t="shared" si="58"/>
        <v>1</v>
      </c>
      <c r="W724">
        <f t="shared" si="59"/>
        <v>0</v>
      </c>
      <c r="X724">
        <v>1</v>
      </c>
      <c r="Y724" s="2">
        <v>45768</v>
      </c>
      <c r="Z724" s="3" t="s">
        <v>70</v>
      </c>
      <c r="AA724" t="s">
        <v>39</v>
      </c>
      <c r="AB724" t="s">
        <v>49</v>
      </c>
      <c r="AC724" s="5" t="s">
        <v>50</v>
      </c>
      <c r="AD724" t="s">
        <v>589</v>
      </c>
    </row>
    <row r="725" spans="2:30">
      <c r="B725">
        <v>5</v>
      </c>
      <c r="C725">
        <v>1020</v>
      </c>
      <c r="D725" t="s">
        <v>29</v>
      </c>
      <c r="E725">
        <v>14041032</v>
      </c>
      <c r="F725" t="s">
        <v>820</v>
      </c>
      <c r="G725" t="s">
        <v>43</v>
      </c>
      <c r="H725" t="s">
        <v>32</v>
      </c>
      <c r="I725" t="s">
        <v>588</v>
      </c>
      <c r="J725" t="s">
        <v>34</v>
      </c>
      <c r="K725" t="s">
        <v>35</v>
      </c>
      <c r="L725" t="s">
        <v>36</v>
      </c>
      <c r="M725" t="s">
        <v>117</v>
      </c>
      <c r="N725">
        <v>60</v>
      </c>
      <c r="O725">
        <v>41</v>
      </c>
      <c r="P725">
        <v>10</v>
      </c>
      <c r="Q725">
        <v>60</v>
      </c>
      <c r="R725" s="4">
        <v>1831.93</v>
      </c>
      <c r="S725" t="str">
        <f t="shared" si="55"/>
        <v>PY: Media Crit.</v>
      </c>
      <c r="T725">
        <f t="shared" si="56"/>
        <v>0</v>
      </c>
      <c r="U725">
        <f t="shared" si="57"/>
        <v>0</v>
      </c>
      <c r="V725">
        <f t="shared" si="58"/>
        <v>1</v>
      </c>
      <c r="W725">
        <f t="shared" si="59"/>
        <v>0</v>
      </c>
      <c r="X725">
        <v>1</v>
      </c>
      <c r="Y725" s="2">
        <v>45768</v>
      </c>
      <c r="Z725" s="3" t="s">
        <v>118</v>
      </c>
      <c r="AA725" t="s">
        <v>39</v>
      </c>
      <c r="AB725" t="s">
        <v>40</v>
      </c>
      <c r="AC725" t="s">
        <v>40</v>
      </c>
      <c r="AD725" t="s">
        <v>589</v>
      </c>
    </row>
    <row r="726" spans="2:30">
      <c r="B726">
        <v>5</v>
      </c>
      <c r="C726">
        <v>1020</v>
      </c>
      <c r="D726" t="s">
        <v>29</v>
      </c>
      <c r="E726">
        <v>10041115</v>
      </c>
      <c r="F726" t="s">
        <v>821</v>
      </c>
      <c r="G726" t="s">
        <v>31</v>
      </c>
      <c r="H726" t="s">
        <v>60</v>
      </c>
      <c r="I726" t="s">
        <v>588</v>
      </c>
      <c r="J726" t="s">
        <v>45</v>
      </c>
      <c r="K726" t="s">
        <v>35</v>
      </c>
      <c r="L726" t="s">
        <v>36</v>
      </c>
      <c r="M726" t="s">
        <v>37</v>
      </c>
      <c r="N726">
        <v>4</v>
      </c>
      <c r="O726">
        <v>3</v>
      </c>
      <c r="P726">
        <v>1</v>
      </c>
      <c r="Q726">
        <v>4</v>
      </c>
      <c r="R726" s="4">
        <v>2409.2600000000002</v>
      </c>
      <c r="S726" t="str">
        <f t="shared" si="55"/>
        <v>PX: Baja Crit.</v>
      </c>
      <c r="T726">
        <f t="shared" si="56"/>
        <v>0</v>
      </c>
      <c r="U726">
        <f t="shared" si="57"/>
        <v>0</v>
      </c>
      <c r="V726">
        <f t="shared" si="58"/>
        <v>1</v>
      </c>
      <c r="W726">
        <f t="shared" si="59"/>
        <v>0</v>
      </c>
      <c r="X726">
        <v>1</v>
      </c>
      <c r="Y726" s="2">
        <v>45768</v>
      </c>
      <c r="Z726" s="3" t="s">
        <v>38</v>
      </c>
      <c r="AA726" t="s">
        <v>39</v>
      </c>
      <c r="AB726" t="s">
        <v>40</v>
      </c>
      <c r="AC726" t="s">
        <v>40</v>
      </c>
      <c r="AD726" t="s">
        <v>589</v>
      </c>
    </row>
    <row r="727" spans="2:30">
      <c r="B727">
        <v>5</v>
      </c>
      <c r="C727">
        <v>1020</v>
      </c>
      <c r="D727" t="s">
        <v>172</v>
      </c>
      <c r="E727">
        <v>10041680</v>
      </c>
      <c r="F727" t="s">
        <v>822</v>
      </c>
      <c r="G727" t="s">
        <v>52</v>
      </c>
      <c r="H727" t="s">
        <v>32</v>
      </c>
      <c r="I727" t="s">
        <v>584</v>
      </c>
      <c r="J727" t="s">
        <v>45</v>
      </c>
      <c r="K727" t="s">
        <v>35</v>
      </c>
      <c r="L727" t="s">
        <v>175</v>
      </c>
      <c r="M727" t="s">
        <v>117</v>
      </c>
      <c r="N727">
        <v>0</v>
      </c>
      <c r="O727">
        <v>0</v>
      </c>
      <c r="P727">
        <v>0</v>
      </c>
      <c r="Q727">
        <v>8</v>
      </c>
      <c r="R727" s="4">
        <v>174423.48</v>
      </c>
      <c r="S727" t="str">
        <f t="shared" si="55"/>
        <v>PZ: Alta Crit.</v>
      </c>
      <c r="T727">
        <f t="shared" si="56"/>
        <v>0</v>
      </c>
      <c r="U727">
        <f t="shared" si="57"/>
        <v>0</v>
      </c>
      <c r="V727">
        <f t="shared" si="58"/>
        <v>0</v>
      </c>
      <c r="W727">
        <f t="shared" si="59"/>
        <v>1</v>
      </c>
      <c r="X727">
        <v>1</v>
      </c>
      <c r="Y727" s="2">
        <v>45768</v>
      </c>
      <c r="Z727" s="3" t="s">
        <v>118</v>
      </c>
      <c r="AA727" t="s">
        <v>39</v>
      </c>
      <c r="AB727" t="s">
        <v>76</v>
      </c>
      <c r="AC727" s="5" t="s">
        <v>77</v>
      </c>
      <c r="AD727" t="s">
        <v>585</v>
      </c>
    </row>
    <row r="728" spans="2:30">
      <c r="B728">
        <v>5</v>
      </c>
      <c r="C728">
        <v>1020</v>
      </c>
      <c r="D728" t="s">
        <v>29</v>
      </c>
      <c r="E728">
        <v>10043056</v>
      </c>
      <c r="F728" t="s">
        <v>823</v>
      </c>
      <c r="G728" t="s">
        <v>43</v>
      </c>
      <c r="H728" t="s">
        <v>32</v>
      </c>
      <c r="I728" t="s">
        <v>588</v>
      </c>
      <c r="J728" t="s">
        <v>34</v>
      </c>
      <c r="K728" t="s">
        <v>80</v>
      </c>
      <c r="L728" t="s">
        <v>36</v>
      </c>
      <c r="M728" t="s">
        <v>37</v>
      </c>
      <c r="N728">
        <v>3</v>
      </c>
      <c r="O728">
        <v>2</v>
      </c>
      <c r="P728">
        <v>1</v>
      </c>
      <c r="Q728">
        <v>3</v>
      </c>
      <c r="R728">
        <v>233.31</v>
      </c>
      <c r="S728" t="str">
        <f t="shared" si="55"/>
        <v>PY: Media Crit.</v>
      </c>
      <c r="T728">
        <f t="shared" si="56"/>
        <v>0</v>
      </c>
      <c r="U728">
        <f t="shared" si="57"/>
        <v>0</v>
      </c>
      <c r="V728">
        <f t="shared" si="58"/>
        <v>1</v>
      </c>
      <c r="W728">
        <f t="shared" si="59"/>
        <v>0</v>
      </c>
      <c r="X728">
        <v>1</v>
      </c>
      <c r="Y728" s="2">
        <v>45768</v>
      </c>
      <c r="Z728" s="3" t="s">
        <v>38</v>
      </c>
      <c r="AA728" t="s">
        <v>39</v>
      </c>
      <c r="AB728" t="s">
        <v>40</v>
      </c>
      <c r="AC728" t="s">
        <v>40</v>
      </c>
      <c r="AD728" t="s">
        <v>589</v>
      </c>
    </row>
    <row r="729" spans="2:30">
      <c r="B729">
        <v>5</v>
      </c>
      <c r="C729">
        <v>1020</v>
      </c>
      <c r="D729" t="s">
        <v>29</v>
      </c>
      <c r="E729">
        <v>10043685</v>
      </c>
      <c r="F729" t="s">
        <v>824</v>
      </c>
      <c r="G729" t="s">
        <v>52</v>
      </c>
      <c r="H729" t="s">
        <v>44</v>
      </c>
      <c r="I729" t="s">
        <v>588</v>
      </c>
      <c r="J729" t="s">
        <v>45</v>
      </c>
      <c r="K729" t="s">
        <v>35</v>
      </c>
      <c r="L729" t="s">
        <v>36</v>
      </c>
      <c r="M729" t="s">
        <v>46</v>
      </c>
      <c r="N729">
        <v>15</v>
      </c>
      <c r="O729">
        <v>10</v>
      </c>
      <c r="P729">
        <v>9</v>
      </c>
      <c r="Q729">
        <v>12</v>
      </c>
      <c r="R729" s="4">
        <v>29606.22</v>
      </c>
      <c r="S729" t="str">
        <f t="shared" si="55"/>
        <v>PZ: Alta Crit.</v>
      </c>
      <c r="T729">
        <f t="shared" si="56"/>
        <v>0</v>
      </c>
      <c r="U729">
        <f t="shared" si="57"/>
        <v>0</v>
      </c>
      <c r="V729">
        <f t="shared" si="58"/>
        <v>1</v>
      </c>
      <c r="W729">
        <f t="shared" si="59"/>
        <v>0</v>
      </c>
      <c r="X729">
        <v>1</v>
      </c>
      <c r="Y729" s="2">
        <v>45768</v>
      </c>
      <c r="Z729" s="3" t="s">
        <v>47</v>
      </c>
      <c r="AA729" t="s">
        <v>39</v>
      </c>
      <c r="AB729" t="s">
        <v>40</v>
      </c>
      <c r="AC729" t="s">
        <v>40</v>
      </c>
      <c r="AD729" t="s">
        <v>589</v>
      </c>
    </row>
    <row r="730" spans="2:30">
      <c r="B730">
        <v>5</v>
      </c>
      <c r="C730">
        <v>1020</v>
      </c>
      <c r="D730" t="s">
        <v>29</v>
      </c>
      <c r="E730">
        <v>10045388</v>
      </c>
      <c r="F730" t="s">
        <v>825</v>
      </c>
      <c r="G730" t="s">
        <v>43</v>
      </c>
      <c r="H730" t="s">
        <v>32</v>
      </c>
      <c r="I730" t="s">
        <v>588</v>
      </c>
      <c r="J730" t="s">
        <v>34</v>
      </c>
      <c r="K730" t="s">
        <v>35</v>
      </c>
      <c r="L730" t="s">
        <v>36</v>
      </c>
      <c r="M730" t="s">
        <v>55</v>
      </c>
      <c r="N730">
        <v>100</v>
      </c>
      <c r="O730">
        <v>61</v>
      </c>
      <c r="P730">
        <v>20</v>
      </c>
      <c r="Q730">
        <v>100</v>
      </c>
      <c r="R730">
        <v>276.17</v>
      </c>
      <c r="S730" t="str">
        <f t="shared" si="55"/>
        <v>PY: Media Crit.</v>
      </c>
      <c r="T730">
        <f t="shared" si="56"/>
        <v>0</v>
      </c>
      <c r="U730">
        <f t="shared" si="57"/>
        <v>0</v>
      </c>
      <c r="V730">
        <f t="shared" si="58"/>
        <v>1</v>
      </c>
      <c r="W730">
        <f t="shared" si="59"/>
        <v>0</v>
      </c>
      <c r="X730">
        <v>1</v>
      </c>
      <c r="Y730" s="2">
        <v>45768</v>
      </c>
      <c r="Z730" s="3" t="s">
        <v>56</v>
      </c>
      <c r="AA730" t="s">
        <v>39</v>
      </c>
      <c r="AB730" t="s">
        <v>40</v>
      </c>
      <c r="AC730" t="s">
        <v>40</v>
      </c>
      <c r="AD730" t="s">
        <v>589</v>
      </c>
    </row>
    <row r="731" spans="2:30">
      <c r="B731">
        <v>5</v>
      </c>
      <c r="C731">
        <v>1020</v>
      </c>
      <c r="D731" t="s">
        <v>29</v>
      </c>
      <c r="E731">
        <v>10057027</v>
      </c>
      <c r="F731" t="s">
        <v>826</v>
      </c>
      <c r="G731" t="s">
        <v>52</v>
      </c>
      <c r="H731" t="s">
        <v>44</v>
      </c>
      <c r="I731" t="s">
        <v>588</v>
      </c>
      <c r="J731" t="s">
        <v>45</v>
      </c>
      <c r="K731" t="s">
        <v>35</v>
      </c>
      <c r="L731" t="s">
        <v>36</v>
      </c>
      <c r="M731" t="s">
        <v>117</v>
      </c>
      <c r="N731">
        <v>6</v>
      </c>
      <c r="O731">
        <v>4</v>
      </c>
      <c r="P731">
        <v>2</v>
      </c>
      <c r="Q731">
        <v>5</v>
      </c>
      <c r="R731" s="4">
        <v>26558.65</v>
      </c>
      <c r="S731" t="str">
        <f t="shared" si="55"/>
        <v>PZ: Alta Crit.</v>
      </c>
      <c r="T731">
        <f t="shared" si="56"/>
        <v>0</v>
      </c>
      <c r="U731">
        <f t="shared" si="57"/>
        <v>0</v>
      </c>
      <c r="V731">
        <f t="shared" si="58"/>
        <v>1</v>
      </c>
      <c r="W731">
        <f t="shared" si="59"/>
        <v>0</v>
      </c>
      <c r="X731">
        <v>1</v>
      </c>
      <c r="Y731" s="2">
        <v>45768</v>
      </c>
      <c r="Z731" s="3" t="s">
        <v>118</v>
      </c>
      <c r="AA731" t="s">
        <v>39</v>
      </c>
      <c r="AB731" t="s">
        <v>40</v>
      </c>
      <c r="AC731" t="s">
        <v>40</v>
      </c>
      <c r="AD731" t="s">
        <v>589</v>
      </c>
    </row>
    <row r="732" spans="2:30">
      <c r="B732">
        <v>5</v>
      </c>
      <c r="C732">
        <v>1020</v>
      </c>
      <c r="D732" t="s">
        <v>29</v>
      </c>
      <c r="E732">
        <v>10057028</v>
      </c>
      <c r="F732" t="s">
        <v>827</v>
      </c>
      <c r="G732" t="s">
        <v>52</v>
      </c>
      <c r="H732" t="s">
        <v>44</v>
      </c>
      <c r="I732" t="s">
        <v>588</v>
      </c>
      <c r="J732" t="s">
        <v>45</v>
      </c>
      <c r="K732" t="s">
        <v>35</v>
      </c>
      <c r="L732" t="s">
        <v>36</v>
      </c>
      <c r="M732" t="s">
        <v>117</v>
      </c>
      <c r="N732">
        <v>7</v>
      </c>
      <c r="O732">
        <v>5</v>
      </c>
      <c r="P732">
        <v>2</v>
      </c>
      <c r="Q732">
        <v>6</v>
      </c>
      <c r="R732" s="4">
        <v>30428.11</v>
      </c>
      <c r="S732" t="str">
        <f t="shared" si="55"/>
        <v>PZ: Alta Crit.</v>
      </c>
      <c r="T732">
        <f t="shared" si="56"/>
        <v>0</v>
      </c>
      <c r="U732">
        <f t="shared" si="57"/>
        <v>0</v>
      </c>
      <c r="V732">
        <f t="shared" si="58"/>
        <v>1</v>
      </c>
      <c r="W732">
        <f t="shared" si="59"/>
        <v>0</v>
      </c>
      <c r="X732">
        <v>1</v>
      </c>
      <c r="Y732" s="2">
        <v>45768</v>
      </c>
      <c r="Z732" s="3" t="s">
        <v>118</v>
      </c>
      <c r="AA732" t="s">
        <v>39</v>
      </c>
      <c r="AB732" t="s">
        <v>40</v>
      </c>
      <c r="AC732" t="s">
        <v>40</v>
      </c>
      <c r="AD732" t="s">
        <v>589</v>
      </c>
    </row>
    <row r="733" spans="2:30">
      <c r="B733">
        <v>5</v>
      </c>
      <c r="C733">
        <v>1020</v>
      </c>
      <c r="D733" t="s">
        <v>388</v>
      </c>
      <c r="E733">
        <v>10080248</v>
      </c>
      <c r="F733" t="s">
        <v>828</v>
      </c>
      <c r="G733" t="s">
        <v>52</v>
      </c>
      <c r="H733" t="s">
        <v>32</v>
      </c>
      <c r="I733" t="s">
        <v>390</v>
      </c>
      <c r="J733" t="s">
        <v>45</v>
      </c>
      <c r="K733" t="s">
        <v>35</v>
      </c>
      <c r="L733" t="s">
        <v>175</v>
      </c>
      <c r="M733" t="s">
        <v>69</v>
      </c>
      <c r="N733">
        <v>0</v>
      </c>
      <c r="O733">
        <v>0</v>
      </c>
      <c r="P733">
        <v>2</v>
      </c>
      <c r="Q733">
        <v>3</v>
      </c>
      <c r="R733" s="4">
        <v>3164.39</v>
      </c>
      <c r="S733" t="str">
        <f t="shared" si="55"/>
        <v>PZ: Alta Crit.</v>
      </c>
      <c r="T733">
        <f t="shared" si="56"/>
        <v>0</v>
      </c>
      <c r="U733">
        <f t="shared" si="57"/>
        <v>0</v>
      </c>
      <c r="V733">
        <f t="shared" si="58"/>
        <v>0</v>
      </c>
      <c r="W733">
        <f t="shared" si="59"/>
        <v>1</v>
      </c>
      <c r="X733">
        <v>1</v>
      </c>
      <c r="Y733" s="2">
        <v>45768</v>
      </c>
      <c r="Z733" s="3" t="s">
        <v>70</v>
      </c>
      <c r="AA733" t="s">
        <v>39</v>
      </c>
      <c r="AB733" t="s">
        <v>40</v>
      </c>
      <c r="AC733" t="s">
        <v>40</v>
      </c>
      <c r="AD733" t="s">
        <v>391</v>
      </c>
    </row>
    <row r="734" spans="2:30">
      <c r="B734">
        <v>5</v>
      </c>
      <c r="C734">
        <v>1020</v>
      </c>
      <c r="D734" t="s">
        <v>29</v>
      </c>
      <c r="E734">
        <v>10292978</v>
      </c>
      <c r="F734" t="s">
        <v>829</v>
      </c>
      <c r="G734" t="s">
        <v>43</v>
      </c>
      <c r="H734" t="s">
        <v>32</v>
      </c>
      <c r="I734" t="s">
        <v>588</v>
      </c>
      <c r="J734" t="s">
        <v>45</v>
      </c>
      <c r="K734" t="s">
        <v>35</v>
      </c>
      <c r="L734" t="s">
        <v>36</v>
      </c>
      <c r="M734" t="s">
        <v>46</v>
      </c>
      <c r="N734">
        <v>2</v>
      </c>
      <c r="O734">
        <v>2</v>
      </c>
      <c r="P734">
        <v>1</v>
      </c>
      <c r="Q734">
        <v>2</v>
      </c>
      <c r="R734">
        <v>707.74</v>
      </c>
      <c r="S734" t="str">
        <f t="shared" si="55"/>
        <v>PY: Media Crit.</v>
      </c>
      <c r="T734">
        <f t="shared" si="56"/>
        <v>0</v>
      </c>
      <c r="U734">
        <f t="shared" si="57"/>
        <v>0</v>
      </c>
      <c r="V734">
        <f t="shared" si="58"/>
        <v>1</v>
      </c>
      <c r="W734">
        <f t="shared" si="59"/>
        <v>0</v>
      </c>
      <c r="X734">
        <v>1</v>
      </c>
      <c r="Y734" s="2">
        <v>45768</v>
      </c>
      <c r="Z734" s="3" t="s">
        <v>47</v>
      </c>
      <c r="AA734" t="s">
        <v>39</v>
      </c>
      <c r="AB734" t="s">
        <v>40</v>
      </c>
      <c r="AC734" t="s">
        <v>40</v>
      </c>
      <c r="AD734" t="s">
        <v>589</v>
      </c>
    </row>
    <row r="735" spans="2:30">
      <c r="B735">
        <v>5</v>
      </c>
      <c r="C735">
        <v>1020</v>
      </c>
      <c r="D735" t="s">
        <v>29</v>
      </c>
      <c r="E735">
        <v>10293286</v>
      </c>
      <c r="F735" t="s">
        <v>830</v>
      </c>
      <c r="G735" t="s">
        <v>43</v>
      </c>
      <c r="H735" t="s">
        <v>44</v>
      </c>
      <c r="I735" t="s">
        <v>588</v>
      </c>
      <c r="J735" t="s">
        <v>45</v>
      </c>
      <c r="K735" t="s">
        <v>80</v>
      </c>
      <c r="L735" t="s">
        <v>36</v>
      </c>
      <c r="M735" t="s">
        <v>37</v>
      </c>
      <c r="N735">
        <v>10</v>
      </c>
      <c r="O735">
        <v>6</v>
      </c>
      <c r="P735">
        <v>5</v>
      </c>
      <c r="Q735">
        <v>10</v>
      </c>
      <c r="R735" s="4">
        <v>8192.2099999999991</v>
      </c>
      <c r="S735" t="str">
        <f t="shared" si="55"/>
        <v>PY: Media Crit.</v>
      </c>
      <c r="T735">
        <f t="shared" si="56"/>
        <v>0</v>
      </c>
      <c r="U735">
        <f t="shared" si="57"/>
        <v>0</v>
      </c>
      <c r="V735">
        <f t="shared" si="58"/>
        <v>1</v>
      </c>
      <c r="W735">
        <f t="shared" si="59"/>
        <v>0</v>
      </c>
      <c r="X735">
        <v>1</v>
      </c>
      <c r="Y735" s="2">
        <v>45768</v>
      </c>
      <c r="Z735" s="3" t="s">
        <v>38</v>
      </c>
      <c r="AA735" t="s">
        <v>39</v>
      </c>
      <c r="AB735" t="s">
        <v>40</v>
      </c>
      <c r="AC735" t="s">
        <v>40</v>
      </c>
      <c r="AD735" t="s">
        <v>589</v>
      </c>
    </row>
    <row r="736" spans="2:30">
      <c r="B736">
        <v>5</v>
      </c>
      <c r="C736">
        <v>1020</v>
      </c>
      <c r="D736" t="s">
        <v>388</v>
      </c>
      <c r="E736">
        <v>14032486</v>
      </c>
      <c r="F736" t="s">
        <v>831</v>
      </c>
      <c r="G736" t="s">
        <v>31</v>
      </c>
      <c r="H736" t="s">
        <v>32</v>
      </c>
      <c r="I736" t="s">
        <v>390</v>
      </c>
      <c r="J736" t="s">
        <v>45</v>
      </c>
      <c r="K736" t="s">
        <v>35</v>
      </c>
      <c r="L736" t="s">
        <v>175</v>
      </c>
      <c r="M736" t="s">
        <v>46</v>
      </c>
      <c r="N736">
        <v>0</v>
      </c>
      <c r="O736">
        <v>0</v>
      </c>
      <c r="P736">
        <v>36</v>
      </c>
      <c r="Q736">
        <v>36</v>
      </c>
      <c r="R736" s="4">
        <v>5325.91</v>
      </c>
      <c r="S736" t="str">
        <f t="shared" si="55"/>
        <v>PX: Baja Crit.</v>
      </c>
      <c r="T736">
        <f t="shared" si="56"/>
        <v>0</v>
      </c>
      <c r="U736">
        <f t="shared" si="57"/>
        <v>1</v>
      </c>
      <c r="V736">
        <f t="shared" si="58"/>
        <v>0</v>
      </c>
      <c r="W736">
        <f t="shared" si="59"/>
        <v>1</v>
      </c>
      <c r="X736">
        <v>1</v>
      </c>
      <c r="Y736" s="2">
        <v>45768</v>
      </c>
      <c r="Z736" s="3" t="s">
        <v>47</v>
      </c>
      <c r="AA736" t="s">
        <v>39</v>
      </c>
      <c r="AB736" t="s">
        <v>40</v>
      </c>
      <c r="AC736" t="s">
        <v>40</v>
      </c>
      <c r="AD736" t="s">
        <v>391</v>
      </c>
    </row>
    <row r="737" spans="2:30">
      <c r="B737">
        <v>5</v>
      </c>
      <c r="C737">
        <v>1020</v>
      </c>
      <c r="D737" t="s">
        <v>388</v>
      </c>
      <c r="E737">
        <v>14032703</v>
      </c>
      <c r="F737" t="s">
        <v>832</v>
      </c>
      <c r="G737" t="s">
        <v>31</v>
      </c>
      <c r="H737" t="s">
        <v>44</v>
      </c>
      <c r="I737" t="s">
        <v>390</v>
      </c>
      <c r="J737" t="s">
        <v>45</v>
      </c>
      <c r="K737" t="s">
        <v>35</v>
      </c>
      <c r="L737" t="s">
        <v>175</v>
      </c>
      <c r="M737" t="s">
        <v>117</v>
      </c>
      <c r="N737">
        <v>0</v>
      </c>
      <c r="O737">
        <v>0</v>
      </c>
      <c r="P737">
        <v>4</v>
      </c>
      <c r="Q737">
        <v>0</v>
      </c>
      <c r="R737">
        <v>0</v>
      </c>
      <c r="S737" t="str">
        <f t="shared" si="55"/>
        <v>PX: Baja Crit.</v>
      </c>
      <c r="T737">
        <f t="shared" si="56"/>
        <v>1</v>
      </c>
      <c r="U737">
        <f t="shared" si="57"/>
        <v>0</v>
      </c>
      <c r="V737">
        <f t="shared" si="58"/>
        <v>0</v>
      </c>
      <c r="W737">
        <f t="shared" si="59"/>
        <v>0</v>
      </c>
      <c r="X737">
        <v>1</v>
      </c>
      <c r="Y737" s="2">
        <v>45768</v>
      </c>
      <c r="Z737" s="3" t="s">
        <v>118</v>
      </c>
      <c r="AA737" t="s">
        <v>39</v>
      </c>
      <c r="AB737" t="s">
        <v>76</v>
      </c>
      <c r="AC737" s="5" t="s">
        <v>77</v>
      </c>
      <c r="AD737" t="s">
        <v>391</v>
      </c>
    </row>
    <row r="738" spans="2:30">
      <c r="B738">
        <v>5</v>
      </c>
      <c r="C738">
        <v>1020</v>
      </c>
      <c r="D738" t="s">
        <v>29</v>
      </c>
      <c r="E738">
        <v>14041761</v>
      </c>
      <c r="F738" t="s">
        <v>833</v>
      </c>
      <c r="G738" t="s">
        <v>43</v>
      </c>
      <c r="H738" t="s">
        <v>32</v>
      </c>
      <c r="I738" t="s">
        <v>588</v>
      </c>
      <c r="J738" t="s">
        <v>45</v>
      </c>
      <c r="K738" t="s">
        <v>35</v>
      </c>
      <c r="L738" t="s">
        <v>36</v>
      </c>
      <c r="M738" t="s">
        <v>117</v>
      </c>
      <c r="N738">
        <v>15</v>
      </c>
      <c r="O738">
        <v>10</v>
      </c>
      <c r="P738">
        <v>2</v>
      </c>
      <c r="Q738">
        <v>5</v>
      </c>
      <c r="R738">
        <v>676.61</v>
      </c>
      <c r="S738" t="str">
        <f t="shared" si="55"/>
        <v>PY: Media Crit.</v>
      </c>
      <c r="T738">
        <f t="shared" si="56"/>
        <v>0</v>
      </c>
      <c r="U738">
        <f t="shared" si="57"/>
        <v>0</v>
      </c>
      <c r="V738">
        <f t="shared" si="58"/>
        <v>1</v>
      </c>
      <c r="W738">
        <f t="shared" si="59"/>
        <v>0</v>
      </c>
      <c r="X738">
        <v>1</v>
      </c>
      <c r="Y738" s="2">
        <v>45768</v>
      </c>
      <c r="Z738" s="3" t="s">
        <v>118</v>
      </c>
      <c r="AA738" t="s">
        <v>39</v>
      </c>
      <c r="AB738" t="s">
        <v>49</v>
      </c>
      <c r="AC738" s="5" t="s">
        <v>50</v>
      </c>
      <c r="AD738" t="s">
        <v>589</v>
      </c>
    </row>
    <row r="739" spans="2:30">
      <c r="B739">
        <v>5</v>
      </c>
      <c r="C739">
        <v>1020</v>
      </c>
      <c r="D739" t="s">
        <v>388</v>
      </c>
      <c r="E739">
        <v>14065524</v>
      </c>
      <c r="F739" t="s">
        <v>834</v>
      </c>
      <c r="G739" t="s">
        <v>43</v>
      </c>
      <c r="H739" t="s">
        <v>60</v>
      </c>
      <c r="I739" t="s">
        <v>390</v>
      </c>
      <c r="J739" t="s">
        <v>45</v>
      </c>
      <c r="K739" t="s">
        <v>35</v>
      </c>
      <c r="L739" t="s">
        <v>175</v>
      </c>
      <c r="M739" t="s">
        <v>69</v>
      </c>
      <c r="N739">
        <v>0</v>
      </c>
      <c r="O739">
        <v>0</v>
      </c>
      <c r="P739">
        <v>2</v>
      </c>
      <c r="Q739">
        <v>2</v>
      </c>
      <c r="R739" s="4">
        <v>3220.46</v>
      </c>
      <c r="S739" t="str">
        <f t="shared" si="55"/>
        <v>PY: Media Crit.</v>
      </c>
      <c r="T739">
        <f t="shared" si="56"/>
        <v>0</v>
      </c>
      <c r="U739">
        <f t="shared" si="57"/>
        <v>1</v>
      </c>
      <c r="V739">
        <f t="shared" si="58"/>
        <v>0</v>
      </c>
      <c r="W739">
        <f t="shared" si="59"/>
        <v>1</v>
      </c>
      <c r="X739">
        <v>1</v>
      </c>
      <c r="Y739" s="2">
        <v>45768</v>
      </c>
      <c r="Z739" s="3" t="s">
        <v>70</v>
      </c>
      <c r="AA739" t="s">
        <v>39</v>
      </c>
      <c r="AB739" t="s">
        <v>40</v>
      </c>
      <c r="AC739" t="s">
        <v>40</v>
      </c>
      <c r="AD739" t="s">
        <v>391</v>
      </c>
    </row>
    <row r="740" spans="2:30">
      <c r="B740">
        <v>5</v>
      </c>
      <c r="C740">
        <v>1020</v>
      </c>
      <c r="D740" t="s">
        <v>388</v>
      </c>
      <c r="E740">
        <v>14212294</v>
      </c>
      <c r="F740" t="s">
        <v>835</v>
      </c>
      <c r="G740" t="s">
        <v>31</v>
      </c>
      <c r="H740" t="s">
        <v>44</v>
      </c>
      <c r="I740" t="s">
        <v>390</v>
      </c>
      <c r="J740" t="s">
        <v>45</v>
      </c>
      <c r="K740" t="s">
        <v>35</v>
      </c>
      <c r="L740" t="s">
        <v>175</v>
      </c>
      <c r="M740" t="s">
        <v>37</v>
      </c>
      <c r="N740">
        <v>0</v>
      </c>
      <c r="O740">
        <v>0</v>
      </c>
      <c r="P740">
        <v>3</v>
      </c>
      <c r="Q740">
        <v>2</v>
      </c>
      <c r="R740" s="4">
        <v>24468.06</v>
      </c>
      <c r="S740" t="str">
        <f t="shared" si="55"/>
        <v>PX: Baja Crit.</v>
      </c>
      <c r="T740">
        <f t="shared" si="56"/>
        <v>0</v>
      </c>
      <c r="U740">
        <f t="shared" si="57"/>
        <v>1</v>
      </c>
      <c r="V740">
        <f t="shared" si="58"/>
        <v>0</v>
      </c>
      <c r="W740">
        <f t="shared" si="59"/>
        <v>1</v>
      </c>
      <c r="X740">
        <v>1</v>
      </c>
      <c r="Y740" s="2">
        <v>45768</v>
      </c>
      <c r="Z740" s="3" t="s">
        <v>38</v>
      </c>
      <c r="AA740" t="s">
        <v>39</v>
      </c>
      <c r="AB740" t="s">
        <v>76</v>
      </c>
      <c r="AC740" s="5" t="s">
        <v>77</v>
      </c>
      <c r="AD740" t="s">
        <v>391</v>
      </c>
    </row>
    <row r="741" spans="2:30">
      <c r="B741">
        <v>5</v>
      </c>
      <c r="C741">
        <v>1020</v>
      </c>
      <c r="D741" t="s">
        <v>29</v>
      </c>
      <c r="E741">
        <v>14266601</v>
      </c>
      <c r="F741" t="s">
        <v>836</v>
      </c>
      <c r="G741" t="s">
        <v>31</v>
      </c>
      <c r="H741" t="s">
        <v>44</v>
      </c>
      <c r="I741" t="s">
        <v>588</v>
      </c>
      <c r="J741" t="s">
        <v>45</v>
      </c>
      <c r="K741" t="s">
        <v>35</v>
      </c>
      <c r="L741" t="s">
        <v>36</v>
      </c>
      <c r="M741" t="s">
        <v>37</v>
      </c>
      <c r="N741">
        <v>6</v>
      </c>
      <c r="O741">
        <v>4</v>
      </c>
      <c r="P741">
        <v>2</v>
      </c>
      <c r="Q741">
        <v>4</v>
      </c>
      <c r="R741" s="4">
        <v>6816.18</v>
      </c>
      <c r="S741" t="str">
        <f t="shared" si="55"/>
        <v>PX: Baja Crit.</v>
      </c>
      <c r="T741">
        <f t="shared" si="56"/>
        <v>0</v>
      </c>
      <c r="U741">
        <f t="shared" si="57"/>
        <v>0</v>
      </c>
      <c r="V741">
        <f t="shared" si="58"/>
        <v>1</v>
      </c>
      <c r="W741">
        <f t="shared" si="59"/>
        <v>0</v>
      </c>
      <c r="X741">
        <v>1</v>
      </c>
      <c r="Y741" s="2">
        <v>45768</v>
      </c>
      <c r="Z741" s="3" t="s">
        <v>38</v>
      </c>
      <c r="AA741" t="s">
        <v>39</v>
      </c>
      <c r="AB741" t="s">
        <v>40</v>
      </c>
      <c r="AC741" t="s">
        <v>40</v>
      </c>
      <c r="AD741" t="s">
        <v>589</v>
      </c>
    </row>
    <row r="742" spans="2:30">
      <c r="B742">
        <v>5</v>
      </c>
      <c r="C742">
        <v>1020</v>
      </c>
      <c r="D742" t="s">
        <v>181</v>
      </c>
      <c r="E742">
        <v>14298984</v>
      </c>
      <c r="F742" t="s">
        <v>837</v>
      </c>
      <c r="G742" t="s">
        <v>43</v>
      </c>
      <c r="H742" t="s">
        <v>44</v>
      </c>
      <c r="I742" t="s">
        <v>183</v>
      </c>
      <c r="J742" t="s">
        <v>45</v>
      </c>
      <c r="K742" t="s">
        <v>35</v>
      </c>
      <c r="L742" t="s">
        <v>36</v>
      </c>
      <c r="M742" t="s">
        <v>117</v>
      </c>
      <c r="N742">
        <v>12</v>
      </c>
      <c r="O742">
        <v>4</v>
      </c>
      <c r="P742">
        <v>0</v>
      </c>
      <c r="Q742">
        <v>6</v>
      </c>
      <c r="R742" s="4">
        <v>2603.7600000000002</v>
      </c>
      <c r="S742" t="str">
        <f t="shared" si="55"/>
        <v>PY: Media Crit.</v>
      </c>
      <c r="T742">
        <f t="shared" si="56"/>
        <v>0</v>
      </c>
      <c r="U742">
        <f t="shared" si="57"/>
        <v>0</v>
      </c>
      <c r="V742">
        <f t="shared" si="58"/>
        <v>1</v>
      </c>
      <c r="W742">
        <f t="shared" si="59"/>
        <v>0</v>
      </c>
      <c r="X742">
        <v>1</v>
      </c>
      <c r="Y742" s="2">
        <v>45768</v>
      </c>
      <c r="Z742" s="3" t="s">
        <v>118</v>
      </c>
      <c r="AA742" t="s">
        <v>39</v>
      </c>
      <c r="AB742" t="s">
        <v>40</v>
      </c>
      <c r="AC742" t="s">
        <v>40</v>
      </c>
      <c r="AD742" t="s">
        <v>184</v>
      </c>
    </row>
    <row r="743" spans="2:30">
      <c r="B743">
        <v>5</v>
      </c>
      <c r="C743">
        <v>1020</v>
      </c>
      <c r="D743" t="s">
        <v>181</v>
      </c>
      <c r="E743">
        <v>14298987</v>
      </c>
      <c r="F743" t="s">
        <v>838</v>
      </c>
      <c r="G743" t="s">
        <v>43</v>
      </c>
      <c r="H743" t="s">
        <v>60</v>
      </c>
      <c r="I743" t="s">
        <v>183</v>
      </c>
      <c r="J743" t="s">
        <v>45</v>
      </c>
      <c r="K743" t="s">
        <v>35</v>
      </c>
      <c r="L743" t="s">
        <v>36</v>
      </c>
      <c r="M743" t="s">
        <v>117</v>
      </c>
      <c r="N743">
        <v>12</v>
      </c>
      <c r="O743">
        <v>4</v>
      </c>
      <c r="P743">
        <v>0</v>
      </c>
      <c r="Q743">
        <v>12</v>
      </c>
      <c r="R743" s="4">
        <v>3567.49</v>
      </c>
      <c r="S743" t="str">
        <f t="shared" si="55"/>
        <v>PY: Media Crit.</v>
      </c>
      <c r="T743">
        <f t="shared" si="56"/>
        <v>0</v>
      </c>
      <c r="U743">
        <f t="shared" si="57"/>
        <v>0</v>
      </c>
      <c r="V743">
        <f t="shared" si="58"/>
        <v>1</v>
      </c>
      <c r="W743">
        <f t="shared" si="59"/>
        <v>0</v>
      </c>
      <c r="X743">
        <v>1</v>
      </c>
      <c r="Y743" s="2">
        <v>45768</v>
      </c>
      <c r="Z743" s="3" t="s">
        <v>118</v>
      </c>
      <c r="AA743" t="s">
        <v>39</v>
      </c>
      <c r="AB743" t="s">
        <v>40</v>
      </c>
      <c r="AC743" t="s">
        <v>40</v>
      </c>
      <c r="AD743" t="s">
        <v>184</v>
      </c>
    </row>
    <row r="744" spans="2:30">
      <c r="B744">
        <v>5</v>
      </c>
      <c r="C744">
        <v>1020</v>
      </c>
      <c r="D744" t="s">
        <v>181</v>
      </c>
      <c r="E744">
        <v>14298988</v>
      </c>
      <c r="F744" t="s">
        <v>839</v>
      </c>
      <c r="G744" t="s">
        <v>43</v>
      </c>
      <c r="H744" t="s">
        <v>60</v>
      </c>
      <c r="I744" t="s">
        <v>183</v>
      </c>
      <c r="J744" t="s">
        <v>45</v>
      </c>
      <c r="K744" t="s">
        <v>35</v>
      </c>
      <c r="L744" t="s">
        <v>36</v>
      </c>
      <c r="M744" t="s">
        <v>117</v>
      </c>
      <c r="N744">
        <v>12</v>
      </c>
      <c r="O744">
        <v>4</v>
      </c>
      <c r="P744">
        <v>0</v>
      </c>
      <c r="Q744">
        <v>5</v>
      </c>
      <c r="R744" s="4">
        <v>1292.47</v>
      </c>
      <c r="S744" t="str">
        <f t="shared" si="55"/>
        <v>PY: Media Crit.</v>
      </c>
      <c r="T744">
        <f t="shared" si="56"/>
        <v>0</v>
      </c>
      <c r="U744">
        <f t="shared" si="57"/>
        <v>0</v>
      </c>
      <c r="V744">
        <f t="shared" si="58"/>
        <v>1</v>
      </c>
      <c r="W744">
        <f t="shared" si="59"/>
        <v>0</v>
      </c>
      <c r="X744">
        <v>1</v>
      </c>
      <c r="Y744" s="2">
        <v>45768</v>
      </c>
      <c r="Z744" s="3" t="s">
        <v>118</v>
      </c>
      <c r="AA744" t="s">
        <v>39</v>
      </c>
      <c r="AB744" t="s">
        <v>40</v>
      </c>
      <c r="AC744" t="s">
        <v>40</v>
      </c>
      <c r="AD744" t="s">
        <v>184</v>
      </c>
    </row>
    <row r="745" spans="2:30">
      <c r="B745">
        <v>5</v>
      </c>
      <c r="C745">
        <v>1020</v>
      </c>
      <c r="D745" t="s">
        <v>181</v>
      </c>
      <c r="E745">
        <v>14298990</v>
      </c>
      <c r="F745" t="s">
        <v>840</v>
      </c>
      <c r="G745" t="s">
        <v>43</v>
      </c>
      <c r="H745" t="s">
        <v>60</v>
      </c>
      <c r="I745" t="s">
        <v>183</v>
      </c>
      <c r="J745" t="s">
        <v>45</v>
      </c>
      <c r="K745" t="s">
        <v>35</v>
      </c>
      <c r="L745" t="s">
        <v>36</v>
      </c>
      <c r="M745" t="s">
        <v>117</v>
      </c>
      <c r="N745">
        <v>12</v>
      </c>
      <c r="O745">
        <v>4</v>
      </c>
      <c r="P745">
        <v>0</v>
      </c>
      <c r="Q745">
        <v>12</v>
      </c>
      <c r="R745" s="4">
        <v>4632.6400000000003</v>
      </c>
      <c r="S745" t="str">
        <f t="shared" si="55"/>
        <v>PY: Media Crit.</v>
      </c>
      <c r="T745">
        <f t="shared" si="56"/>
        <v>0</v>
      </c>
      <c r="U745">
        <f t="shared" si="57"/>
        <v>0</v>
      </c>
      <c r="V745">
        <f t="shared" si="58"/>
        <v>1</v>
      </c>
      <c r="W745">
        <f t="shared" si="59"/>
        <v>0</v>
      </c>
      <c r="X745">
        <v>1</v>
      </c>
      <c r="Y745" s="2">
        <v>45768</v>
      </c>
      <c r="Z745" s="3" t="s">
        <v>118</v>
      </c>
      <c r="AA745" t="s">
        <v>39</v>
      </c>
      <c r="AB745" t="s">
        <v>40</v>
      </c>
      <c r="AC745" t="s">
        <v>40</v>
      </c>
      <c r="AD745" t="s">
        <v>184</v>
      </c>
    </row>
    <row r="746" spans="2:30">
      <c r="B746">
        <v>5</v>
      </c>
      <c r="C746">
        <v>1020</v>
      </c>
      <c r="D746" t="s">
        <v>29</v>
      </c>
      <c r="E746">
        <v>14300579</v>
      </c>
      <c r="F746" t="s">
        <v>841</v>
      </c>
      <c r="G746" t="s">
        <v>43</v>
      </c>
      <c r="H746" t="s">
        <v>60</v>
      </c>
      <c r="I746" t="s">
        <v>588</v>
      </c>
      <c r="J746" t="s">
        <v>45</v>
      </c>
      <c r="K746" t="s">
        <v>35</v>
      </c>
      <c r="L746" t="s">
        <v>36</v>
      </c>
      <c r="M746" t="s">
        <v>117</v>
      </c>
      <c r="N746">
        <v>1</v>
      </c>
      <c r="O746">
        <v>1</v>
      </c>
      <c r="P746">
        <v>0</v>
      </c>
      <c r="Q746">
        <v>0</v>
      </c>
      <c r="R746">
        <v>0</v>
      </c>
      <c r="S746" t="str">
        <f t="shared" si="55"/>
        <v>PY: Media Crit.</v>
      </c>
      <c r="T746">
        <f t="shared" si="56"/>
        <v>1</v>
      </c>
      <c r="U746">
        <f t="shared" si="57"/>
        <v>0</v>
      </c>
      <c r="V746">
        <f t="shared" si="58"/>
        <v>0</v>
      </c>
      <c r="W746">
        <f t="shared" si="59"/>
        <v>0</v>
      </c>
      <c r="X746">
        <v>1</v>
      </c>
      <c r="Y746" s="2">
        <v>45768</v>
      </c>
      <c r="Z746" s="3" t="s">
        <v>118</v>
      </c>
      <c r="AA746" t="s">
        <v>39</v>
      </c>
      <c r="AB746" t="s">
        <v>49</v>
      </c>
      <c r="AC746" s="5" t="s">
        <v>50</v>
      </c>
      <c r="AD746" t="s">
        <v>589</v>
      </c>
    </row>
    <row r="747" spans="2:30">
      <c r="B747">
        <v>5</v>
      </c>
      <c r="C747">
        <v>1020</v>
      </c>
      <c r="D747" t="s">
        <v>181</v>
      </c>
      <c r="E747">
        <v>14316940</v>
      </c>
      <c r="F747" t="s">
        <v>842</v>
      </c>
      <c r="G747" t="s">
        <v>52</v>
      </c>
      <c r="H747" t="s">
        <v>60</v>
      </c>
      <c r="I747" t="s">
        <v>183</v>
      </c>
      <c r="J747" t="s">
        <v>45</v>
      </c>
      <c r="K747" t="s">
        <v>35</v>
      </c>
      <c r="L747" t="s">
        <v>36</v>
      </c>
      <c r="M747" t="s">
        <v>46</v>
      </c>
      <c r="N747">
        <v>60</v>
      </c>
      <c r="O747">
        <v>30</v>
      </c>
      <c r="P747">
        <v>0</v>
      </c>
      <c r="Q747">
        <v>90</v>
      </c>
      <c r="R747" s="4">
        <v>13489.76</v>
      </c>
      <c r="S747" t="str">
        <f t="shared" si="55"/>
        <v>PZ: Alta Crit.</v>
      </c>
      <c r="T747">
        <f t="shared" si="56"/>
        <v>0</v>
      </c>
      <c r="U747">
        <f t="shared" si="57"/>
        <v>0</v>
      </c>
      <c r="V747">
        <f t="shared" si="58"/>
        <v>0</v>
      </c>
      <c r="W747">
        <f t="shared" si="59"/>
        <v>1</v>
      </c>
      <c r="X747">
        <v>1</v>
      </c>
      <c r="Y747" s="2">
        <v>45768</v>
      </c>
      <c r="Z747" s="3" t="s">
        <v>47</v>
      </c>
      <c r="AA747" t="s">
        <v>39</v>
      </c>
      <c r="AB747" t="s">
        <v>40</v>
      </c>
      <c r="AC747" t="s">
        <v>40</v>
      </c>
      <c r="AD747" t="s">
        <v>184</v>
      </c>
    </row>
    <row r="748" spans="2:30">
      <c r="B748">
        <v>4</v>
      </c>
      <c r="C748">
        <v>1020</v>
      </c>
      <c r="D748" t="s">
        <v>29</v>
      </c>
      <c r="E748">
        <v>10050573</v>
      </c>
      <c r="F748" t="s">
        <v>843</v>
      </c>
      <c r="G748" t="s">
        <v>31</v>
      </c>
      <c r="H748" t="s">
        <v>32</v>
      </c>
      <c r="I748" t="s">
        <v>588</v>
      </c>
      <c r="J748" t="s">
        <v>45</v>
      </c>
      <c r="K748" t="s">
        <v>35</v>
      </c>
      <c r="L748" t="s">
        <v>36</v>
      </c>
      <c r="M748" t="s">
        <v>55</v>
      </c>
      <c r="N748">
        <v>40</v>
      </c>
      <c r="O748">
        <v>21</v>
      </c>
      <c r="P748">
        <v>10</v>
      </c>
      <c r="Q748">
        <v>45</v>
      </c>
      <c r="R748">
        <v>18.690000000000001</v>
      </c>
      <c r="S748" t="str">
        <f t="shared" si="55"/>
        <v>PX: Baja Crit.</v>
      </c>
      <c r="T748">
        <f t="shared" si="56"/>
        <v>0</v>
      </c>
      <c r="U748">
        <f t="shared" si="57"/>
        <v>0</v>
      </c>
      <c r="V748">
        <f t="shared" si="58"/>
        <v>0</v>
      </c>
      <c r="W748">
        <f t="shared" si="59"/>
        <v>1</v>
      </c>
      <c r="X748">
        <v>1</v>
      </c>
      <c r="Y748" s="2">
        <v>45768</v>
      </c>
      <c r="Z748" s="3" t="s">
        <v>56</v>
      </c>
      <c r="AA748" t="s">
        <v>39</v>
      </c>
      <c r="AB748" t="s">
        <v>40</v>
      </c>
      <c r="AC748" t="s">
        <v>40</v>
      </c>
      <c r="AD748" t="s">
        <v>589</v>
      </c>
    </row>
    <row r="749" spans="2:30">
      <c r="B749">
        <v>4</v>
      </c>
      <c r="C749">
        <v>1020</v>
      </c>
      <c r="D749" t="s">
        <v>29</v>
      </c>
      <c r="E749">
        <v>10054975</v>
      </c>
      <c r="F749" t="s">
        <v>844</v>
      </c>
      <c r="G749" t="s">
        <v>43</v>
      </c>
      <c r="H749" t="s">
        <v>32</v>
      </c>
      <c r="I749" t="s">
        <v>588</v>
      </c>
      <c r="J749" t="s">
        <v>45</v>
      </c>
      <c r="K749" t="s">
        <v>35</v>
      </c>
      <c r="L749" t="s">
        <v>36</v>
      </c>
      <c r="M749" t="s">
        <v>117</v>
      </c>
      <c r="N749">
        <v>20</v>
      </c>
      <c r="O749">
        <v>11</v>
      </c>
      <c r="P749">
        <v>2</v>
      </c>
      <c r="Q749">
        <v>27</v>
      </c>
      <c r="R749">
        <v>502.09</v>
      </c>
      <c r="S749" t="str">
        <f t="shared" si="55"/>
        <v>PY: Media Crit.</v>
      </c>
      <c r="T749">
        <f t="shared" si="56"/>
        <v>0</v>
      </c>
      <c r="U749">
        <f t="shared" si="57"/>
        <v>0</v>
      </c>
      <c r="V749">
        <f t="shared" si="58"/>
        <v>0</v>
      </c>
      <c r="W749">
        <f t="shared" si="59"/>
        <v>1</v>
      </c>
      <c r="X749">
        <v>1</v>
      </c>
      <c r="Y749" s="2">
        <v>45768</v>
      </c>
      <c r="Z749" s="3" t="s">
        <v>118</v>
      </c>
      <c r="AA749" t="s">
        <v>39</v>
      </c>
      <c r="AB749" t="s">
        <v>40</v>
      </c>
      <c r="AC749" t="s">
        <v>40</v>
      </c>
      <c r="AD749" t="s">
        <v>589</v>
      </c>
    </row>
    <row r="750" spans="2:30">
      <c r="B750">
        <v>4</v>
      </c>
      <c r="C750">
        <v>1020</v>
      </c>
      <c r="D750" t="s">
        <v>29</v>
      </c>
      <c r="E750">
        <v>14192334</v>
      </c>
      <c r="F750" t="s">
        <v>845</v>
      </c>
      <c r="G750" t="s">
        <v>43</v>
      </c>
      <c r="H750" t="s">
        <v>44</v>
      </c>
      <c r="I750" t="s">
        <v>588</v>
      </c>
      <c r="J750" t="s">
        <v>45</v>
      </c>
      <c r="K750" t="s">
        <v>35</v>
      </c>
      <c r="L750" t="s">
        <v>36</v>
      </c>
      <c r="M750" t="s">
        <v>46</v>
      </c>
      <c r="N750">
        <v>2</v>
      </c>
      <c r="O750">
        <v>2</v>
      </c>
      <c r="P750">
        <v>0</v>
      </c>
      <c r="Q750">
        <v>19</v>
      </c>
      <c r="R750" s="4">
        <v>1074.1199999999999</v>
      </c>
      <c r="S750" t="str">
        <f t="shared" si="55"/>
        <v>PY: Media Crit.</v>
      </c>
      <c r="T750">
        <f t="shared" si="56"/>
        <v>0</v>
      </c>
      <c r="U750">
        <f t="shared" si="57"/>
        <v>0</v>
      </c>
      <c r="V750">
        <f t="shared" si="58"/>
        <v>0</v>
      </c>
      <c r="W750">
        <f t="shared" si="59"/>
        <v>1</v>
      </c>
      <c r="X750">
        <v>1</v>
      </c>
      <c r="Y750" s="2">
        <v>45768</v>
      </c>
      <c r="Z750" s="3" t="s">
        <v>47</v>
      </c>
      <c r="AA750" t="s">
        <v>39</v>
      </c>
      <c r="AB750" t="s">
        <v>40</v>
      </c>
      <c r="AC750" t="s">
        <v>40</v>
      </c>
      <c r="AD750" t="s">
        <v>589</v>
      </c>
    </row>
    <row r="751" spans="2:30">
      <c r="B751">
        <v>4</v>
      </c>
      <c r="C751">
        <v>1020</v>
      </c>
      <c r="D751" t="s">
        <v>29</v>
      </c>
      <c r="E751">
        <v>10601497</v>
      </c>
      <c r="F751" t="s">
        <v>846</v>
      </c>
      <c r="G751" t="s">
        <v>43</v>
      </c>
      <c r="H751" t="s">
        <v>32</v>
      </c>
      <c r="I751" t="s">
        <v>588</v>
      </c>
      <c r="J751" t="s">
        <v>45</v>
      </c>
      <c r="K751" t="s">
        <v>35</v>
      </c>
      <c r="L751" t="s">
        <v>36</v>
      </c>
      <c r="M751" t="s">
        <v>46</v>
      </c>
      <c r="N751">
        <v>4</v>
      </c>
      <c r="O751">
        <v>3</v>
      </c>
      <c r="P751">
        <v>1</v>
      </c>
      <c r="Q751">
        <v>4</v>
      </c>
      <c r="R751">
        <v>106.78</v>
      </c>
      <c r="S751" t="str">
        <f t="shared" si="55"/>
        <v>PY: Media Crit.</v>
      </c>
      <c r="T751">
        <f t="shared" si="56"/>
        <v>0</v>
      </c>
      <c r="U751">
        <f t="shared" si="57"/>
        <v>0</v>
      </c>
      <c r="V751">
        <f t="shared" si="58"/>
        <v>1</v>
      </c>
      <c r="W751">
        <f t="shared" si="59"/>
        <v>0</v>
      </c>
      <c r="X751">
        <v>1</v>
      </c>
      <c r="Y751" s="2">
        <v>45768</v>
      </c>
      <c r="Z751" s="3" t="s">
        <v>47</v>
      </c>
      <c r="AA751" t="s">
        <v>39</v>
      </c>
      <c r="AB751" t="s">
        <v>40</v>
      </c>
      <c r="AC751" t="s">
        <v>40</v>
      </c>
      <c r="AD751" t="s">
        <v>589</v>
      </c>
    </row>
    <row r="752" spans="2:30">
      <c r="B752">
        <v>4</v>
      </c>
      <c r="C752">
        <v>1020</v>
      </c>
      <c r="D752" t="s">
        <v>29</v>
      </c>
      <c r="E752">
        <v>10622886</v>
      </c>
      <c r="F752" t="s">
        <v>847</v>
      </c>
      <c r="G752" t="s">
        <v>43</v>
      </c>
      <c r="H752" t="s">
        <v>32</v>
      </c>
      <c r="I752" t="s">
        <v>588</v>
      </c>
      <c r="J752" t="s">
        <v>45</v>
      </c>
      <c r="K752" t="s">
        <v>35</v>
      </c>
      <c r="L752" t="s">
        <v>36</v>
      </c>
      <c r="M752" t="s">
        <v>46</v>
      </c>
      <c r="N752">
        <v>6</v>
      </c>
      <c r="O752">
        <v>4</v>
      </c>
      <c r="P752">
        <v>0</v>
      </c>
      <c r="Q752">
        <v>5</v>
      </c>
      <c r="R752">
        <v>768.76</v>
      </c>
      <c r="S752" t="str">
        <f t="shared" si="55"/>
        <v>PY: Media Crit.</v>
      </c>
      <c r="T752">
        <f t="shared" si="56"/>
        <v>0</v>
      </c>
      <c r="U752">
        <f t="shared" si="57"/>
        <v>0</v>
      </c>
      <c r="V752">
        <f t="shared" si="58"/>
        <v>1</v>
      </c>
      <c r="W752">
        <f t="shared" si="59"/>
        <v>0</v>
      </c>
      <c r="X752">
        <v>1</v>
      </c>
      <c r="Y752" s="2">
        <v>45768</v>
      </c>
      <c r="Z752" s="3" t="s">
        <v>47</v>
      </c>
      <c r="AA752" t="s">
        <v>39</v>
      </c>
      <c r="AB752" t="s">
        <v>40</v>
      </c>
      <c r="AC752" t="s">
        <v>40</v>
      </c>
      <c r="AD752" t="s">
        <v>589</v>
      </c>
    </row>
    <row r="753" spans="2:30">
      <c r="B753">
        <v>4</v>
      </c>
      <c r="C753">
        <v>1020</v>
      </c>
      <c r="D753" t="s">
        <v>29</v>
      </c>
      <c r="E753">
        <v>10041401</v>
      </c>
      <c r="F753" t="s">
        <v>848</v>
      </c>
      <c r="G753" t="s">
        <v>31</v>
      </c>
      <c r="H753" t="s">
        <v>32</v>
      </c>
      <c r="I753" t="s">
        <v>588</v>
      </c>
      <c r="J753" t="s">
        <v>45</v>
      </c>
      <c r="K753" t="s">
        <v>35</v>
      </c>
      <c r="L753" t="s">
        <v>36</v>
      </c>
      <c r="M753" t="s">
        <v>46</v>
      </c>
      <c r="N753">
        <v>24</v>
      </c>
      <c r="O753">
        <v>5</v>
      </c>
      <c r="P753">
        <v>0</v>
      </c>
      <c r="Q753">
        <v>146</v>
      </c>
      <c r="R753" s="4">
        <v>4084.68</v>
      </c>
      <c r="S753" t="str">
        <f t="shared" si="55"/>
        <v>PX: Baja Crit.</v>
      </c>
      <c r="T753">
        <f t="shared" si="56"/>
        <v>0</v>
      </c>
      <c r="U753">
        <f t="shared" si="57"/>
        <v>0</v>
      </c>
      <c r="V753">
        <f t="shared" si="58"/>
        <v>0</v>
      </c>
      <c r="W753">
        <f t="shared" si="59"/>
        <v>1</v>
      </c>
      <c r="X753">
        <v>1</v>
      </c>
      <c r="Y753" s="2">
        <v>45768</v>
      </c>
      <c r="Z753" s="3" t="s">
        <v>47</v>
      </c>
      <c r="AA753" t="s">
        <v>39</v>
      </c>
      <c r="AB753" t="s">
        <v>40</v>
      </c>
      <c r="AC753" t="s">
        <v>40</v>
      </c>
      <c r="AD753" t="s">
        <v>589</v>
      </c>
    </row>
    <row r="754" spans="2:30">
      <c r="B754">
        <v>4</v>
      </c>
      <c r="C754">
        <v>1020</v>
      </c>
      <c r="D754" t="s">
        <v>29</v>
      </c>
      <c r="E754">
        <v>10054232</v>
      </c>
      <c r="F754" t="s">
        <v>849</v>
      </c>
      <c r="G754" t="s">
        <v>31</v>
      </c>
      <c r="H754" t="s">
        <v>32</v>
      </c>
      <c r="I754" t="s">
        <v>588</v>
      </c>
      <c r="J754" t="s">
        <v>45</v>
      </c>
      <c r="K754" t="s">
        <v>35</v>
      </c>
      <c r="L754" t="s">
        <v>36</v>
      </c>
      <c r="M754" t="s">
        <v>69</v>
      </c>
      <c r="N754">
        <v>8</v>
      </c>
      <c r="O754">
        <v>6</v>
      </c>
      <c r="P754">
        <v>0</v>
      </c>
      <c r="Q754">
        <v>50</v>
      </c>
      <c r="R754">
        <v>735.63</v>
      </c>
      <c r="S754" t="str">
        <f t="shared" si="55"/>
        <v>PX: Baja Crit.</v>
      </c>
      <c r="T754">
        <f t="shared" si="56"/>
        <v>0</v>
      </c>
      <c r="U754">
        <f t="shared" si="57"/>
        <v>0</v>
      </c>
      <c r="V754">
        <f t="shared" si="58"/>
        <v>0</v>
      </c>
      <c r="W754">
        <f t="shared" si="59"/>
        <v>1</v>
      </c>
      <c r="X754">
        <v>1</v>
      </c>
      <c r="Y754" s="2">
        <v>45768</v>
      </c>
      <c r="Z754" s="3" t="s">
        <v>70</v>
      </c>
      <c r="AA754" t="s">
        <v>39</v>
      </c>
      <c r="AB754" t="s">
        <v>40</v>
      </c>
      <c r="AC754" t="s">
        <v>40</v>
      </c>
      <c r="AD754" t="s">
        <v>589</v>
      </c>
    </row>
    <row r="755" spans="2:30">
      <c r="B755">
        <v>4</v>
      </c>
      <c r="C755">
        <v>1020</v>
      </c>
      <c r="D755" t="s">
        <v>29</v>
      </c>
      <c r="E755">
        <v>10023090</v>
      </c>
      <c r="F755" t="s">
        <v>850</v>
      </c>
      <c r="G755" t="s">
        <v>31</v>
      </c>
      <c r="H755" t="s">
        <v>32</v>
      </c>
      <c r="I755" t="s">
        <v>588</v>
      </c>
      <c r="J755" t="s">
        <v>45</v>
      </c>
      <c r="K755" t="s">
        <v>35</v>
      </c>
      <c r="L755" t="s">
        <v>36</v>
      </c>
      <c r="M755" t="s">
        <v>69</v>
      </c>
      <c r="N755">
        <v>8</v>
      </c>
      <c r="O755">
        <v>6</v>
      </c>
      <c r="P755">
        <v>0</v>
      </c>
      <c r="Q755">
        <v>0</v>
      </c>
      <c r="R755">
        <v>0</v>
      </c>
      <c r="S755" t="str">
        <f t="shared" si="55"/>
        <v>PX: Baja Crit.</v>
      </c>
      <c r="T755">
        <f t="shared" si="56"/>
        <v>1</v>
      </c>
      <c r="U755">
        <f t="shared" si="57"/>
        <v>0</v>
      </c>
      <c r="V755">
        <f t="shared" si="58"/>
        <v>0</v>
      </c>
      <c r="W755">
        <f t="shared" si="59"/>
        <v>0</v>
      </c>
      <c r="X755">
        <v>1</v>
      </c>
      <c r="Y755" s="2">
        <v>45768</v>
      </c>
      <c r="Z755" s="3" t="s">
        <v>70</v>
      </c>
      <c r="AA755" t="s">
        <v>39</v>
      </c>
      <c r="AB755" t="s">
        <v>76</v>
      </c>
      <c r="AC755" s="5" t="s">
        <v>77</v>
      </c>
      <c r="AD755" t="s">
        <v>589</v>
      </c>
    </row>
    <row r="756" spans="2:30">
      <c r="B756">
        <v>4</v>
      </c>
      <c r="C756">
        <v>1020</v>
      </c>
      <c r="D756" t="s">
        <v>29</v>
      </c>
      <c r="E756">
        <v>10041820</v>
      </c>
      <c r="F756" t="s">
        <v>851</v>
      </c>
      <c r="G756" t="s">
        <v>31</v>
      </c>
      <c r="H756" t="s">
        <v>32</v>
      </c>
      <c r="I756" t="s">
        <v>588</v>
      </c>
      <c r="J756" t="s">
        <v>34</v>
      </c>
      <c r="K756" t="s">
        <v>35</v>
      </c>
      <c r="L756" t="s">
        <v>36</v>
      </c>
      <c r="M756" t="s">
        <v>46</v>
      </c>
      <c r="N756">
        <v>96</v>
      </c>
      <c r="O756">
        <v>49</v>
      </c>
      <c r="P756">
        <v>24</v>
      </c>
      <c r="Q756">
        <v>120</v>
      </c>
      <c r="R756">
        <v>501</v>
      </c>
      <c r="S756" t="str">
        <f t="shared" si="55"/>
        <v>PX: Baja Crit.</v>
      </c>
      <c r="T756">
        <f t="shared" si="56"/>
        <v>0</v>
      </c>
      <c r="U756">
        <f t="shared" si="57"/>
        <v>0</v>
      </c>
      <c r="V756">
        <f t="shared" si="58"/>
        <v>0</v>
      </c>
      <c r="W756">
        <f t="shared" si="59"/>
        <v>1</v>
      </c>
      <c r="X756">
        <v>1</v>
      </c>
      <c r="Y756" s="2">
        <v>45768</v>
      </c>
      <c r="Z756" s="3" t="s">
        <v>47</v>
      </c>
      <c r="AA756" t="s">
        <v>39</v>
      </c>
      <c r="AB756" t="s">
        <v>40</v>
      </c>
      <c r="AC756" t="s">
        <v>40</v>
      </c>
      <c r="AD756" t="s">
        <v>589</v>
      </c>
    </row>
    <row r="757" spans="2:30">
      <c r="B757">
        <v>4</v>
      </c>
      <c r="C757">
        <v>1020</v>
      </c>
      <c r="D757" t="s">
        <v>29</v>
      </c>
      <c r="E757">
        <v>10048285</v>
      </c>
      <c r="F757" t="s">
        <v>852</v>
      </c>
      <c r="G757" t="s">
        <v>43</v>
      </c>
      <c r="H757" t="s">
        <v>44</v>
      </c>
      <c r="I757" t="s">
        <v>588</v>
      </c>
      <c r="J757" t="s">
        <v>45</v>
      </c>
      <c r="K757" t="s">
        <v>35</v>
      </c>
      <c r="L757" t="s">
        <v>36</v>
      </c>
      <c r="M757" t="s">
        <v>46</v>
      </c>
      <c r="N757">
        <v>4</v>
      </c>
      <c r="O757">
        <v>2</v>
      </c>
      <c r="P757">
        <v>0</v>
      </c>
      <c r="Q757">
        <v>4</v>
      </c>
      <c r="R757" s="4">
        <v>10430.64</v>
      </c>
      <c r="S757" t="str">
        <f t="shared" si="55"/>
        <v>PY: Media Crit.</v>
      </c>
      <c r="T757">
        <f t="shared" si="56"/>
        <v>0</v>
      </c>
      <c r="U757">
        <f t="shared" si="57"/>
        <v>0</v>
      </c>
      <c r="V757">
        <f t="shared" si="58"/>
        <v>1</v>
      </c>
      <c r="W757">
        <f t="shared" si="59"/>
        <v>0</v>
      </c>
      <c r="X757">
        <v>1</v>
      </c>
      <c r="Y757" s="2">
        <v>45768</v>
      </c>
      <c r="Z757" s="3" t="s">
        <v>47</v>
      </c>
      <c r="AA757" t="s">
        <v>39</v>
      </c>
      <c r="AB757" t="s">
        <v>40</v>
      </c>
      <c r="AC757" t="s">
        <v>40</v>
      </c>
      <c r="AD757" t="s">
        <v>589</v>
      </c>
    </row>
    <row r="758" spans="2:30">
      <c r="B758">
        <v>4</v>
      </c>
      <c r="C758">
        <v>1020</v>
      </c>
      <c r="D758" t="s">
        <v>29</v>
      </c>
      <c r="E758">
        <v>10728180</v>
      </c>
      <c r="F758" t="s">
        <v>853</v>
      </c>
      <c r="G758" t="s">
        <v>52</v>
      </c>
      <c r="H758" t="s">
        <v>32</v>
      </c>
      <c r="I758" t="s">
        <v>588</v>
      </c>
      <c r="J758" t="s">
        <v>45</v>
      </c>
      <c r="K758" t="s">
        <v>35</v>
      </c>
      <c r="L758" t="s">
        <v>36</v>
      </c>
      <c r="M758" t="s">
        <v>37</v>
      </c>
      <c r="N758">
        <v>50</v>
      </c>
      <c r="O758">
        <v>31</v>
      </c>
      <c r="P758">
        <v>2</v>
      </c>
      <c r="Q758">
        <v>48</v>
      </c>
      <c r="R758">
        <v>89.4</v>
      </c>
      <c r="S758" t="str">
        <f t="shared" si="55"/>
        <v>PZ: Alta Crit.</v>
      </c>
      <c r="T758">
        <f t="shared" si="56"/>
        <v>0</v>
      </c>
      <c r="U758">
        <f t="shared" si="57"/>
        <v>0</v>
      </c>
      <c r="V758">
        <f t="shared" si="58"/>
        <v>1</v>
      </c>
      <c r="W758">
        <f t="shared" si="59"/>
        <v>0</v>
      </c>
      <c r="X758">
        <v>1</v>
      </c>
      <c r="Y758" s="2">
        <v>45768</v>
      </c>
      <c r="Z758" s="3" t="s">
        <v>38</v>
      </c>
      <c r="AA758" t="s">
        <v>39</v>
      </c>
      <c r="AB758" t="s">
        <v>40</v>
      </c>
      <c r="AC758" t="s">
        <v>40</v>
      </c>
      <c r="AD758" t="s">
        <v>589</v>
      </c>
    </row>
    <row r="759" spans="2:30">
      <c r="B759">
        <v>4</v>
      </c>
      <c r="C759">
        <v>1020</v>
      </c>
      <c r="D759" t="s">
        <v>29</v>
      </c>
      <c r="E759">
        <v>10043988</v>
      </c>
      <c r="F759" t="s">
        <v>854</v>
      </c>
      <c r="G759" t="s">
        <v>31</v>
      </c>
      <c r="H759" t="s">
        <v>44</v>
      </c>
      <c r="I759" t="s">
        <v>588</v>
      </c>
      <c r="J759" t="s">
        <v>45</v>
      </c>
      <c r="K759" t="s">
        <v>53</v>
      </c>
      <c r="L759" t="s">
        <v>36</v>
      </c>
      <c r="M759" t="s">
        <v>37</v>
      </c>
      <c r="N759">
        <v>38</v>
      </c>
      <c r="O759">
        <v>19</v>
      </c>
      <c r="P759">
        <v>0</v>
      </c>
      <c r="Q759">
        <v>49</v>
      </c>
      <c r="R759">
        <v>222.21</v>
      </c>
      <c r="S759" t="str">
        <f t="shared" si="55"/>
        <v>PX: Baja Crit.</v>
      </c>
      <c r="T759">
        <f t="shared" si="56"/>
        <v>0</v>
      </c>
      <c r="U759">
        <f t="shared" si="57"/>
        <v>0</v>
      </c>
      <c r="V759">
        <f t="shared" si="58"/>
        <v>0</v>
      </c>
      <c r="W759">
        <f t="shared" si="59"/>
        <v>1</v>
      </c>
      <c r="X759">
        <v>1</v>
      </c>
      <c r="Y759" s="2">
        <v>45768</v>
      </c>
      <c r="Z759" s="3" t="s">
        <v>38</v>
      </c>
      <c r="AA759" t="s">
        <v>39</v>
      </c>
      <c r="AB759" t="s">
        <v>40</v>
      </c>
      <c r="AC759" t="s">
        <v>40</v>
      </c>
      <c r="AD759" t="s">
        <v>589</v>
      </c>
    </row>
    <row r="760" spans="2:30">
      <c r="B760">
        <v>4</v>
      </c>
      <c r="C760">
        <v>1020</v>
      </c>
      <c r="D760" t="s">
        <v>29</v>
      </c>
      <c r="E760">
        <v>10044028</v>
      </c>
      <c r="F760" t="s">
        <v>855</v>
      </c>
      <c r="G760" t="s">
        <v>31</v>
      </c>
      <c r="H760" t="s">
        <v>32</v>
      </c>
      <c r="I760" t="s">
        <v>588</v>
      </c>
      <c r="J760" t="s">
        <v>34</v>
      </c>
      <c r="K760" t="s">
        <v>35</v>
      </c>
      <c r="L760" t="s">
        <v>36</v>
      </c>
      <c r="M760" t="s">
        <v>88</v>
      </c>
      <c r="N760">
        <v>20</v>
      </c>
      <c r="O760">
        <v>11</v>
      </c>
      <c r="P760">
        <v>5</v>
      </c>
      <c r="Q760">
        <v>18</v>
      </c>
      <c r="R760">
        <v>213.75</v>
      </c>
      <c r="S760" t="str">
        <f t="shared" si="55"/>
        <v>PX: Baja Crit.</v>
      </c>
      <c r="T760">
        <f t="shared" si="56"/>
        <v>0</v>
      </c>
      <c r="U760">
        <f t="shared" si="57"/>
        <v>0</v>
      </c>
      <c r="V760">
        <f t="shared" si="58"/>
        <v>1</v>
      </c>
      <c r="W760">
        <f t="shared" si="59"/>
        <v>0</v>
      </c>
      <c r="X760">
        <v>1</v>
      </c>
      <c r="Y760" s="2">
        <v>45768</v>
      </c>
      <c r="Z760" s="3" t="s">
        <v>89</v>
      </c>
      <c r="AA760" t="s">
        <v>39</v>
      </c>
      <c r="AB760" t="s">
        <v>40</v>
      </c>
      <c r="AC760" t="s">
        <v>40</v>
      </c>
      <c r="AD760" t="s">
        <v>589</v>
      </c>
    </row>
    <row r="761" spans="2:30">
      <c r="B761">
        <v>4</v>
      </c>
      <c r="C761">
        <v>1020</v>
      </c>
      <c r="D761" t="s">
        <v>29</v>
      </c>
      <c r="E761">
        <v>10042159</v>
      </c>
      <c r="F761" t="s">
        <v>856</v>
      </c>
      <c r="G761" t="s">
        <v>52</v>
      </c>
      <c r="H761" t="s">
        <v>32</v>
      </c>
      <c r="I761" t="s">
        <v>588</v>
      </c>
      <c r="J761" t="s">
        <v>45</v>
      </c>
      <c r="K761" t="s">
        <v>35</v>
      </c>
      <c r="L761" t="s">
        <v>36</v>
      </c>
      <c r="M761" t="s">
        <v>117</v>
      </c>
      <c r="N761">
        <v>10</v>
      </c>
      <c r="O761">
        <v>6</v>
      </c>
      <c r="P761">
        <v>1</v>
      </c>
      <c r="Q761">
        <v>10</v>
      </c>
      <c r="R761" s="4">
        <v>3494.36</v>
      </c>
      <c r="S761" t="str">
        <f t="shared" si="55"/>
        <v>PZ: Alta Crit.</v>
      </c>
      <c r="T761">
        <f t="shared" si="56"/>
        <v>0</v>
      </c>
      <c r="U761">
        <f t="shared" si="57"/>
        <v>0</v>
      </c>
      <c r="V761">
        <f t="shared" si="58"/>
        <v>1</v>
      </c>
      <c r="W761">
        <f t="shared" si="59"/>
        <v>0</v>
      </c>
      <c r="X761">
        <v>1</v>
      </c>
      <c r="Y761" s="2">
        <v>45768</v>
      </c>
      <c r="Z761" s="3" t="s">
        <v>118</v>
      </c>
      <c r="AA761" t="s">
        <v>39</v>
      </c>
      <c r="AB761" t="s">
        <v>40</v>
      </c>
      <c r="AC761" t="s">
        <v>40</v>
      </c>
      <c r="AD761" t="s">
        <v>589</v>
      </c>
    </row>
    <row r="762" spans="2:30">
      <c r="B762">
        <v>4</v>
      </c>
      <c r="C762">
        <v>1020</v>
      </c>
      <c r="D762" t="s">
        <v>29</v>
      </c>
      <c r="E762">
        <v>10049918</v>
      </c>
      <c r="F762" t="s">
        <v>857</v>
      </c>
      <c r="G762" t="s">
        <v>31</v>
      </c>
      <c r="H762" t="s">
        <v>32</v>
      </c>
      <c r="I762" t="s">
        <v>588</v>
      </c>
      <c r="J762" t="s">
        <v>45</v>
      </c>
      <c r="K762" t="s">
        <v>35</v>
      </c>
      <c r="L762" t="s">
        <v>36</v>
      </c>
      <c r="M762" t="s">
        <v>55</v>
      </c>
      <c r="N762">
        <v>20</v>
      </c>
      <c r="O762">
        <v>11</v>
      </c>
      <c r="P762">
        <v>2</v>
      </c>
      <c r="Q762">
        <v>22</v>
      </c>
      <c r="R762">
        <v>4.0999999999999996</v>
      </c>
      <c r="S762" t="str">
        <f t="shared" si="55"/>
        <v>PX: Baja Crit.</v>
      </c>
      <c r="T762">
        <f t="shared" si="56"/>
        <v>0</v>
      </c>
      <c r="U762">
        <f t="shared" si="57"/>
        <v>0</v>
      </c>
      <c r="V762">
        <f t="shared" si="58"/>
        <v>0</v>
      </c>
      <c r="W762">
        <f t="shared" si="59"/>
        <v>1</v>
      </c>
      <c r="X762">
        <v>1</v>
      </c>
      <c r="Y762" s="2">
        <v>45768</v>
      </c>
      <c r="Z762" s="3" t="s">
        <v>56</v>
      </c>
      <c r="AA762" t="s">
        <v>39</v>
      </c>
      <c r="AB762" t="s">
        <v>40</v>
      </c>
      <c r="AC762" t="s">
        <v>40</v>
      </c>
      <c r="AD762" t="s">
        <v>589</v>
      </c>
    </row>
    <row r="763" spans="2:30">
      <c r="B763">
        <v>4</v>
      </c>
      <c r="C763">
        <v>1020</v>
      </c>
      <c r="D763" t="s">
        <v>29</v>
      </c>
      <c r="E763">
        <v>10045239</v>
      </c>
      <c r="F763" t="s">
        <v>858</v>
      </c>
      <c r="G763" t="s">
        <v>43</v>
      </c>
      <c r="H763" t="s">
        <v>32</v>
      </c>
      <c r="I763" t="s">
        <v>588</v>
      </c>
      <c r="J763" t="s">
        <v>34</v>
      </c>
      <c r="K763" t="s">
        <v>35</v>
      </c>
      <c r="L763" t="s">
        <v>36</v>
      </c>
      <c r="M763" t="s">
        <v>88</v>
      </c>
      <c r="N763">
        <v>50</v>
      </c>
      <c r="O763">
        <v>31</v>
      </c>
      <c r="P763">
        <v>5</v>
      </c>
      <c r="Q763">
        <v>44</v>
      </c>
      <c r="R763">
        <v>215.03</v>
      </c>
      <c r="S763" t="str">
        <f t="shared" si="55"/>
        <v>PY: Media Crit.</v>
      </c>
      <c r="T763">
        <f t="shared" si="56"/>
        <v>0</v>
      </c>
      <c r="U763">
        <f t="shared" si="57"/>
        <v>0</v>
      </c>
      <c r="V763">
        <f t="shared" si="58"/>
        <v>1</v>
      </c>
      <c r="W763">
        <f t="shared" si="59"/>
        <v>0</v>
      </c>
      <c r="X763">
        <v>1</v>
      </c>
      <c r="Y763" s="2">
        <v>45768</v>
      </c>
      <c r="Z763" s="3" t="s">
        <v>89</v>
      </c>
      <c r="AA763" t="s">
        <v>39</v>
      </c>
      <c r="AB763" t="s">
        <v>40</v>
      </c>
      <c r="AC763" t="s">
        <v>40</v>
      </c>
      <c r="AD763" t="s">
        <v>589</v>
      </c>
    </row>
    <row r="764" spans="2:30">
      <c r="B764">
        <v>4</v>
      </c>
      <c r="C764">
        <v>1020</v>
      </c>
      <c r="D764" t="s">
        <v>29</v>
      </c>
      <c r="E764">
        <v>10049297</v>
      </c>
      <c r="F764" t="s">
        <v>859</v>
      </c>
      <c r="G764" t="s">
        <v>31</v>
      </c>
      <c r="H764" t="s">
        <v>32</v>
      </c>
      <c r="I764" t="s">
        <v>588</v>
      </c>
      <c r="J764" t="s">
        <v>45</v>
      </c>
      <c r="K764" t="s">
        <v>35</v>
      </c>
      <c r="L764" t="s">
        <v>36</v>
      </c>
      <c r="M764" t="s">
        <v>46</v>
      </c>
      <c r="N764">
        <v>60</v>
      </c>
      <c r="O764">
        <v>31</v>
      </c>
      <c r="P764">
        <v>10</v>
      </c>
      <c r="Q764">
        <v>44</v>
      </c>
      <c r="R764" s="4">
        <v>2342.9699999999998</v>
      </c>
      <c r="S764" t="str">
        <f t="shared" si="55"/>
        <v>PX: Baja Crit.</v>
      </c>
      <c r="T764">
        <f t="shared" si="56"/>
        <v>0</v>
      </c>
      <c r="U764">
        <f t="shared" si="57"/>
        <v>0</v>
      </c>
      <c r="V764">
        <f t="shared" si="58"/>
        <v>1</v>
      </c>
      <c r="W764">
        <f t="shared" si="59"/>
        <v>0</v>
      </c>
      <c r="X764">
        <v>1</v>
      </c>
      <c r="Y764" s="2">
        <v>45768</v>
      </c>
      <c r="Z764" s="3" t="s">
        <v>47</v>
      </c>
      <c r="AA764" t="s">
        <v>39</v>
      </c>
      <c r="AB764" t="s">
        <v>40</v>
      </c>
      <c r="AC764" t="s">
        <v>40</v>
      </c>
      <c r="AD764" t="s">
        <v>589</v>
      </c>
    </row>
    <row r="765" spans="2:30">
      <c r="B765">
        <v>4</v>
      </c>
      <c r="C765">
        <v>1020</v>
      </c>
      <c r="D765" t="s">
        <v>29</v>
      </c>
      <c r="E765">
        <v>10056540</v>
      </c>
      <c r="F765" t="s">
        <v>860</v>
      </c>
      <c r="G765" t="s">
        <v>43</v>
      </c>
      <c r="H765" t="s">
        <v>32</v>
      </c>
      <c r="I765" t="s">
        <v>588</v>
      </c>
      <c r="J765" t="s">
        <v>45</v>
      </c>
      <c r="K765" t="s">
        <v>35</v>
      </c>
      <c r="L765" t="s">
        <v>36</v>
      </c>
      <c r="M765" t="s">
        <v>88</v>
      </c>
      <c r="N765">
        <v>10</v>
      </c>
      <c r="O765">
        <v>6</v>
      </c>
      <c r="P765">
        <v>2</v>
      </c>
      <c r="Q765">
        <v>10</v>
      </c>
      <c r="R765">
        <v>118.09</v>
      </c>
      <c r="S765" t="str">
        <f t="shared" si="55"/>
        <v>PY: Media Crit.</v>
      </c>
      <c r="T765">
        <f t="shared" si="56"/>
        <v>0</v>
      </c>
      <c r="U765">
        <f t="shared" si="57"/>
        <v>0</v>
      </c>
      <c r="V765">
        <f t="shared" si="58"/>
        <v>1</v>
      </c>
      <c r="W765">
        <f t="shared" si="59"/>
        <v>0</v>
      </c>
      <c r="X765">
        <v>1</v>
      </c>
      <c r="Y765" s="2">
        <v>45768</v>
      </c>
      <c r="Z765" s="3" t="s">
        <v>89</v>
      </c>
      <c r="AA765" t="s">
        <v>39</v>
      </c>
      <c r="AB765" t="s">
        <v>40</v>
      </c>
      <c r="AC765" t="s">
        <v>40</v>
      </c>
      <c r="AD765" t="s">
        <v>589</v>
      </c>
    </row>
    <row r="766" spans="2:30">
      <c r="B766">
        <v>4</v>
      </c>
      <c r="C766">
        <v>1020</v>
      </c>
      <c r="D766" t="s">
        <v>29</v>
      </c>
      <c r="E766">
        <v>10055161</v>
      </c>
      <c r="F766" t="s">
        <v>861</v>
      </c>
      <c r="G766" t="s">
        <v>31</v>
      </c>
      <c r="H766" t="s">
        <v>32</v>
      </c>
      <c r="I766" t="s">
        <v>588</v>
      </c>
      <c r="J766" t="s">
        <v>45</v>
      </c>
      <c r="K766" t="s">
        <v>35</v>
      </c>
      <c r="L766" t="s">
        <v>36</v>
      </c>
      <c r="M766" t="s">
        <v>88</v>
      </c>
      <c r="N766">
        <v>20</v>
      </c>
      <c r="O766">
        <v>11</v>
      </c>
      <c r="P766">
        <v>5</v>
      </c>
      <c r="Q766">
        <v>20</v>
      </c>
      <c r="R766">
        <v>150.11000000000001</v>
      </c>
      <c r="S766" t="str">
        <f t="shared" si="55"/>
        <v>PX: Baja Crit.</v>
      </c>
      <c r="T766">
        <f t="shared" si="56"/>
        <v>0</v>
      </c>
      <c r="U766">
        <f t="shared" si="57"/>
        <v>0</v>
      </c>
      <c r="V766">
        <f t="shared" si="58"/>
        <v>1</v>
      </c>
      <c r="W766">
        <f t="shared" si="59"/>
        <v>0</v>
      </c>
      <c r="X766">
        <v>1</v>
      </c>
      <c r="Y766" s="2">
        <v>45768</v>
      </c>
      <c r="Z766" s="3" t="s">
        <v>89</v>
      </c>
      <c r="AA766" t="s">
        <v>39</v>
      </c>
      <c r="AB766" t="s">
        <v>40</v>
      </c>
      <c r="AC766" t="s">
        <v>40</v>
      </c>
      <c r="AD766" t="s">
        <v>589</v>
      </c>
    </row>
    <row r="767" spans="2:30">
      <c r="B767">
        <v>4</v>
      </c>
      <c r="C767">
        <v>1020</v>
      </c>
      <c r="D767" t="s">
        <v>29</v>
      </c>
      <c r="E767">
        <v>10155884</v>
      </c>
      <c r="F767" t="s">
        <v>862</v>
      </c>
      <c r="G767" t="s">
        <v>31</v>
      </c>
      <c r="H767" t="s">
        <v>32</v>
      </c>
      <c r="I767" t="s">
        <v>588</v>
      </c>
      <c r="J767" t="s">
        <v>34</v>
      </c>
      <c r="K767" t="s">
        <v>35</v>
      </c>
      <c r="L767" t="s">
        <v>36</v>
      </c>
      <c r="M767" t="s">
        <v>37</v>
      </c>
      <c r="N767">
        <v>12</v>
      </c>
      <c r="O767">
        <v>7</v>
      </c>
      <c r="P767">
        <v>0</v>
      </c>
      <c r="Q767">
        <v>10</v>
      </c>
      <c r="R767">
        <v>95</v>
      </c>
      <c r="S767" t="str">
        <f t="shared" si="55"/>
        <v>PX: Baja Crit.</v>
      </c>
      <c r="T767">
        <f t="shared" si="56"/>
        <v>0</v>
      </c>
      <c r="U767">
        <f t="shared" si="57"/>
        <v>0</v>
      </c>
      <c r="V767">
        <f t="shared" si="58"/>
        <v>1</v>
      </c>
      <c r="W767">
        <f t="shared" si="59"/>
        <v>0</v>
      </c>
      <c r="X767">
        <v>1</v>
      </c>
      <c r="Y767" s="2">
        <v>45768</v>
      </c>
      <c r="Z767" s="3" t="s">
        <v>38</v>
      </c>
      <c r="AA767" t="s">
        <v>39</v>
      </c>
      <c r="AB767" t="s">
        <v>40</v>
      </c>
      <c r="AC767" t="s">
        <v>40</v>
      </c>
      <c r="AD767" t="s">
        <v>589</v>
      </c>
    </row>
    <row r="768" spans="2:30">
      <c r="B768">
        <v>4</v>
      </c>
      <c r="C768">
        <v>1020</v>
      </c>
      <c r="D768" t="s">
        <v>29</v>
      </c>
      <c r="E768">
        <v>14158104</v>
      </c>
      <c r="F768" t="s">
        <v>863</v>
      </c>
      <c r="G768" t="s">
        <v>43</v>
      </c>
      <c r="H768" t="s">
        <v>32</v>
      </c>
      <c r="I768" t="s">
        <v>588</v>
      </c>
      <c r="J768" t="s">
        <v>45</v>
      </c>
      <c r="K768" t="s">
        <v>35</v>
      </c>
      <c r="L768" t="s">
        <v>36</v>
      </c>
      <c r="M768" t="s">
        <v>46</v>
      </c>
      <c r="N768">
        <v>15</v>
      </c>
      <c r="O768">
        <v>8</v>
      </c>
      <c r="P768">
        <v>7</v>
      </c>
      <c r="Q768">
        <v>4</v>
      </c>
      <c r="R768">
        <v>220.62</v>
      </c>
      <c r="S768" t="str">
        <f t="shared" si="55"/>
        <v>PY: Media Crit.</v>
      </c>
      <c r="T768">
        <f t="shared" si="56"/>
        <v>0</v>
      </c>
      <c r="U768">
        <f t="shared" si="57"/>
        <v>1</v>
      </c>
      <c r="V768">
        <f t="shared" si="58"/>
        <v>0</v>
      </c>
      <c r="W768">
        <f t="shared" si="59"/>
        <v>0</v>
      </c>
      <c r="X768">
        <v>1</v>
      </c>
      <c r="Y768" s="2">
        <v>45768</v>
      </c>
      <c r="Z768" s="3" t="s">
        <v>47</v>
      </c>
      <c r="AA768" t="s">
        <v>39</v>
      </c>
      <c r="AB768" t="s">
        <v>76</v>
      </c>
      <c r="AC768" s="5" t="s">
        <v>77</v>
      </c>
      <c r="AD768" t="s">
        <v>589</v>
      </c>
    </row>
    <row r="769" spans="2:30">
      <c r="B769">
        <v>4</v>
      </c>
      <c r="C769">
        <v>1020</v>
      </c>
      <c r="D769" t="s">
        <v>29</v>
      </c>
      <c r="E769">
        <v>14094667</v>
      </c>
      <c r="F769" t="s">
        <v>864</v>
      </c>
      <c r="G769" t="s">
        <v>31</v>
      </c>
      <c r="H769" t="s">
        <v>60</v>
      </c>
      <c r="I769" t="s">
        <v>588</v>
      </c>
      <c r="J769" t="s">
        <v>45</v>
      </c>
      <c r="K769" t="s">
        <v>252</v>
      </c>
      <c r="L769" t="s">
        <v>36</v>
      </c>
      <c r="M769" t="s">
        <v>88</v>
      </c>
      <c r="N769">
        <v>90</v>
      </c>
      <c r="O769">
        <v>60</v>
      </c>
      <c r="P769">
        <v>18</v>
      </c>
      <c r="Q769">
        <v>60</v>
      </c>
      <c r="R769">
        <v>750</v>
      </c>
      <c r="S769" t="str">
        <f t="shared" si="55"/>
        <v>PX: Baja Crit.</v>
      </c>
      <c r="T769">
        <f t="shared" si="56"/>
        <v>0</v>
      </c>
      <c r="U769">
        <f t="shared" si="57"/>
        <v>0</v>
      </c>
      <c r="V769">
        <f t="shared" si="58"/>
        <v>1</v>
      </c>
      <c r="W769">
        <f t="shared" si="59"/>
        <v>0</v>
      </c>
      <c r="X769">
        <v>1</v>
      </c>
      <c r="Y769" s="2">
        <v>45768</v>
      </c>
      <c r="Z769" s="3" t="s">
        <v>89</v>
      </c>
      <c r="AA769" t="s">
        <v>39</v>
      </c>
      <c r="AB769" t="s">
        <v>40</v>
      </c>
      <c r="AC769" t="s">
        <v>40</v>
      </c>
      <c r="AD769" t="s">
        <v>589</v>
      </c>
    </row>
    <row r="770" spans="2:30">
      <c r="B770">
        <v>4</v>
      </c>
      <c r="C770">
        <v>1020</v>
      </c>
      <c r="D770" t="s">
        <v>29</v>
      </c>
      <c r="E770">
        <v>10049997</v>
      </c>
      <c r="F770" t="s">
        <v>865</v>
      </c>
      <c r="G770" t="s">
        <v>43</v>
      </c>
      <c r="H770" t="s">
        <v>44</v>
      </c>
      <c r="I770" t="s">
        <v>588</v>
      </c>
      <c r="J770" t="s">
        <v>45</v>
      </c>
      <c r="K770" t="s">
        <v>35</v>
      </c>
      <c r="L770" t="s">
        <v>36</v>
      </c>
      <c r="M770" t="s">
        <v>46</v>
      </c>
      <c r="N770">
        <v>2</v>
      </c>
      <c r="O770">
        <v>1</v>
      </c>
      <c r="P770">
        <v>0</v>
      </c>
      <c r="Q770">
        <v>2</v>
      </c>
      <c r="R770">
        <v>692.58</v>
      </c>
      <c r="S770" t="str">
        <f t="shared" ref="S770:S833" si="60">+IF(G770="PZ", "PZ: Alta Crit.",IF(G770="PY","PY: Media Crit.", "PX: Baja Crit."))</f>
        <v>PY: Media Crit.</v>
      </c>
      <c r="T770">
        <f t="shared" ref="T770:T833" si="61">+IF(Q770=0,1,0)</f>
        <v>0</v>
      </c>
      <c r="U770">
        <f t="shared" ref="U770:U833" si="62">+IF(AND(Q770&lt;=P770,Q770&gt;0),1,0)</f>
        <v>0</v>
      </c>
      <c r="V770">
        <f t="shared" ref="V770:V833" si="63">+IF(AND(Q770&gt;P770,Q770&lt;=N770),1,0)</f>
        <v>1</v>
      </c>
      <c r="W770">
        <f t="shared" ref="W770:W833" si="64">+IF(Q770&gt;N770,1,0)</f>
        <v>0</v>
      </c>
      <c r="X770">
        <v>1</v>
      </c>
      <c r="Y770" s="2">
        <v>45768</v>
      </c>
      <c r="Z770" s="3" t="s">
        <v>47</v>
      </c>
      <c r="AA770" t="s">
        <v>39</v>
      </c>
      <c r="AB770" t="s">
        <v>40</v>
      </c>
      <c r="AC770" t="s">
        <v>40</v>
      </c>
      <c r="AD770" t="s">
        <v>589</v>
      </c>
    </row>
    <row r="771" spans="2:30">
      <c r="B771">
        <v>4</v>
      </c>
      <c r="C771">
        <v>1020</v>
      </c>
      <c r="D771" t="s">
        <v>29</v>
      </c>
      <c r="E771">
        <v>10056515</v>
      </c>
      <c r="F771" t="s">
        <v>866</v>
      </c>
      <c r="G771" t="s">
        <v>31</v>
      </c>
      <c r="H771" t="s">
        <v>32</v>
      </c>
      <c r="I771" t="s">
        <v>588</v>
      </c>
      <c r="J771" t="s">
        <v>34</v>
      </c>
      <c r="K771" t="s">
        <v>35</v>
      </c>
      <c r="L771" t="s">
        <v>36</v>
      </c>
      <c r="M771" t="s">
        <v>69</v>
      </c>
      <c r="N771">
        <v>30</v>
      </c>
      <c r="O771">
        <v>16</v>
      </c>
      <c r="P771">
        <v>2</v>
      </c>
      <c r="Q771">
        <v>17</v>
      </c>
      <c r="R771">
        <v>929.04</v>
      </c>
      <c r="S771" t="str">
        <f t="shared" si="60"/>
        <v>PX: Baja Crit.</v>
      </c>
      <c r="T771">
        <f t="shared" si="61"/>
        <v>0</v>
      </c>
      <c r="U771">
        <f t="shared" si="62"/>
        <v>0</v>
      </c>
      <c r="V771">
        <f t="shared" si="63"/>
        <v>1</v>
      </c>
      <c r="W771">
        <f t="shared" si="64"/>
        <v>0</v>
      </c>
      <c r="X771">
        <v>1</v>
      </c>
      <c r="Y771" s="2">
        <v>45768</v>
      </c>
      <c r="Z771" s="3" t="s">
        <v>70</v>
      </c>
      <c r="AA771" t="s">
        <v>39</v>
      </c>
      <c r="AB771" t="s">
        <v>40</v>
      </c>
      <c r="AC771" t="s">
        <v>40</v>
      </c>
      <c r="AD771" t="s">
        <v>589</v>
      </c>
    </row>
    <row r="772" spans="2:30">
      <c r="B772">
        <v>4</v>
      </c>
      <c r="C772">
        <v>1020</v>
      </c>
      <c r="D772" t="s">
        <v>29</v>
      </c>
      <c r="E772">
        <v>10017525</v>
      </c>
      <c r="F772" t="s">
        <v>867</v>
      </c>
      <c r="G772" t="s">
        <v>31</v>
      </c>
      <c r="H772" t="s">
        <v>32</v>
      </c>
      <c r="I772" t="s">
        <v>588</v>
      </c>
      <c r="J772" t="s">
        <v>45</v>
      </c>
      <c r="K772" t="s">
        <v>35</v>
      </c>
      <c r="L772" t="s">
        <v>36</v>
      </c>
      <c r="M772" t="s">
        <v>37</v>
      </c>
      <c r="N772">
        <v>50</v>
      </c>
      <c r="O772">
        <v>25</v>
      </c>
      <c r="P772">
        <v>8</v>
      </c>
      <c r="Q772">
        <v>50</v>
      </c>
      <c r="R772">
        <v>125</v>
      </c>
      <c r="S772" t="str">
        <f t="shared" si="60"/>
        <v>PX: Baja Crit.</v>
      </c>
      <c r="T772">
        <f t="shared" si="61"/>
        <v>0</v>
      </c>
      <c r="U772">
        <f t="shared" si="62"/>
        <v>0</v>
      </c>
      <c r="V772">
        <f t="shared" si="63"/>
        <v>1</v>
      </c>
      <c r="W772">
        <f t="shared" si="64"/>
        <v>0</v>
      </c>
      <c r="X772">
        <v>1</v>
      </c>
      <c r="Y772" s="2">
        <v>45768</v>
      </c>
      <c r="Z772" s="3" t="s">
        <v>38</v>
      </c>
      <c r="AA772" t="s">
        <v>39</v>
      </c>
      <c r="AB772" t="s">
        <v>40</v>
      </c>
      <c r="AC772" t="s">
        <v>40</v>
      </c>
      <c r="AD772" t="s">
        <v>589</v>
      </c>
    </row>
    <row r="773" spans="2:30">
      <c r="B773">
        <v>4</v>
      </c>
      <c r="C773">
        <v>1020</v>
      </c>
      <c r="D773" t="s">
        <v>29</v>
      </c>
      <c r="E773">
        <v>10054040</v>
      </c>
      <c r="F773" t="s">
        <v>868</v>
      </c>
      <c r="G773" t="s">
        <v>31</v>
      </c>
      <c r="H773" t="s">
        <v>32</v>
      </c>
      <c r="I773" t="s">
        <v>588</v>
      </c>
      <c r="J773" t="s">
        <v>45</v>
      </c>
      <c r="K773" t="s">
        <v>35</v>
      </c>
      <c r="L773" t="s">
        <v>36</v>
      </c>
      <c r="M773" t="s">
        <v>117</v>
      </c>
      <c r="N773">
        <v>20</v>
      </c>
      <c r="O773">
        <v>11</v>
      </c>
      <c r="P773">
        <v>2</v>
      </c>
      <c r="Q773">
        <v>16</v>
      </c>
      <c r="R773" s="4">
        <v>1039.8900000000001</v>
      </c>
      <c r="S773" t="str">
        <f t="shared" si="60"/>
        <v>PX: Baja Crit.</v>
      </c>
      <c r="T773">
        <f t="shared" si="61"/>
        <v>0</v>
      </c>
      <c r="U773">
        <f t="shared" si="62"/>
        <v>0</v>
      </c>
      <c r="V773">
        <f t="shared" si="63"/>
        <v>1</v>
      </c>
      <c r="W773">
        <f t="shared" si="64"/>
        <v>0</v>
      </c>
      <c r="X773">
        <v>1</v>
      </c>
      <c r="Y773" s="2">
        <v>45768</v>
      </c>
      <c r="Z773" s="3" t="s">
        <v>118</v>
      </c>
      <c r="AA773" t="s">
        <v>39</v>
      </c>
      <c r="AB773" t="s">
        <v>40</v>
      </c>
      <c r="AC773" t="s">
        <v>40</v>
      </c>
      <c r="AD773" t="s">
        <v>589</v>
      </c>
    </row>
    <row r="774" spans="2:30">
      <c r="B774">
        <v>4</v>
      </c>
      <c r="C774">
        <v>1020</v>
      </c>
      <c r="D774" t="s">
        <v>29</v>
      </c>
      <c r="E774">
        <v>10057134</v>
      </c>
      <c r="F774" t="s">
        <v>869</v>
      </c>
      <c r="G774" t="s">
        <v>43</v>
      </c>
      <c r="H774" t="s">
        <v>32</v>
      </c>
      <c r="I774" t="s">
        <v>588</v>
      </c>
      <c r="J774" t="s">
        <v>45</v>
      </c>
      <c r="K774" t="s">
        <v>35</v>
      </c>
      <c r="L774" t="s">
        <v>36</v>
      </c>
      <c r="M774" t="s">
        <v>37</v>
      </c>
      <c r="N774">
        <v>10</v>
      </c>
      <c r="O774">
        <v>5</v>
      </c>
      <c r="P774">
        <v>2</v>
      </c>
      <c r="Q774">
        <v>20</v>
      </c>
      <c r="R774" s="4">
        <v>5034.96</v>
      </c>
      <c r="S774" t="str">
        <f t="shared" si="60"/>
        <v>PY: Media Crit.</v>
      </c>
      <c r="T774">
        <f t="shared" si="61"/>
        <v>0</v>
      </c>
      <c r="U774">
        <f t="shared" si="62"/>
        <v>0</v>
      </c>
      <c r="V774">
        <f t="shared" si="63"/>
        <v>0</v>
      </c>
      <c r="W774">
        <f t="shared" si="64"/>
        <v>1</v>
      </c>
      <c r="X774">
        <v>1</v>
      </c>
      <c r="Y774" s="2">
        <v>45768</v>
      </c>
      <c r="Z774" s="3" t="s">
        <v>38</v>
      </c>
      <c r="AA774" t="s">
        <v>39</v>
      </c>
      <c r="AB774" t="s">
        <v>40</v>
      </c>
      <c r="AC774" t="s">
        <v>40</v>
      </c>
      <c r="AD774" t="s">
        <v>589</v>
      </c>
    </row>
    <row r="775" spans="2:30">
      <c r="B775">
        <v>4</v>
      </c>
      <c r="C775">
        <v>1020</v>
      </c>
      <c r="D775" t="s">
        <v>29</v>
      </c>
      <c r="E775">
        <v>10047925</v>
      </c>
      <c r="F775" t="s">
        <v>870</v>
      </c>
      <c r="G775" t="s">
        <v>52</v>
      </c>
      <c r="H775" t="s">
        <v>32</v>
      </c>
      <c r="I775" t="s">
        <v>588</v>
      </c>
      <c r="J775" t="s">
        <v>34</v>
      </c>
      <c r="K775" t="s">
        <v>35</v>
      </c>
      <c r="L775" t="s">
        <v>36</v>
      </c>
      <c r="M775" t="s">
        <v>46</v>
      </c>
      <c r="N775">
        <v>30</v>
      </c>
      <c r="O775">
        <v>19</v>
      </c>
      <c r="P775">
        <v>4</v>
      </c>
      <c r="Q775">
        <v>30</v>
      </c>
      <c r="R775">
        <v>355.79</v>
      </c>
      <c r="S775" t="str">
        <f t="shared" si="60"/>
        <v>PZ: Alta Crit.</v>
      </c>
      <c r="T775">
        <f t="shared" si="61"/>
        <v>0</v>
      </c>
      <c r="U775">
        <f t="shared" si="62"/>
        <v>0</v>
      </c>
      <c r="V775">
        <f t="shared" si="63"/>
        <v>1</v>
      </c>
      <c r="W775">
        <f t="shared" si="64"/>
        <v>0</v>
      </c>
      <c r="X775">
        <v>1</v>
      </c>
      <c r="Y775" s="2">
        <v>45768</v>
      </c>
      <c r="Z775" s="3" t="s">
        <v>47</v>
      </c>
      <c r="AA775" t="s">
        <v>39</v>
      </c>
      <c r="AB775" t="s">
        <v>40</v>
      </c>
      <c r="AC775" t="s">
        <v>40</v>
      </c>
      <c r="AD775" t="s">
        <v>589</v>
      </c>
    </row>
    <row r="776" spans="2:30">
      <c r="B776">
        <v>4</v>
      </c>
      <c r="C776">
        <v>1020</v>
      </c>
      <c r="D776" t="s">
        <v>29</v>
      </c>
      <c r="E776">
        <v>10045506</v>
      </c>
      <c r="F776" t="s">
        <v>871</v>
      </c>
      <c r="G776" t="s">
        <v>31</v>
      </c>
      <c r="H776" t="s">
        <v>32</v>
      </c>
      <c r="I776" t="s">
        <v>588</v>
      </c>
      <c r="J776" t="s">
        <v>45</v>
      </c>
      <c r="K776" t="s">
        <v>35</v>
      </c>
      <c r="L776" t="s">
        <v>36</v>
      </c>
      <c r="M776" t="s">
        <v>55</v>
      </c>
      <c r="N776">
        <v>50</v>
      </c>
      <c r="O776">
        <v>21</v>
      </c>
      <c r="P776">
        <v>8</v>
      </c>
      <c r="Q776">
        <v>50</v>
      </c>
      <c r="R776">
        <v>10.75</v>
      </c>
      <c r="S776" t="str">
        <f t="shared" si="60"/>
        <v>PX: Baja Crit.</v>
      </c>
      <c r="T776">
        <f t="shared" si="61"/>
        <v>0</v>
      </c>
      <c r="U776">
        <f t="shared" si="62"/>
        <v>0</v>
      </c>
      <c r="V776">
        <f t="shared" si="63"/>
        <v>1</v>
      </c>
      <c r="W776">
        <f t="shared" si="64"/>
        <v>0</v>
      </c>
      <c r="X776">
        <v>1</v>
      </c>
      <c r="Y776" s="2">
        <v>45768</v>
      </c>
      <c r="Z776" s="3" t="s">
        <v>56</v>
      </c>
      <c r="AA776" t="s">
        <v>39</v>
      </c>
      <c r="AB776" t="s">
        <v>40</v>
      </c>
      <c r="AC776" t="s">
        <v>40</v>
      </c>
      <c r="AD776" t="s">
        <v>589</v>
      </c>
    </row>
    <row r="777" spans="2:30">
      <c r="B777">
        <v>4</v>
      </c>
      <c r="C777">
        <v>1020</v>
      </c>
      <c r="D777" t="s">
        <v>29</v>
      </c>
      <c r="E777">
        <v>10050391</v>
      </c>
      <c r="F777" t="s">
        <v>872</v>
      </c>
      <c r="G777" t="s">
        <v>31</v>
      </c>
      <c r="H777" t="s">
        <v>32</v>
      </c>
      <c r="I777" t="s">
        <v>588</v>
      </c>
      <c r="J777" t="s">
        <v>34</v>
      </c>
      <c r="K777" t="s">
        <v>35</v>
      </c>
      <c r="L777" t="s">
        <v>36</v>
      </c>
      <c r="M777" t="s">
        <v>88</v>
      </c>
      <c r="N777">
        <v>50</v>
      </c>
      <c r="O777">
        <v>31</v>
      </c>
      <c r="P777">
        <v>12</v>
      </c>
      <c r="Q777">
        <v>29</v>
      </c>
      <c r="R777">
        <v>428.08</v>
      </c>
      <c r="S777" t="str">
        <f t="shared" si="60"/>
        <v>PX: Baja Crit.</v>
      </c>
      <c r="T777">
        <f t="shared" si="61"/>
        <v>0</v>
      </c>
      <c r="U777">
        <f t="shared" si="62"/>
        <v>0</v>
      </c>
      <c r="V777">
        <f t="shared" si="63"/>
        <v>1</v>
      </c>
      <c r="W777">
        <f t="shared" si="64"/>
        <v>0</v>
      </c>
      <c r="X777">
        <v>1</v>
      </c>
      <c r="Y777" s="2">
        <v>45768</v>
      </c>
      <c r="Z777" s="3" t="s">
        <v>89</v>
      </c>
      <c r="AA777" t="s">
        <v>39</v>
      </c>
      <c r="AB777" t="s">
        <v>49</v>
      </c>
      <c r="AC777" s="5" t="s">
        <v>50</v>
      </c>
      <c r="AD777" t="s">
        <v>589</v>
      </c>
    </row>
    <row r="778" spans="2:30">
      <c r="B778">
        <v>4</v>
      </c>
      <c r="C778">
        <v>1020</v>
      </c>
      <c r="D778" t="s">
        <v>29</v>
      </c>
      <c r="E778">
        <v>10019632</v>
      </c>
      <c r="F778" t="s">
        <v>873</v>
      </c>
      <c r="G778" t="s">
        <v>31</v>
      </c>
      <c r="H778" t="s">
        <v>32</v>
      </c>
      <c r="I778" t="s">
        <v>588</v>
      </c>
      <c r="J778" t="s">
        <v>45</v>
      </c>
      <c r="K778" t="s">
        <v>35</v>
      </c>
      <c r="L778" t="s">
        <v>36</v>
      </c>
      <c r="M778" t="s">
        <v>55</v>
      </c>
      <c r="N778">
        <v>50</v>
      </c>
      <c r="O778">
        <v>30</v>
      </c>
      <c r="P778">
        <v>0</v>
      </c>
      <c r="Q778">
        <v>100</v>
      </c>
      <c r="R778">
        <v>115.69</v>
      </c>
      <c r="S778" t="str">
        <f t="shared" si="60"/>
        <v>PX: Baja Crit.</v>
      </c>
      <c r="T778">
        <f t="shared" si="61"/>
        <v>0</v>
      </c>
      <c r="U778">
        <f t="shared" si="62"/>
        <v>0</v>
      </c>
      <c r="V778">
        <f t="shared" si="63"/>
        <v>0</v>
      </c>
      <c r="W778">
        <f t="shared" si="64"/>
        <v>1</v>
      </c>
      <c r="X778">
        <v>1</v>
      </c>
      <c r="Y778" s="2">
        <v>45768</v>
      </c>
      <c r="Z778" s="3" t="s">
        <v>56</v>
      </c>
      <c r="AA778" t="s">
        <v>39</v>
      </c>
      <c r="AB778" t="s">
        <v>40</v>
      </c>
      <c r="AC778" t="s">
        <v>40</v>
      </c>
      <c r="AD778" t="s">
        <v>589</v>
      </c>
    </row>
    <row r="779" spans="2:30">
      <c r="B779">
        <v>4</v>
      </c>
      <c r="C779">
        <v>1020</v>
      </c>
      <c r="D779" t="s">
        <v>29</v>
      </c>
      <c r="E779">
        <v>10050434</v>
      </c>
      <c r="F779" t="s">
        <v>874</v>
      </c>
      <c r="G779" t="s">
        <v>43</v>
      </c>
      <c r="H779" t="s">
        <v>60</v>
      </c>
      <c r="I779" t="s">
        <v>588</v>
      </c>
      <c r="J779" t="s">
        <v>45</v>
      </c>
      <c r="K779" t="s">
        <v>35</v>
      </c>
      <c r="L779" t="s">
        <v>36</v>
      </c>
      <c r="M779" t="s">
        <v>37</v>
      </c>
      <c r="N779">
        <v>12</v>
      </c>
      <c r="O779">
        <v>6</v>
      </c>
      <c r="P779">
        <v>4</v>
      </c>
      <c r="Q779">
        <v>8</v>
      </c>
      <c r="R779" s="4">
        <v>1564.41</v>
      </c>
      <c r="S779" t="str">
        <f t="shared" si="60"/>
        <v>PY: Media Crit.</v>
      </c>
      <c r="T779">
        <f t="shared" si="61"/>
        <v>0</v>
      </c>
      <c r="U779">
        <f t="shared" si="62"/>
        <v>0</v>
      </c>
      <c r="V779">
        <f t="shared" si="63"/>
        <v>1</v>
      </c>
      <c r="W779">
        <f t="shared" si="64"/>
        <v>0</v>
      </c>
      <c r="X779">
        <v>1</v>
      </c>
      <c r="Y779" s="2">
        <v>45768</v>
      </c>
      <c r="Z779" s="3" t="s">
        <v>38</v>
      </c>
      <c r="AA779" t="s">
        <v>39</v>
      </c>
      <c r="AB779" t="s">
        <v>40</v>
      </c>
      <c r="AC779" t="s">
        <v>40</v>
      </c>
      <c r="AD779" t="s">
        <v>589</v>
      </c>
    </row>
    <row r="780" spans="2:30">
      <c r="B780">
        <v>4</v>
      </c>
      <c r="C780">
        <v>1020</v>
      </c>
      <c r="D780" t="s">
        <v>29</v>
      </c>
      <c r="E780">
        <v>10049910</v>
      </c>
      <c r="F780" t="s">
        <v>875</v>
      </c>
      <c r="G780" t="s">
        <v>43</v>
      </c>
      <c r="H780" t="s">
        <v>32</v>
      </c>
      <c r="I780" t="s">
        <v>588</v>
      </c>
      <c r="J780" t="s">
        <v>45</v>
      </c>
      <c r="K780" t="s">
        <v>35</v>
      </c>
      <c r="L780" t="s">
        <v>36</v>
      </c>
      <c r="M780" t="s">
        <v>55</v>
      </c>
      <c r="N780">
        <v>80</v>
      </c>
      <c r="O780">
        <v>41</v>
      </c>
      <c r="P780">
        <v>5</v>
      </c>
      <c r="Q780">
        <v>66</v>
      </c>
      <c r="R780">
        <v>150.86000000000001</v>
      </c>
      <c r="S780" t="str">
        <f t="shared" si="60"/>
        <v>PY: Media Crit.</v>
      </c>
      <c r="T780">
        <f t="shared" si="61"/>
        <v>0</v>
      </c>
      <c r="U780">
        <f t="shared" si="62"/>
        <v>0</v>
      </c>
      <c r="V780">
        <f t="shared" si="63"/>
        <v>1</v>
      </c>
      <c r="W780">
        <f t="shared" si="64"/>
        <v>0</v>
      </c>
      <c r="X780">
        <v>1</v>
      </c>
      <c r="Y780" s="2">
        <v>45768</v>
      </c>
      <c r="Z780" s="3" t="s">
        <v>56</v>
      </c>
      <c r="AA780" t="s">
        <v>39</v>
      </c>
      <c r="AB780" t="s">
        <v>40</v>
      </c>
      <c r="AC780" t="s">
        <v>40</v>
      </c>
      <c r="AD780" t="s">
        <v>589</v>
      </c>
    </row>
    <row r="781" spans="2:30">
      <c r="B781">
        <v>4</v>
      </c>
      <c r="C781">
        <v>1020</v>
      </c>
      <c r="D781" t="s">
        <v>29</v>
      </c>
      <c r="E781">
        <v>10056633</v>
      </c>
      <c r="F781" t="s">
        <v>876</v>
      </c>
      <c r="G781" t="s">
        <v>43</v>
      </c>
      <c r="H781" t="s">
        <v>32</v>
      </c>
      <c r="I781" t="s">
        <v>588</v>
      </c>
      <c r="J781" t="s">
        <v>45</v>
      </c>
      <c r="K781" t="s">
        <v>35</v>
      </c>
      <c r="L781" t="s">
        <v>36</v>
      </c>
      <c r="M781" t="s">
        <v>88</v>
      </c>
      <c r="N781">
        <v>2</v>
      </c>
      <c r="O781">
        <v>2</v>
      </c>
      <c r="P781">
        <v>1</v>
      </c>
      <c r="Q781">
        <v>2</v>
      </c>
      <c r="R781" s="4">
        <v>1416.74</v>
      </c>
      <c r="S781" t="str">
        <f t="shared" si="60"/>
        <v>PY: Media Crit.</v>
      </c>
      <c r="T781">
        <f t="shared" si="61"/>
        <v>0</v>
      </c>
      <c r="U781">
        <f t="shared" si="62"/>
        <v>0</v>
      </c>
      <c r="V781">
        <f t="shared" si="63"/>
        <v>1</v>
      </c>
      <c r="W781">
        <f t="shared" si="64"/>
        <v>0</v>
      </c>
      <c r="X781">
        <v>1</v>
      </c>
      <c r="Y781" s="2">
        <v>45768</v>
      </c>
      <c r="Z781" s="3" t="s">
        <v>89</v>
      </c>
      <c r="AA781" t="s">
        <v>39</v>
      </c>
      <c r="AB781" t="s">
        <v>40</v>
      </c>
      <c r="AC781" t="s">
        <v>40</v>
      </c>
      <c r="AD781" t="s">
        <v>589</v>
      </c>
    </row>
    <row r="782" spans="2:30">
      <c r="B782">
        <v>4</v>
      </c>
      <c r="C782">
        <v>1020</v>
      </c>
      <c r="D782" t="s">
        <v>29</v>
      </c>
      <c r="E782">
        <v>10000423</v>
      </c>
      <c r="F782" t="s">
        <v>877</v>
      </c>
      <c r="G782" t="s">
        <v>43</v>
      </c>
      <c r="H782" t="s">
        <v>44</v>
      </c>
      <c r="I782" t="s">
        <v>588</v>
      </c>
      <c r="J782" t="s">
        <v>45</v>
      </c>
      <c r="K782" t="s">
        <v>35</v>
      </c>
      <c r="L782" t="s">
        <v>36</v>
      </c>
      <c r="M782" t="s">
        <v>46</v>
      </c>
      <c r="N782">
        <v>3</v>
      </c>
      <c r="O782">
        <v>2</v>
      </c>
      <c r="P782">
        <v>1</v>
      </c>
      <c r="Q782">
        <v>3</v>
      </c>
      <c r="R782" s="4">
        <v>5131.63</v>
      </c>
      <c r="S782" t="str">
        <f t="shared" si="60"/>
        <v>PY: Media Crit.</v>
      </c>
      <c r="T782">
        <f t="shared" si="61"/>
        <v>0</v>
      </c>
      <c r="U782">
        <f t="shared" si="62"/>
        <v>0</v>
      </c>
      <c r="V782">
        <f t="shared" si="63"/>
        <v>1</v>
      </c>
      <c r="W782">
        <f t="shared" si="64"/>
        <v>0</v>
      </c>
      <c r="X782">
        <v>1</v>
      </c>
      <c r="Y782" s="2">
        <v>45768</v>
      </c>
      <c r="Z782" s="3" t="s">
        <v>47</v>
      </c>
      <c r="AA782" t="s">
        <v>39</v>
      </c>
      <c r="AB782" t="s">
        <v>40</v>
      </c>
      <c r="AC782" t="s">
        <v>40</v>
      </c>
      <c r="AD782" t="s">
        <v>589</v>
      </c>
    </row>
    <row r="783" spans="2:30">
      <c r="B783">
        <v>4</v>
      </c>
      <c r="C783">
        <v>1020</v>
      </c>
      <c r="D783" t="s">
        <v>29</v>
      </c>
      <c r="E783">
        <v>10048585</v>
      </c>
      <c r="F783" t="s">
        <v>878</v>
      </c>
      <c r="G783" t="s">
        <v>31</v>
      </c>
      <c r="H783" t="s">
        <v>32</v>
      </c>
      <c r="I783" t="s">
        <v>588</v>
      </c>
      <c r="J783" t="s">
        <v>45</v>
      </c>
      <c r="K783" t="s">
        <v>80</v>
      </c>
      <c r="L783" t="s">
        <v>36</v>
      </c>
      <c r="M783" t="s">
        <v>46</v>
      </c>
      <c r="N783">
        <v>10</v>
      </c>
      <c r="O783">
        <v>5</v>
      </c>
      <c r="P783">
        <v>2</v>
      </c>
      <c r="Q783">
        <v>5</v>
      </c>
      <c r="R783">
        <v>314.33999999999997</v>
      </c>
      <c r="S783" t="str">
        <f t="shared" si="60"/>
        <v>PX: Baja Crit.</v>
      </c>
      <c r="T783">
        <f t="shared" si="61"/>
        <v>0</v>
      </c>
      <c r="U783">
        <f t="shared" si="62"/>
        <v>0</v>
      </c>
      <c r="V783">
        <f t="shared" si="63"/>
        <v>1</v>
      </c>
      <c r="W783">
        <f t="shared" si="64"/>
        <v>0</v>
      </c>
      <c r="X783">
        <v>1</v>
      </c>
      <c r="Y783" s="2">
        <v>45768</v>
      </c>
      <c r="Z783" s="3" t="s">
        <v>47</v>
      </c>
      <c r="AA783" t="s">
        <v>39</v>
      </c>
      <c r="AB783" t="s">
        <v>40</v>
      </c>
      <c r="AC783" t="s">
        <v>40</v>
      </c>
      <c r="AD783" t="s">
        <v>589</v>
      </c>
    </row>
    <row r="784" spans="2:30">
      <c r="B784">
        <v>4</v>
      </c>
      <c r="C784">
        <v>1020</v>
      </c>
      <c r="D784" t="s">
        <v>29</v>
      </c>
      <c r="E784">
        <v>10050345</v>
      </c>
      <c r="F784" t="s">
        <v>879</v>
      </c>
      <c r="G784" t="s">
        <v>43</v>
      </c>
      <c r="H784" t="s">
        <v>32</v>
      </c>
      <c r="I784" t="s">
        <v>588</v>
      </c>
      <c r="J784" t="s">
        <v>45</v>
      </c>
      <c r="K784" t="s">
        <v>35</v>
      </c>
      <c r="L784" t="s">
        <v>36</v>
      </c>
      <c r="M784" t="s">
        <v>46</v>
      </c>
      <c r="N784">
        <v>6</v>
      </c>
      <c r="O784">
        <v>4</v>
      </c>
      <c r="P784">
        <v>2</v>
      </c>
      <c r="Q784">
        <v>4</v>
      </c>
      <c r="R784">
        <v>424.46</v>
      </c>
      <c r="S784" t="str">
        <f t="shared" si="60"/>
        <v>PY: Media Crit.</v>
      </c>
      <c r="T784">
        <f t="shared" si="61"/>
        <v>0</v>
      </c>
      <c r="U784">
        <f t="shared" si="62"/>
        <v>0</v>
      </c>
      <c r="V784">
        <f t="shared" si="63"/>
        <v>1</v>
      </c>
      <c r="W784">
        <f t="shared" si="64"/>
        <v>0</v>
      </c>
      <c r="X784">
        <v>1</v>
      </c>
      <c r="Y784" s="2">
        <v>45768</v>
      </c>
      <c r="Z784" s="3" t="s">
        <v>47</v>
      </c>
      <c r="AA784" t="s">
        <v>39</v>
      </c>
      <c r="AB784" t="s">
        <v>40</v>
      </c>
      <c r="AC784" t="s">
        <v>40</v>
      </c>
      <c r="AD784" t="s">
        <v>589</v>
      </c>
    </row>
    <row r="785" spans="2:30">
      <c r="B785">
        <v>4</v>
      </c>
      <c r="C785">
        <v>1020</v>
      </c>
      <c r="D785" t="s">
        <v>29</v>
      </c>
      <c r="E785">
        <v>14079186</v>
      </c>
      <c r="F785" t="s">
        <v>880</v>
      </c>
      <c r="G785" t="s">
        <v>52</v>
      </c>
      <c r="H785" t="s">
        <v>44</v>
      </c>
      <c r="I785" t="s">
        <v>588</v>
      </c>
      <c r="J785" t="s">
        <v>45</v>
      </c>
      <c r="K785" t="s">
        <v>35</v>
      </c>
      <c r="L785" t="s">
        <v>36</v>
      </c>
      <c r="M785" t="s">
        <v>69</v>
      </c>
      <c r="N785">
        <v>4</v>
      </c>
      <c r="O785">
        <v>3</v>
      </c>
      <c r="P785">
        <v>1</v>
      </c>
      <c r="Q785">
        <v>3</v>
      </c>
      <c r="R785" s="4">
        <v>1996.08</v>
      </c>
      <c r="S785" t="str">
        <f t="shared" si="60"/>
        <v>PZ: Alta Crit.</v>
      </c>
      <c r="T785">
        <f t="shared" si="61"/>
        <v>0</v>
      </c>
      <c r="U785">
        <f t="shared" si="62"/>
        <v>0</v>
      </c>
      <c r="V785">
        <f t="shared" si="63"/>
        <v>1</v>
      </c>
      <c r="W785">
        <f t="shared" si="64"/>
        <v>0</v>
      </c>
      <c r="X785">
        <v>1</v>
      </c>
      <c r="Y785" s="2">
        <v>45768</v>
      </c>
      <c r="Z785" s="3" t="s">
        <v>70</v>
      </c>
      <c r="AA785" t="s">
        <v>39</v>
      </c>
      <c r="AB785" t="s">
        <v>40</v>
      </c>
      <c r="AC785" t="s">
        <v>40</v>
      </c>
      <c r="AD785" t="s">
        <v>589</v>
      </c>
    </row>
    <row r="786" spans="2:30">
      <c r="B786">
        <v>4</v>
      </c>
      <c r="C786">
        <v>1020</v>
      </c>
      <c r="D786" t="s">
        <v>29</v>
      </c>
      <c r="E786">
        <v>14192344</v>
      </c>
      <c r="F786" t="s">
        <v>881</v>
      </c>
      <c r="G786" t="s">
        <v>43</v>
      </c>
      <c r="H786" t="s">
        <v>60</v>
      </c>
      <c r="I786" t="s">
        <v>588</v>
      </c>
      <c r="J786" t="s">
        <v>45</v>
      </c>
      <c r="K786" t="s">
        <v>35</v>
      </c>
      <c r="L786" t="s">
        <v>36</v>
      </c>
      <c r="M786" t="s">
        <v>46</v>
      </c>
      <c r="N786">
        <v>2</v>
      </c>
      <c r="O786">
        <v>2</v>
      </c>
      <c r="P786">
        <v>0</v>
      </c>
      <c r="Q786">
        <v>2</v>
      </c>
      <c r="R786">
        <v>109.66</v>
      </c>
      <c r="S786" t="str">
        <f t="shared" si="60"/>
        <v>PY: Media Crit.</v>
      </c>
      <c r="T786">
        <f t="shared" si="61"/>
        <v>0</v>
      </c>
      <c r="U786">
        <f t="shared" si="62"/>
        <v>0</v>
      </c>
      <c r="V786">
        <f t="shared" si="63"/>
        <v>1</v>
      </c>
      <c r="W786">
        <f t="shared" si="64"/>
        <v>0</v>
      </c>
      <c r="X786">
        <v>1</v>
      </c>
      <c r="Y786" s="2">
        <v>45768</v>
      </c>
      <c r="Z786" s="3" t="s">
        <v>47</v>
      </c>
      <c r="AA786" t="s">
        <v>39</v>
      </c>
      <c r="AB786" t="s">
        <v>40</v>
      </c>
      <c r="AC786" t="s">
        <v>40</v>
      </c>
      <c r="AD786" t="s">
        <v>589</v>
      </c>
    </row>
    <row r="787" spans="2:30">
      <c r="B787">
        <v>4</v>
      </c>
      <c r="C787">
        <v>1020</v>
      </c>
      <c r="D787" t="s">
        <v>29</v>
      </c>
      <c r="E787">
        <v>10045579</v>
      </c>
      <c r="F787" t="s">
        <v>882</v>
      </c>
      <c r="G787" t="s">
        <v>31</v>
      </c>
      <c r="H787" t="s">
        <v>32</v>
      </c>
      <c r="I787" t="s">
        <v>588</v>
      </c>
      <c r="J787" t="s">
        <v>45</v>
      </c>
      <c r="K787" t="s">
        <v>35</v>
      </c>
      <c r="L787" t="s">
        <v>36</v>
      </c>
      <c r="M787" t="s">
        <v>55</v>
      </c>
      <c r="N787">
        <v>30</v>
      </c>
      <c r="O787">
        <v>15</v>
      </c>
      <c r="P787">
        <v>4</v>
      </c>
      <c r="Q787">
        <v>30</v>
      </c>
      <c r="R787">
        <v>21.59</v>
      </c>
      <c r="S787" t="str">
        <f t="shared" si="60"/>
        <v>PX: Baja Crit.</v>
      </c>
      <c r="T787">
        <f t="shared" si="61"/>
        <v>0</v>
      </c>
      <c r="U787">
        <f t="shared" si="62"/>
        <v>0</v>
      </c>
      <c r="V787">
        <f t="shared" si="63"/>
        <v>1</v>
      </c>
      <c r="W787">
        <f t="shared" si="64"/>
        <v>0</v>
      </c>
      <c r="X787">
        <v>1</v>
      </c>
      <c r="Y787" s="2">
        <v>45768</v>
      </c>
      <c r="Z787" s="3" t="s">
        <v>56</v>
      </c>
      <c r="AA787" t="s">
        <v>39</v>
      </c>
      <c r="AB787" t="s">
        <v>40</v>
      </c>
      <c r="AC787" t="s">
        <v>40</v>
      </c>
      <c r="AD787" t="s">
        <v>589</v>
      </c>
    </row>
    <row r="788" spans="2:30">
      <c r="B788">
        <v>4</v>
      </c>
      <c r="C788">
        <v>1020</v>
      </c>
      <c r="D788" t="s">
        <v>29</v>
      </c>
      <c r="E788">
        <v>10048537</v>
      </c>
      <c r="F788" t="s">
        <v>883</v>
      </c>
      <c r="G788" t="s">
        <v>43</v>
      </c>
      <c r="H788" t="s">
        <v>32</v>
      </c>
      <c r="I788" t="s">
        <v>588</v>
      </c>
      <c r="J788" t="s">
        <v>34</v>
      </c>
      <c r="K788" t="s">
        <v>35</v>
      </c>
      <c r="L788" t="s">
        <v>36</v>
      </c>
      <c r="M788" t="s">
        <v>69</v>
      </c>
      <c r="N788">
        <v>33</v>
      </c>
      <c r="O788">
        <v>17</v>
      </c>
      <c r="P788">
        <v>10</v>
      </c>
      <c r="Q788">
        <v>25</v>
      </c>
      <c r="R788" s="4">
        <v>19344.37</v>
      </c>
      <c r="S788" t="str">
        <f t="shared" si="60"/>
        <v>PY: Media Crit.</v>
      </c>
      <c r="T788">
        <f t="shared" si="61"/>
        <v>0</v>
      </c>
      <c r="U788">
        <f t="shared" si="62"/>
        <v>0</v>
      </c>
      <c r="V788">
        <f t="shared" si="63"/>
        <v>1</v>
      </c>
      <c r="W788">
        <f t="shared" si="64"/>
        <v>0</v>
      </c>
      <c r="X788">
        <v>1</v>
      </c>
      <c r="Y788" s="2">
        <v>45768</v>
      </c>
      <c r="Z788" s="3" t="s">
        <v>70</v>
      </c>
      <c r="AA788" t="s">
        <v>39</v>
      </c>
      <c r="AB788" t="s">
        <v>40</v>
      </c>
      <c r="AC788" t="s">
        <v>40</v>
      </c>
      <c r="AD788" t="s">
        <v>589</v>
      </c>
    </row>
    <row r="789" spans="2:30">
      <c r="B789">
        <v>4</v>
      </c>
      <c r="C789">
        <v>1020</v>
      </c>
      <c r="D789" t="s">
        <v>29</v>
      </c>
      <c r="E789">
        <v>10045387</v>
      </c>
      <c r="F789" t="s">
        <v>884</v>
      </c>
      <c r="G789" t="s">
        <v>31</v>
      </c>
      <c r="H789" t="s">
        <v>32</v>
      </c>
      <c r="I789" t="s">
        <v>588</v>
      </c>
      <c r="J789" t="s">
        <v>45</v>
      </c>
      <c r="K789" t="s">
        <v>35</v>
      </c>
      <c r="L789" t="s">
        <v>36</v>
      </c>
      <c r="M789" t="s">
        <v>55</v>
      </c>
      <c r="N789">
        <v>20</v>
      </c>
      <c r="O789">
        <v>11</v>
      </c>
      <c r="P789">
        <v>0</v>
      </c>
      <c r="Q789">
        <v>20</v>
      </c>
      <c r="R789">
        <v>24.76</v>
      </c>
      <c r="S789" t="str">
        <f t="shared" si="60"/>
        <v>PX: Baja Crit.</v>
      </c>
      <c r="T789">
        <f t="shared" si="61"/>
        <v>0</v>
      </c>
      <c r="U789">
        <f t="shared" si="62"/>
        <v>0</v>
      </c>
      <c r="V789">
        <f t="shared" si="63"/>
        <v>1</v>
      </c>
      <c r="W789">
        <f t="shared" si="64"/>
        <v>0</v>
      </c>
      <c r="X789">
        <v>1</v>
      </c>
      <c r="Y789" s="2">
        <v>45768</v>
      </c>
      <c r="Z789" s="3" t="s">
        <v>56</v>
      </c>
      <c r="AA789" t="s">
        <v>39</v>
      </c>
      <c r="AB789" t="s">
        <v>40</v>
      </c>
      <c r="AC789" t="s">
        <v>40</v>
      </c>
      <c r="AD789" t="s">
        <v>589</v>
      </c>
    </row>
    <row r="790" spans="2:30">
      <c r="B790">
        <v>4</v>
      </c>
      <c r="C790">
        <v>1020</v>
      </c>
      <c r="D790" t="s">
        <v>29</v>
      </c>
      <c r="E790">
        <v>10054949</v>
      </c>
      <c r="F790" t="s">
        <v>885</v>
      </c>
      <c r="G790" t="s">
        <v>31</v>
      </c>
      <c r="H790" t="s">
        <v>44</v>
      </c>
      <c r="I790" t="s">
        <v>588</v>
      </c>
      <c r="J790" t="s">
        <v>45</v>
      </c>
      <c r="K790" t="s">
        <v>35</v>
      </c>
      <c r="L790" t="s">
        <v>36</v>
      </c>
      <c r="M790" t="s">
        <v>69</v>
      </c>
      <c r="N790">
        <v>7</v>
      </c>
      <c r="O790">
        <v>3</v>
      </c>
      <c r="P790">
        <v>2</v>
      </c>
      <c r="Q790">
        <v>6</v>
      </c>
      <c r="R790" s="4">
        <v>5226.41</v>
      </c>
      <c r="S790" t="str">
        <f t="shared" si="60"/>
        <v>PX: Baja Crit.</v>
      </c>
      <c r="T790">
        <f t="shared" si="61"/>
        <v>0</v>
      </c>
      <c r="U790">
        <f t="shared" si="62"/>
        <v>0</v>
      </c>
      <c r="V790">
        <f t="shared" si="63"/>
        <v>1</v>
      </c>
      <c r="W790">
        <f t="shared" si="64"/>
        <v>0</v>
      </c>
      <c r="X790">
        <v>1</v>
      </c>
      <c r="Y790" s="2">
        <v>45768</v>
      </c>
      <c r="Z790" s="3" t="s">
        <v>70</v>
      </c>
      <c r="AA790" t="s">
        <v>39</v>
      </c>
      <c r="AB790" t="s">
        <v>40</v>
      </c>
      <c r="AC790" t="s">
        <v>40</v>
      </c>
      <c r="AD790" t="s">
        <v>589</v>
      </c>
    </row>
    <row r="791" spans="2:30">
      <c r="B791">
        <v>4</v>
      </c>
      <c r="C791">
        <v>1020</v>
      </c>
      <c r="D791" t="s">
        <v>29</v>
      </c>
      <c r="E791">
        <v>10160245</v>
      </c>
      <c r="F791" t="s">
        <v>886</v>
      </c>
      <c r="G791" t="s">
        <v>31</v>
      </c>
      <c r="H791" t="s">
        <v>32</v>
      </c>
      <c r="I791" t="s">
        <v>588</v>
      </c>
      <c r="J791" t="s">
        <v>45</v>
      </c>
      <c r="K791" t="s">
        <v>887</v>
      </c>
      <c r="L791" t="s">
        <v>36</v>
      </c>
      <c r="M791" t="s">
        <v>88</v>
      </c>
      <c r="N791">
        <v>4</v>
      </c>
      <c r="O791">
        <v>3</v>
      </c>
      <c r="P791">
        <v>1</v>
      </c>
      <c r="Q791">
        <v>3</v>
      </c>
      <c r="R791">
        <v>344.55</v>
      </c>
      <c r="S791" t="str">
        <f t="shared" si="60"/>
        <v>PX: Baja Crit.</v>
      </c>
      <c r="T791">
        <f t="shared" si="61"/>
        <v>0</v>
      </c>
      <c r="U791">
        <f t="shared" si="62"/>
        <v>0</v>
      </c>
      <c r="V791">
        <f t="shared" si="63"/>
        <v>1</v>
      </c>
      <c r="W791">
        <f t="shared" si="64"/>
        <v>0</v>
      </c>
      <c r="X791">
        <v>1</v>
      </c>
      <c r="Y791" s="2">
        <v>45768</v>
      </c>
      <c r="Z791" s="3" t="s">
        <v>89</v>
      </c>
      <c r="AA791" t="s">
        <v>39</v>
      </c>
      <c r="AB791" t="s">
        <v>40</v>
      </c>
      <c r="AC791" t="s">
        <v>40</v>
      </c>
      <c r="AD791" t="s">
        <v>589</v>
      </c>
    </row>
    <row r="792" spans="2:30">
      <c r="B792">
        <v>4</v>
      </c>
      <c r="C792">
        <v>1020</v>
      </c>
      <c r="D792" t="s">
        <v>29</v>
      </c>
      <c r="E792">
        <v>10292108</v>
      </c>
      <c r="F792" t="s">
        <v>888</v>
      </c>
      <c r="G792" t="s">
        <v>31</v>
      </c>
      <c r="H792" t="s">
        <v>44</v>
      </c>
      <c r="I792" t="s">
        <v>588</v>
      </c>
      <c r="J792" t="s">
        <v>45</v>
      </c>
      <c r="K792" t="s">
        <v>252</v>
      </c>
      <c r="L792" t="s">
        <v>36</v>
      </c>
      <c r="M792" t="s">
        <v>69</v>
      </c>
      <c r="N792">
        <v>100</v>
      </c>
      <c r="O792">
        <v>50</v>
      </c>
      <c r="P792">
        <v>10</v>
      </c>
      <c r="Q792">
        <v>100</v>
      </c>
      <c r="R792" s="4">
        <v>7790.36</v>
      </c>
      <c r="S792" t="str">
        <f t="shared" si="60"/>
        <v>PX: Baja Crit.</v>
      </c>
      <c r="T792">
        <f t="shared" si="61"/>
        <v>0</v>
      </c>
      <c r="U792">
        <f t="shared" si="62"/>
        <v>0</v>
      </c>
      <c r="V792">
        <f t="shared" si="63"/>
        <v>1</v>
      </c>
      <c r="W792">
        <f t="shared" si="64"/>
        <v>0</v>
      </c>
      <c r="X792">
        <v>1</v>
      </c>
      <c r="Y792" s="2">
        <v>45768</v>
      </c>
      <c r="Z792" s="3" t="s">
        <v>70</v>
      </c>
      <c r="AA792" t="s">
        <v>39</v>
      </c>
      <c r="AB792" t="s">
        <v>40</v>
      </c>
      <c r="AC792" t="s">
        <v>40</v>
      </c>
      <c r="AD792" t="s">
        <v>589</v>
      </c>
    </row>
    <row r="793" spans="2:30">
      <c r="B793">
        <v>4</v>
      </c>
      <c r="C793">
        <v>1020</v>
      </c>
      <c r="D793" t="s">
        <v>29</v>
      </c>
      <c r="E793">
        <v>14145745</v>
      </c>
      <c r="F793" t="s">
        <v>889</v>
      </c>
      <c r="G793" t="s">
        <v>31</v>
      </c>
      <c r="H793" t="s">
        <v>60</v>
      </c>
      <c r="I793" t="s">
        <v>588</v>
      </c>
      <c r="J793" t="s">
        <v>45</v>
      </c>
      <c r="K793" t="s">
        <v>35</v>
      </c>
      <c r="L793" t="s">
        <v>36</v>
      </c>
      <c r="M793" t="s">
        <v>55</v>
      </c>
      <c r="N793">
        <v>60</v>
      </c>
      <c r="O793">
        <v>31</v>
      </c>
      <c r="P793">
        <v>0</v>
      </c>
      <c r="Q793">
        <v>40</v>
      </c>
      <c r="R793">
        <v>363.28</v>
      </c>
      <c r="S793" t="str">
        <f t="shared" si="60"/>
        <v>PX: Baja Crit.</v>
      </c>
      <c r="T793">
        <f t="shared" si="61"/>
        <v>0</v>
      </c>
      <c r="U793">
        <f t="shared" si="62"/>
        <v>0</v>
      </c>
      <c r="V793">
        <f t="shared" si="63"/>
        <v>1</v>
      </c>
      <c r="W793">
        <f t="shared" si="64"/>
        <v>0</v>
      </c>
      <c r="X793">
        <v>1</v>
      </c>
      <c r="Y793" s="2">
        <v>45768</v>
      </c>
      <c r="Z793" s="3" t="s">
        <v>56</v>
      </c>
      <c r="AA793" t="s">
        <v>39</v>
      </c>
      <c r="AB793" t="s">
        <v>40</v>
      </c>
      <c r="AC793" t="s">
        <v>40</v>
      </c>
      <c r="AD793" t="s">
        <v>589</v>
      </c>
    </row>
    <row r="794" spans="2:30">
      <c r="B794">
        <v>4</v>
      </c>
      <c r="C794">
        <v>1020</v>
      </c>
      <c r="D794" t="s">
        <v>29</v>
      </c>
      <c r="E794">
        <v>10052912</v>
      </c>
      <c r="F794" t="s">
        <v>890</v>
      </c>
      <c r="G794" t="s">
        <v>31</v>
      </c>
      <c r="H794" t="s">
        <v>32</v>
      </c>
      <c r="I794" t="s">
        <v>588</v>
      </c>
      <c r="J794" t="s">
        <v>34</v>
      </c>
      <c r="K794" t="s">
        <v>35</v>
      </c>
      <c r="L794" t="s">
        <v>36</v>
      </c>
      <c r="M794" t="s">
        <v>37</v>
      </c>
      <c r="N794">
        <v>400</v>
      </c>
      <c r="O794">
        <v>201</v>
      </c>
      <c r="P794">
        <v>100</v>
      </c>
      <c r="Q794">
        <v>400</v>
      </c>
      <c r="R794">
        <v>144</v>
      </c>
      <c r="S794" t="str">
        <f t="shared" si="60"/>
        <v>PX: Baja Crit.</v>
      </c>
      <c r="T794">
        <f t="shared" si="61"/>
        <v>0</v>
      </c>
      <c r="U794">
        <f t="shared" si="62"/>
        <v>0</v>
      </c>
      <c r="V794">
        <f t="shared" si="63"/>
        <v>1</v>
      </c>
      <c r="W794">
        <f t="shared" si="64"/>
        <v>0</v>
      </c>
      <c r="X794">
        <v>1</v>
      </c>
      <c r="Y794" s="2">
        <v>45768</v>
      </c>
      <c r="Z794" s="3" t="s">
        <v>38</v>
      </c>
      <c r="AA794" t="s">
        <v>39</v>
      </c>
      <c r="AB794" t="s">
        <v>40</v>
      </c>
      <c r="AC794" t="s">
        <v>40</v>
      </c>
      <c r="AD794" t="s">
        <v>589</v>
      </c>
    </row>
    <row r="795" spans="2:30">
      <c r="B795">
        <v>4</v>
      </c>
      <c r="C795">
        <v>1020</v>
      </c>
      <c r="D795" t="s">
        <v>29</v>
      </c>
      <c r="E795">
        <v>10043799</v>
      </c>
      <c r="F795" t="s">
        <v>891</v>
      </c>
      <c r="G795" t="s">
        <v>52</v>
      </c>
      <c r="H795" t="s">
        <v>60</v>
      </c>
      <c r="I795" t="s">
        <v>588</v>
      </c>
      <c r="J795" t="s">
        <v>45</v>
      </c>
      <c r="K795" t="s">
        <v>65</v>
      </c>
      <c r="L795" t="s">
        <v>36</v>
      </c>
      <c r="M795" t="s">
        <v>37</v>
      </c>
      <c r="N795">
        <v>300</v>
      </c>
      <c r="O795">
        <v>201</v>
      </c>
      <c r="P795">
        <v>100</v>
      </c>
      <c r="Q795">
        <v>175</v>
      </c>
      <c r="R795" s="4">
        <v>1808.48</v>
      </c>
      <c r="S795" t="str">
        <f t="shared" si="60"/>
        <v>PZ: Alta Crit.</v>
      </c>
      <c r="T795">
        <f t="shared" si="61"/>
        <v>0</v>
      </c>
      <c r="U795">
        <f t="shared" si="62"/>
        <v>0</v>
      </c>
      <c r="V795">
        <f t="shared" si="63"/>
        <v>1</v>
      </c>
      <c r="W795">
        <f t="shared" si="64"/>
        <v>0</v>
      </c>
      <c r="X795">
        <v>1</v>
      </c>
      <c r="Y795" s="2">
        <v>45768</v>
      </c>
      <c r="Z795" s="3" t="s">
        <v>38</v>
      </c>
      <c r="AA795" t="s">
        <v>39</v>
      </c>
      <c r="AB795" t="s">
        <v>49</v>
      </c>
      <c r="AC795" s="5" t="s">
        <v>50</v>
      </c>
      <c r="AD795" t="s">
        <v>589</v>
      </c>
    </row>
    <row r="796" spans="2:30">
      <c r="B796">
        <v>4</v>
      </c>
      <c r="C796">
        <v>1020</v>
      </c>
      <c r="D796" t="s">
        <v>29</v>
      </c>
      <c r="E796">
        <v>10293741</v>
      </c>
      <c r="F796" t="s">
        <v>892</v>
      </c>
      <c r="G796" t="s">
        <v>52</v>
      </c>
      <c r="H796" t="s">
        <v>60</v>
      </c>
      <c r="I796" t="s">
        <v>588</v>
      </c>
      <c r="J796" t="s">
        <v>34</v>
      </c>
      <c r="K796" t="s">
        <v>35</v>
      </c>
      <c r="L796" t="s">
        <v>36</v>
      </c>
      <c r="M796" t="s">
        <v>46</v>
      </c>
      <c r="N796">
        <v>50</v>
      </c>
      <c r="O796">
        <v>31</v>
      </c>
      <c r="P796">
        <v>10</v>
      </c>
      <c r="Q796">
        <v>0</v>
      </c>
      <c r="R796">
        <v>0</v>
      </c>
      <c r="S796" t="str">
        <f t="shared" si="60"/>
        <v>PZ: Alta Crit.</v>
      </c>
      <c r="T796">
        <f t="shared" si="61"/>
        <v>1</v>
      </c>
      <c r="U796">
        <f t="shared" si="62"/>
        <v>0</v>
      </c>
      <c r="V796">
        <f t="shared" si="63"/>
        <v>0</v>
      </c>
      <c r="W796">
        <f t="shared" si="64"/>
        <v>0</v>
      </c>
      <c r="X796">
        <v>1</v>
      </c>
      <c r="Y796" s="2">
        <v>45768</v>
      </c>
      <c r="Z796" s="3" t="s">
        <v>47</v>
      </c>
      <c r="AA796" t="s">
        <v>39</v>
      </c>
      <c r="AB796" t="s">
        <v>49</v>
      </c>
      <c r="AC796" s="5" t="s">
        <v>50</v>
      </c>
      <c r="AD796" t="s">
        <v>589</v>
      </c>
    </row>
    <row r="797" spans="2:30">
      <c r="B797">
        <v>4</v>
      </c>
      <c r="C797">
        <v>1020</v>
      </c>
      <c r="D797" t="s">
        <v>29</v>
      </c>
      <c r="E797">
        <v>10050625</v>
      </c>
      <c r="F797" t="s">
        <v>893</v>
      </c>
      <c r="G797" t="s">
        <v>31</v>
      </c>
      <c r="H797" t="s">
        <v>32</v>
      </c>
      <c r="I797" t="s">
        <v>588</v>
      </c>
      <c r="J797" t="s">
        <v>45</v>
      </c>
      <c r="K797" t="s">
        <v>35</v>
      </c>
      <c r="L797" t="s">
        <v>36</v>
      </c>
      <c r="M797" t="s">
        <v>55</v>
      </c>
      <c r="N797">
        <v>50</v>
      </c>
      <c r="O797">
        <v>31</v>
      </c>
      <c r="P797">
        <v>10</v>
      </c>
      <c r="Q797">
        <v>38</v>
      </c>
      <c r="R797">
        <v>27.12</v>
      </c>
      <c r="S797" t="str">
        <f t="shared" si="60"/>
        <v>PX: Baja Crit.</v>
      </c>
      <c r="T797">
        <f t="shared" si="61"/>
        <v>0</v>
      </c>
      <c r="U797">
        <f t="shared" si="62"/>
        <v>0</v>
      </c>
      <c r="V797">
        <f t="shared" si="63"/>
        <v>1</v>
      </c>
      <c r="W797">
        <f t="shared" si="64"/>
        <v>0</v>
      </c>
      <c r="X797">
        <v>1</v>
      </c>
      <c r="Y797" s="2">
        <v>45768</v>
      </c>
      <c r="Z797" s="3" t="s">
        <v>56</v>
      </c>
      <c r="AA797" t="s">
        <v>39</v>
      </c>
      <c r="AB797" t="s">
        <v>40</v>
      </c>
      <c r="AC797" t="s">
        <v>40</v>
      </c>
      <c r="AD797" t="s">
        <v>589</v>
      </c>
    </row>
    <row r="798" spans="2:30">
      <c r="B798">
        <v>4</v>
      </c>
      <c r="C798">
        <v>1020</v>
      </c>
      <c r="D798" t="s">
        <v>29</v>
      </c>
      <c r="E798">
        <v>14296789</v>
      </c>
      <c r="F798" t="s">
        <v>894</v>
      </c>
      <c r="G798" t="s">
        <v>31</v>
      </c>
      <c r="H798" t="s">
        <v>44</v>
      </c>
      <c r="I798" t="s">
        <v>588</v>
      </c>
      <c r="J798" t="s">
        <v>45</v>
      </c>
      <c r="K798" t="s">
        <v>35</v>
      </c>
      <c r="L798" t="s">
        <v>36</v>
      </c>
      <c r="M798" t="s">
        <v>37</v>
      </c>
      <c r="N798">
        <v>14</v>
      </c>
      <c r="O798">
        <v>8</v>
      </c>
      <c r="P798">
        <v>0</v>
      </c>
      <c r="Q798">
        <v>0</v>
      </c>
      <c r="R798">
        <v>0</v>
      </c>
      <c r="S798" t="str">
        <f t="shared" si="60"/>
        <v>PX: Baja Crit.</v>
      </c>
      <c r="T798">
        <f t="shared" si="61"/>
        <v>1</v>
      </c>
      <c r="U798">
        <f t="shared" si="62"/>
        <v>0</v>
      </c>
      <c r="V798">
        <f t="shared" si="63"/>
        <v>0</v>
      </c>
      <c r="W798">
        <f t="shared" si="64"/>
        <v>0</v>
      </c>
      <c r="X798">
        <v>1</v>
      </c>
      <c r="Y798" s="2">
        <v>45768</v>
      </c>
      <c r="Z798" s="3" t="s">
        <v>38</v>
      </c>
      <c r="AA798" t="s">
        <v>39</v>
      </c>
      <c r="AB798" t="s">
        <v>76</v>
      </c>
      <c r="AC798" s="5" t="s">
        <v>77</v>
      </c>
      <c r="AD798" t="s">
        <v>589</v>
      </c>
    </row>
    <row r="799" spans="2:30">
      <c r="B799">
        <v>4</v>
      </c>
      <c r="C799">
        <v>1020</v>
      </c>
      <c r="D799" t="s">
        <v>29</v>
      </c>
      <c r="E799">
        <v>10049288</v>
      </c>
      <c r="F799" t="s">
        <v>895</v>
      </c>
      <c r="G799" t="s">
        <v>43</v>
      </c>
      <c r="H799" t="s">
        <v>32</v>
      </c>
      <c r="I799" t="s">
        <v>588</v>
      </c>
      <c r="J799" t="s">
        <v>45</v>
      </c>
      <c r="K799" t="s">
        <v>35</v>
      </c>
      <c r="L799" t="s">
        <v>36</v>
      </c>
      <c r="M799" t="s">
        <v>88</v>
      </c>
      <c r="N799">
        <v>20</v>
      </c>
      <c r="O799">
        <v>11</v>
      </c>
      <c r="P799">
        <v>3</v>
      </c>
      <c r="Q799">
        <v>13</v>
      </c>
      <c r="R799">
        <v>147.26</v>
      </c>
      <c r="S799" t="str">
        <f t="shared" si="60"/>
        <v>PY: Media Crit.</v>
      </c>
      <c r="T799">
        <f t="shared" si="61"/>
        <v>0</v>
      </c>
      <c r="U799">
        <f t="shared" si="62"/>
        <v>0</v>
      </c>
      <c r="V799">
        <f t="shared" si="63"/>
        <v>1</v>
      </c>
      <c r="W799">
        <f t="shared" si="64"/>
        <v>0</v>
      </c>
      <c r="X799">
        <v>1</v>
      </c>
      <c r="Y799" s="2">
        <v>45768</v>
      </c>
      <c r="Z799" s="3" t="s">
        <v>89</v>
      </c>
      <c r="AA799" t="s">
        <v>39</v>
      </c>
      <c r="AB799" t="s">
        <v>40</v>
      </c>
      <c r="AC799" t="s">
        <v>40</v>
      </c>
      <c r="AD799" t="s">
        <v>589</v>
      </c>
    </row>
    <row r="800" spans="2:30">
      <c r="B800">
        <v>4</v>
      </c>
      <c r="C800">
        <v>1020</v>
      </c>
      <c r="D800" t="s">
        <v>29</v>
      </c>
      <c r="E800">
        <v>14013821</v>
      </c>
      <c r="F800" t="s">
        <v>896</v>
      </c>
      <c r="G800" t="s">
        <v>43</v>
      </c>
      <c r="H800" t="s">
        <v>60</v>
      </c>
      <c r="I800" t="s">
        <v>588</v>
      </c>
      <c r="J800" t="s">
        <v>45</v>
      </c>
      <c r="K800" t="s">
        <v>35</v>
      </c>
      <c r="L800" t="s">
        <v>36</v>
      </c>
      <c r="M800" t="s">
        <v>117</v>
      </c>
      <c r="N800">
        <v>20</v>
      </c>
      <c r="O800">
        <v>11</v>
      </c>
      <c r="P800">
        <v>5</v>
      </c>
      <c r="Q800">
        <v>51</v>
      </c>
      <c r="R800" s="4">
        <v>6014.24</v>
      </c>
      <c r="S800" t="str">
        <f t="shared" si="60"/>
        <v>PY: Media Crit.</v>
      </c>
      <c r="T800">
        <f t="shared" si="61"/>
        <v>0</v>
      </c>
      <c r="U800">
        <f t="shared" si="62"/>
        <v>0</v>
      </c>
      <c r="V800">
        <f t="shared" si="63"/>
        <v>0</v>
      </c>
      <c r="W800">
        <f t="shared" si="64"/>
        <v>1</v>
      </c>
      <c r="X800">
        <v>1</v>
      </c>
      <c r="Y800" s="2">
        <v>45768</v>
      </c>
      <c r="Z800" s="3" t="s">
        <v>118</v>
      </c>
      <c r="AA800" t="s">
        <v>39</v>
      </c>
      <c r="AB800" t="s">
        <v>40</v>
      </c>
      <c r="AC800" t="s">
        <v>40</v>
      </c>
      <c r="AD800" t="s">
        <v>589</v>
      </c>
    </row>
    <row r="801" spans="2:30">
      <c r="B801">
        <v>4</v>
      </c>
      <c r="C801">
        <v>1020</v>
      </c>
      <c r="D801" t="s">
        <v>29</v>
      </c>
      <c r="E801">
        <v>10042134</v>
      </c>
      <c r="F801" t="s">
        <v>897</v>
      </c>
      <c r="G801" t="s">
        <v>31</v>
      </c>
      <c r="H801" t="s">
        <v>32</v>
      </c>
      <c r="I801" t="s">
        <v>588</v>
      </c>
      <c r="J801" t="s">
        <v>45</v>
      </c>
      <c r="K801" t="s">
        <v>35</v>
      </c>
      <c r="L801" t="s">
        <v>36</v>
      </c>
      <c r="M801" t="s">
        <v>117</v>
      </c>
      <c r="N801">
        <v>3</v>
      </c>
      <c r="O801">
        <v>2</v>
      </c>
      <c r="P801">
        <v>1</v>
      </c>
      <c r="Q801">
        <v>0</v>
      </c>
      <c r="R801">
        <v>0</v>
      </c>
      <c r="S801" t="str">
        <f t="shared" si="60"/>
        <v>PX: Baja Crit.</v>
      </c>
      <c r="T801">
        <f t="shared" si="61"/>
        <v>1</v>
      </c>
      <c r="U801">
        <f t="shared" si="62"/>
        <v>0</v>
      </c>
      <c r="V801">
        <f t="shared" si="63"/>
        <v>0</v>
      </c>
      <c r="W801">
        <f t="shared" si="64"/>
        <v>0</v>
      </c>
      <c r="X801">
        <v>1</v>
      </c>
      <c r="Y801" s="2">
        <v>45768</v>
      </c>
      <c r="Z801" s="3" t="s">
        <v>118</v>
      </c>
      <c r="AA801" t="s">
        <v>39</v>
      </c>
      <c r="AB801" t="s">
        <v>49</v>
      </c>
      <c r="AC801" s="5" t="s">
        <v>50</v>
      </c>
      <c r="AD801" t="s">
        <v>589</v>
      </c>
    </row>
    <row r="802" spans="2:30">
      <c r="B802">
        <v>4</v>
      </c>
      <c r="C802">
        <v>1020</v>
      </c>
      <c r="D802" t="s">
        <v>29</v>
      </c>
      <c r="E802">
        <v>10153002</v>
      </c>
      <c r="F802" t="s">
        <v>898</v>
      </c>
      <c r="G802" t="s">
        <v>31</v>
      </c>
      <c r="H802" t="s">
        <v>32</v>
      </c>
      <c r="I802" t="s">
        <v>588</v>
      </c>
      <c r="J802" t="s">
        <v>45</v>
      </c>
      <c r="K802" t="s">
        <v>35</v>
      </c>
      <c r="L802" t="s">
        <v>36</v>
      </c>
      <c r="M802" t="s">
        <v>37</v>
      </c>
      <c r="N802">
        <v>4</v>
      </c>
      <c r="O802">
        <v>3</v>
      </c>
      <c r="P802">
        <v>1</v>
      </c>
      <c r="Q802">
        <v>4</v>
      </c>
      <c r="R802">
        <v>55.2</v>
      </c>
      <c r="S802" t="str">
        <f t="shared" si="60"/>
        <v>PX: Baja Crit.</v>
      </c>
      <c r="T802">
        <f t="shared" si="61"/>
        <v>0</v>
      </c>
      <c r="U802">
        <f t="shared" si="62"/>
        <v>0</v>
      </c>
      <c r="V802">
        <f t="shared" si="63"/>
        <v>1</v>
      </c>
      <c r="W802">
        <f t="shared" si="64"/>
        <v>0</v>
      </c>
      <c r="X802">
        <v>1</v>
      </c>
      <c r="Y802" s="2">
        <v>45768</v>
      </c>
      <c r="Z802" s="3" t="s">
        <v>38</v>
      </c>
      <c r="AA802" t="s">
        <v>39</v>
      </c>
      <c r="AB802" t="s">
        <v>40</v>
      </c>
      <c r="AC802" t="s">
        <v>40</v>
      </c>
      <c r="AD802" t="s">
        <v>589</v>
      </c>
    </row>
    <row r="803" spans="2:30">
      <c r="B803">
        <v>4</v>
      </c>
      <c r="C803">
        <v>1020</v>
      </c>
      <c r="D803" t="s">
        <v>29</v>
      </c>
      <c r="E803">
        <v>10047418</v>
      </c>
      <c r="F803" t="s">
        <v>899</v>
      </c>
      <c r="G803" t="s">
        <v>43</v>
      </c>
      <c r="H803" t="s">
        <v>32</v>
      </c>
      <c r="I803" t="s">
        <v>588</v>
      </c>
      <c r="J803" t="s">
        <v>45</v>
      </c>
      <c r="K803" t="s">
        <v>35</v>
      </c>
      <c r="L803" t="s">
        <v>36</v>
      </c>
      <c r="M803" t="s">
        <v>37</v>
      </c>
      <c r="N803">
        <v>8</v>
      </c>
      <c r="O803">
        <v>5</v>
      </c>
      <c r="P803">
        <v>1</v>
      </c>
      <c r="Q803">
        <v>6</v>
      </c>
      <c r="R803" s="4">
        <v>6441.32</v>
      </c>
      <c r="S803" t="str">
        <f t="shared" si="60"/>
        <v>PY: Media Crit.</v>
      </c>
      <c r="T803">
        <f t="shared" si="61"/>
        <v>0</v>
      </c>
      <c r="U803">
        <f t="shared" si="62"/>
        <v>0</v>
      </c>
      <c r="V803">
        <f t="shared" si="63"/>
        <v>1</v>
      </c>
      <c r="W803">
        <f t="shared" si="64"/>
        <v>0</v>
      </c>
      <c r="X803">
        <v>1</v>
      </c>
      <c r="Y803" s="2">
        <v>45768</v>
      </c>
      <c r="Z803" s="3" t="s">
        <v>38</v>
      </c>
      <c r="AA803" t="s">
        <v>39</v>
      </c>
      <c r="AB803" t="s">
        <v>40</v>
      </c>
      <c r="AC803" t="s">
        <v>40</v>
      </c>
      <c r="AD803" t="s">
        <v>589</v>
      </c>
    </row>
    <row r="804" spans="2:30">
      <c r="B804">
        <v>4</v>
      </c>
      <c r="C804">
        <v>1020</v>
      </c>
      <c r="D804" t="s">
        <v>29</v>
      </c>
      <c r="E804">
        <v>10050757</v>
      </c>
      <c r="F804" t="s">
        <v>900</v>
      </c>
      <c r="G804" t="s">
        <v>31</v>
      </c>
      <c r="H804" t="s">
        <v>32</v>
      </c>
      <c r="I804" t="s">
        <v>588</v>
      </c>
      <c r="J804" t="s">
        <v>45</v>
      </c>
      <c r="K804" t="s">
        <v>35</v>
      </c>
      <c r="L804" t="s">
        <v>36</v>
      </c>
      <c r="M804" t="s">
        <v>88</v>
      </c>
      <c r="N804">
        <v>20</v>
      </c>
      <c r="O804">
        <v>11</v>
      </c>
      <c r="P804">
        <v>5</v>
      </c>
      <c r="Q804">
        <v>10</v>
      </c>
      <c r="R804">
        <v>29.46</v>
      </c>
      <c r="S804" t="str">
        <f t="shared" si="60"/>
        <v>PX: Baja Crit.</v>
      </c>
      <c r="T804">
        <f t="shared" si="61"/>
        <v>0</v>
      </c>
      <c r="U804">
        <f t="shared" si="62"/>
        <v>0</v>
      </c>
      <c r="V804">
        <f t="shared" si="63"/>
        <v>1</v>
      </c>
      <c r="W804">
        <f t="shared" si="64"/>
        <v>0</v>
      </c>
      <c r="X804">
        <v>1</v>
      </c>
      <c r="Y804" s="2">
        <v>45768</v>
      </c>
      <c r="Z804" s="3" t="s">
        <v>89</v>
      </c>
      <c r="AA804" t="s">
        <v>39</v>
      </c>
      <c r="AB804" t="s">
        <v>76</v>
      </c>
      <c r="AC804" s="5" t="s">
        <v>77</v>
      </c>
      <c r="AD804" t="s">
        <v>589</v>
      </c>
    </row>
    <row r="805" spans="2:30">
      <c r="B805">
        <v>4</v>
      </c>
      <c r="C805">
        <v>1020</v>
      </c>
      <c r="D805" t="s">
        <v>29</v>
      </c>
      <c r="E805">
        <v>10050783</v>
      </c>
      <c r="F805" t="s">
        <v>901</v>
      </c>
      <c r="G805" t="s">
        <v>31</v>
      </c>
      <c r="H805" t="s">
        <v>32</v>
      </c>
      <c r="I805" t="s">
        <v>588</v>
      </c>
      <c r="J805" t="s">
        <v>45</v>
      </c>
      <c r="K805" t="s">
        <v>35</v>
      </c>
      <c r="L805" t="s">
        <v>36</v>
      </c>
      <c r="M805" t="s">
        <v>88</v>
      </c>
      <c r="N805">
        <v>20</v>
      </c>
      <c r="O805">
        <v>10</v>
      </c>
      <c r="P805">
        <v>2</v>
      </c>
      <c r="Q805">
        <v>15</v>
      </c>
      <c r="R805">
        <v>93.99</v>
      </c>
      <c r="S805" t="str">
        <f t="shared" si="60"/>
        <v>PX: Baja Crit.</v>
      </c>
      <c r="T805">
        <f t="shared" si="61"/>
        <v>0</v>
      </c>
      <c r="U805">
        <f t="shared" si="62"/>
        <v>0</v>
      </c>
      <c r="V805">
        <f t="shared" si="63"/>
        <v>1</v>
      </c>
      <c r="W805">
        <f t="shared" si="64"/>
        <v>0</v>
      </c>
      <c r="X805">
        <v>1</v>
      </c>
      <c r="Y805" s="2">
        <v>45768</v>
      </c>
      <c r="Z805" s="3" t="s">
        <v>89</v>
      </c>
      <c r="AA805" t="s">
        <v>39</v>
      </c>
      <c r="AB805" t="s">
        <v>40</v>
      </c>
      <c r="AC805" t="s">
        <v>40</v>
      </c>
      <c r="AD805" t="s">
        <v>589</v>
      </c>
    </row>
    <row r="806" spans="2:30">
      <c r="B806">
        <v>4</v>
      </c>
      <c r="C806">
        <v>1020</v>
      </c>
      <c r="D806" t="s">
        <v>29</v>
      </c>
      <c r="E806">
        <v>10057107</v>
      </c>
      <c r="F806" t="s">
        <v>902</v>
      </c>
      <c r="G806" t="s">
        <v>43</v>
      </c>
      <c r="H806" t="s">
        <v>32</v>
      </c>
      <c r="I806" t="s">
        <v>588</v>
      </c>
      <c r="J806" t="s">
        <v>45</v>
      </c>
      <c r="K806" t="s">
        <v>35</v>
      </c>
      <c r="L806" t="s">
        <v>36</v>
      </c>
      <c r="M806" t="s">
        <v>46</v>
      </c>
      <c r="N806">
        <v>8</v>
      </c>
      <c r="O806">
        <v>5</v>
      </c>
      <c r="P806">
        <v>3</v>
      </c>
      <c r="Q806">
        <v>7</v>
      </c>
      <c r="R806" s="4">
        <v>1217.0899999999999</v>
      </c>
      <c r="S806" t="str">
        <f t="shared" si="60"/>
        <v>PY: Media Crit.</v>
      </c>
      <c r="T806">
        <f t="shared" si="61"/>
        <v>0</v>
      </c>
      <c r="U806">
        <f t="shared" si="62"/>
        <v>0</v>
      </c>
      <c r="V806">
        <f t="shared" si="63"/>
        <v>1</v>
      </c>
      <c r="W806">
        <f t="shared" si="64"/>
        <v>0</v>
      </c>
      <c r="X806">
        <v>1</v>
      </c>
      <c r="Y806" s="2">
        <v>45768</v>
      </c>
      <c r="Z806" s="3" t="s">
        <v>47</v>
      </c>
      <c r="AA806" t="s">
        <v>39</v>
      </c>
      <c r="AB806" t="s">
        <v>40</v>
      </c>
      <c r="AC806" t="s">
        <v>40</v>
      </c>
      <c r="AD806" t="s">
        <v>589</v>
      </c>
    </row>
    <row r="807" spans="2:30">
      <c r="B807">
        <v>4</v>
      </c>
      <c r="C807">
        <v>1020</v>
      </c>
      <c r="D807" t="s">
        <v>29</v>
      </c>
      <c r="E807">
        <v>10041240</v>
      </c>
      <c r="F807" t="s">
        <v>903</v>
      </c>
      <c r="G807" t="s">
        <v>43</v>
      </c>
      <c r="H807" t="s">
        <v>32</v>
      </c>
      <c r="I807" t="s">
        <v>588</v>
      </c>
      <c r="J807" t="s">
        <v>34</v>
      </c>
      <c r="K807" t="s">
        <v>252</v>
      </c>
      <c r="L807" t="s">
        <v>36</v>
      </c>
      <c r="M807" t="s">
        <v>69</v>
      </c>
      <c r="N807">
        <v>400</v>
      </c>
      <c r="O807">
        <v>101</v>
      </c>
      <c r="P807">
        <v>100</v>
      </c>
      <c r="Q807">
        <v>100</v>
      </c>
      <c r="R807">
        <v>460.3</v>
      </c>
      <c r="S807" t="str">
        <f t="shared" si="60"/>
        <v>PY: Media Crit.</v>
      </c>
      <c r="T807">
        <f t="shared" si="61"/>
        <v>0</v>
      </c>
      <c r="U807">
        <f t="shared" si="62"/>
        <v>1</v>
      </c>
      <c r="V807">
        <f t="shared" si="63"/>
        <v>0</v>
      </c>
      <c r="W807">
        <f t="shared" si="64"/>
        <v>0</v>
      </c>
      <c r="X807">
        <v>1</v>
      </c>
      <c r="Y807" s="2">
        <v>45768</v>
      </c>
      <c r="Z807" s="3" t="s">
        <v>70</v>
      </c>
      <c r="AA807" t="s">
        <v>39</v>
      </c>
      <c r="AB807" t="s">
        <v>49</v>
      </c>
      <c r="AC807" s="5" t="s">
        <v>50</v>
      </c>
      <c r="AD807" t="s">
        <v>589</v>
      </c>
    </row>
    <row r="808" spans="2:30">
      <c r="B808">
        <v>4</v>
      </c>
      <c r="C808">
        <v>1020</v>
      </c>
      <c r="D808" t="s">
        <v>29</v>
      </c>
      <c r="E808">
        <v>10056861</v>
      </c>
      <c r="F808" t="s">
        <v>904</v>
      </c>
      <c r="G808" t="s">
        <v>31</v>
      </c>
      <c r="H808" t="s">
        <v>32</v>
      </c>
      <c r="I808" t="s">
        <v>588</v>
      </c>
      <c r="J808" t="s">
        <v>45</v>
      </c>
      <c r="K808" t="s">
        <v>252</v>
      </c>
      <c r="L808" t="s">
        <v>36</v>
      </c>
      <c r="M808" t="s">
        <v>69</v>
      </c>
      <c r="N808">
        <v>200</v>
      </c>
      <c r="O808">
        <v>101</v>
      </c>
      <c r="P808">
        <v>50</v>
      </c>
      <c r="Q808">
        <v>200</v>
      </c>
      <c r="R808">
        <v>511.94</v>
      </c>
      <c r="S808" t="str">
        <f t="shared" si="60"/>
        <v>PX: Baja Crit.</v>
      </c>
      <c r="T808">
        <f t="shared" si="61"/>
        <v>0</v>
      </c>
      <c r="U808">
        <f t="shared" si="62"/>
        <v>0</v>
      </c>
      <c r="V808">
        <f t="shared" si="63"/>
        <v>1</v>
      </c>
      <c r="W808">
        <f t="shared" si="64"/>
        <v>0</v>
      </c>
      <c r="X808">
        <v>1</v>
      </c>
      <c r="Y808" s="2">
        <v>45768</v>
      </c>
      <c r="Z808" s="3" t="s">
        <v>70</v>
      </c>
      <c r="AA808" t="s">
        <v>39</v>
      </c>
      <c r="AB808" t="s">
        <v>40</v>
      </c>
      <c r="AC808" t="s">
        <v>40</v>
      </c>
      <c r="AD808" t="s">
        <v>589</v>
      </c>
    </row>
    <row r="809" spans="2:30">
      <c r="B809">
        <v>4</v>
      </c>
      <c r="C809">
        <v>1020</v>
      </c>
      <c r="D809" t="s">
        <v>29</v>
      </c>
      <c r="E809">
        <v>10056534</v>
      </c>
      <c r="F809" t="s">
        <v>905</v>
      </c>
      <c r="G809" t="s">
        <v>43</v>
      </c>
      <c r="H809" t="s">
        <v>32</v>
      </c>
      <c r="I809" t="s">
        <v>588</v>
      </c>
      <c r="J809" t="s">
        <v>45</v>
      </c>
      <c r="K809" t="s">
        <v>35</v>
      </c>
      <c r="L809" t="s">
        <v>36</v>
      </c>
      <c r="M809" t="s">
        <v>37</v>
      </c>
      <c r="N809">
        <v>60</v>
      </c>
      <c r="O809">
        <v>40</v>
      </c>
      <c r="P809">
        <v>20</v>
      </c>
      <c r="Q809">
        <v>60</v>
      </c>
      <c r="R809" s="4">
        <v>3161.99</v>
      </c>
      <c r="S809" t="str">
        <f t="shared" si="60"/>
        <v>PY: Media Crit.</v>
      </c>
      <c r="T809">
        <f t="shared" si="61"/>
        <v>0</v>
      </c>
      <c r="U809">
        <f t="shared" si="62"/>
        <v>0</v>
      </c>
      <c r="V809">
        <f t="shared" si="63"/>
        <v>1</v>
      </c>
      <c r="W809">
        <f t="shared" si="64"/>
        <v>0</v>
      </c>
      <c r="X809">
        <v>1</v>
      </c>
      <c r="Y809" s="2">
        <v>45768</v>
      </c>
      <c r="Z809" s="3" t="s">
        <v>38</v>
      </c>
      <c r="AA809" t="s">
        <v>39</v>
      </c>
      <c r="AB809" t="s">
        <v>40</v>
      </c>
      <c r="AC809" t="s">
        <v>40</v>
      </c>
      <c r="AD809" t="s">
        <v>589</v>
      </c>
    </row>
    <row r="810" spans="2:30">
      <c r="B810">
        <v>4</v>
      </c>
      <c r="C810">
        <v>1020</v>
      </c>
      <c r="D810" t="s">
        <v>29</v>
      </c>
      <c r="E810">
        <v>10042161</v>
      </c>
      <c r="F810" t="s">
        <v>906</v>
      </c>
      <c r="G810" t="s">
        <v>52</v>
      </c>
      <c r="H810" t="s">
        <v>32</v>
      </c>
      <c r="I810" t="s">
        <v>588</v>
      </c>
      <c r="J810" t="s">
        <v>45</v>
      </c>
      <c r="K810" t="s">
        <v>35</v>
      </c>
      <c r="L810" t="s">
        <v>36</v>
      </c>
      <c r="M810" t="s">
        <v>117</v>
      </c>
      <c r="N810">
        <v>10</v>
      </c>
      <c r="O810">
        <v>5</v>
      </c>
      <c r="P810">
        <v>0</v>
      </c>
      <c r="Q810">
        <v>20</v>
      </c>
      <c r="R810" s="4">
        <v>3038.39</v>
      </c>
      <c r="S810" t="str">
        <f t="shared" si="60"/>
        <v>PZ: Alta Crit.</v>
      </c>
      <c r="T810">
        <f t="shared" si="61"/>
        <v>0</v>
      </c>
      <c r="U810">
        <f t="shared" si="62"/>
        <v>0</v>
      </c>
      <c r="V810">
        <f t="shared" si="63"/>
        <v>0</v>
      </c>
      <c r="W810">
        <f t="shared" si="64"/>
        <v>1</v>
      </c>
      <c r="X810">
        <v>1</v>
      </c>
      <c r="Y810" s="2">
        <v>45768</v>
      </c>
      <c r="Z810" s="3" t="s">
        <v>118</v>
      </c>
      <c r="AA810" t="s">
        <v>39</v>
      </c>
      <c r="AB810" t="s">
        <v>40</v>
      </c>
      <c r="AC810" t="s">
        <v>40</v>
      </c>
      <c r="AD810" t="s">
        <v>589</v>
      </c>
    </row>
    <row r="811" spans="2:30">
      <c r="B811">
        <v>4</v>
      </c>
      <c r="C811">
        <v>1020</v>
      </c>
      <c r="D811" t="s">
        <v>29</v>
      </c>
      <c r="E811">
        <v>10043574</v>
      </c>
      <c r="F811" t="s">
        <v>907</v>
      </c>
      <c r="G811" t="s">
        <v>31</v>
      </c>
      <c r="H811" t="s">
        <v>32</v>
      </c>
      <c r="I811" t="s">
        <v>588</v>
      </c>
      <c r="J811" t="s">
        <v>34</v>
      </c>
      <c r="K811" t="s">
        <v>35</v>
      </c>
      <c r="L811" t="s">
        <v>36</v>
      </c>
      <c r="M811" t="s">
        <v>37</v>
      </c>
      <c r="N811">
        <v>6</v>
      </c>
      <c r="O811">
        <v>3</v>
      </c>
      <c r="P811">
        <v>2</v>
      </c>
      <c r="Q811">
        <v>4</v>
      </c>
      <c r="R811">
        <v>42</v>
      </c>
      <c r="S811" t="str">
        <f t="shared" si="60"/>
        <v>PX: Baja Crit.</v>
      </c>
      <c r="T811">
        <f t="shared" si="61"/>
        <v>0</v>
      </c>
      <c r="U811">
        <f t="shared" si="62"/>
        <v>0</v>
      </c>
      <c r="V811">
        <f t="shared" si="63"/>
        <v>1</v>
      </c>
      <c r="W811">
        <f t="shared" si="64"/>
        <v>0</v>
      </c>
      <c r="X811">
        <v>1</v>
      </c>
      <c r="Y811" s="2">
        <v>45768</v>
      </c>
      <c r="Z811" s="3" t="s">
        <v>38</v>
      </c>
      <c r="AA811" t="s">
        <v>39</v>
      </c>
      <c r="AB811" t="s">
        <v>40</v>
      </c>
      <c r="AC811" t="s">
        <v>40</v>
      </c>
      <c r="AD811" t="s">
        <v>589</v>
      </c>
    </row>
    <row r="812" spans="2:30">
      <c r="B812">
        <v>4</v>
      </c>
      <c r="C812">
        <v>1020</v>
      </c>
      <c r="D812" t="s">
        <v>29</v>
      </c>
      <c r="E812">
        <v>10192166</v>
      </c>
      <c r="F812" t="s">
        <v>908</v>
      </c>
      <c r="G812" t="s">
        <v>52</v>
      </c>
      <c r="H812" t="s">
        <v>60</v>
      </c>
      <c r="I812" t="s">
        <v>588</v>
      </c>
      <c r="J812" t="s">
        <v>45</v>
      </c>
      <c r="K812" t="s">
        <v>35</v>
      </c>
      <c r="L812" t="s">
        <v>36</v>
      </c>
      <c r="M812" t="s">
        <v>117</v>
      </c>
      <c r="N812">
        <v>6</v>
      </c>
      <c r="O812">
        <v>4</v>
      </c>
      <c r="P812">
        <v>2</v>
      </c>
      <c r="Q812">
        <v>6</v>
      </c>
      <c r="R812" s="4">
        <v>3968.91</v>
      </c>
      <c r="S812" t="str">
        <f t="shared" si="60"/>
        <v>PZ: Alta Crit.</v>
      </c>
      <c r="T812">
        <f t="shared" si="61"/>
        <v>0</v>
      </c>
      <c r="U812">
        <f t="shared" si="62"/>
        <v>0</v>
      </c>
      <c r="V812">
        <f t="shared" si="63"/>
        <v>1</v>
      </c>
      <c r="W812">
        <f t="shared" si="64"/>
        <v>0</v>
      </c>
      <c r="X812">
        <v>1</v>
      </c>
      <c r="Y812" s="2">
        <v>45768</v>
      </c>
      <c r="Z812" s="3" t="s">
        <v>118</v>
      </c>
      <c r="AA812" t="s">
        <v>39</v>
      </c>
      <c r="AB812" t="s">
        <v>40</v>
      </c>
      <c r="AC812" t="s">
        <v>40</v>
      </c>
      <c r="AD812" t="s">
        <v>589</v>
      </c>
    </row>
    <row r="813" spans="2:30">
      <c r="B813">
        <v>4</v>
      </c>
      <c r="C813">
        <v>1020</v>
      </c>
      <c r="D813" t="s">
        <v>29</v>
      </c>
      <c r="E813">
        <v>10715883</v>
      </c>
      <c r="F813" t="s">
        <v>909</v>
      </c>
      <c r="G813" t="s">
        <v>52</v>
      </c>
      <c r="H813" t="s">
        <v>32</v>
      </c>
      <c r="I813" t="s">
        <v>588</v>
      </c>
      <c r="J813" t="s">
        <v>45</v>
      </c>
      <c r="K813" t="s">
        <v>35</v>
      </c>
      <c r="L813" t="s">
        <v>36</v>
      </c>
      <c r="M813" t="s">
        <v>46</v>
      </c>
      <c r="N813">
        <v>6</v>
      </c>
      <c r="O813">
        <v>4</v>
      </c>
      <c r="P813">
        <v>3</v>
      </c>
      <c r="Q813">
        <v>4</v>
      </c>
      <c r="R813" s="4">
        <v>7881.26</v>
      </c>
      <c r="S813" t="str">
        <f t="shared" si="60"/>
        <v>PZ: Alta Crit.</v>
      </c>
      <c r="T813">
        <f t="shared" si="61"/>
        <v>0</v>
      </c>
      <c r="U813">
        <f t="shared" si="62"/>
        <v>0</v>
      </c>
      <c r="V813">
        <f t="shared" si="63"/>
        <v>1</v>
      </c>
      <c r="W813">
        <f t="shared" si="64"/>
        <v>0</v>
      </c>
      <c r="X813">
        <v>1</v>
      </c>
      <c r="Y813" s="2">
        <v>45768</v>
      </c>
      <c r="Z813" s="3" t="s">
        <v>47</v>
      </c>
      <c r="AA813" t="s">
        <v>39</v>
      </c>
      <c r="AB813" t="s">
        <v>40</v>
      </c>
      <c r="AC813" t="s">
        <v>40</v>
      </c>
      <c r="AD813" t="s">
        <v>589</v>
      </c>
    </row>
    <row r="814" spans="2:30">
      <c r="B814">
        <v>4</v>
      </c>
      <c r="C814">
        <v>1020</v>
      </c>
      <c r="D814" t="s">
        <v>29</v>
      </c>
      <c r="E814">
        <v>14192338</v>
      </c>
      <c r="F814" t="s">
        <v>910</v>
      </c>
      <c r="G814" t="s">
        <v>43</v>
      </c>
      <c r="H814" t="s">
        <v>32</v>
      </c>
      <c r="I814" t="s">
        <v>588</v>
      </c>
      <c r="J814" t="s">
        <v>45</v>
      </c>
      <c r="K814" t="s">
        <v>35</v>
      </c>
      <c r="L814" t="s">
        <v>36</v>
      </c>
      <c r="M814" t="s">
        <v>46</v>
      </c>
      <c r="N814">
        <v>2</v>
      </c>
      <c r="O814">
        <v>2</v>
      </c>
      <c r="P814">
        <v>0</v>
      </c>
      <c r="Q814">
        <v>4</v>
      </c>
      <c r="R814">
        <v>221.11</v>
      </c>
      <c r="S814" t="str">
        <f t="shared" si="60"/>
        <v>PY: Media Crit.</v>
      </c>
      <c r="T814">
        <f t="shared" si="61"/>
        <v>0</v>
      </c>
      <c r="U814">
        <f t="shared" si="62"/>
        <v>0</v>
      </c>
      <c r="V814">
        <f t="shared" si="63"/>
        <v>0</v>
      </c>
      <c r="W814">
        <f t="shared" si="64"/>
        <v>1</v>
      </c>
      <c r="X814">
        <v>1</v>
      </c>
      <c r="Y814" s="2">
        <v>45768</v>
      </c>
      <c r="Z814" s="3" t="s">
        <v>47</v>
      </c>
      <c r="AA814" t="s">
        <v>39</v>
      </c>
      <c r="AB814" t="s">
        <v>40</v>
      </c>
      <c r="AC814" t="s">
        <v>40</v>
      </c>
      <c r="AD814" t="s">
        <v>589</v>
      </c>
    </row>
    <row r="815" spans="2:30">
      <c r="B815">
        <v>4</v>
      </c>
      <c r="C815">
        <v>1020</v>
      </c>
      <c r="D815" t="s">
        <v>29</v>
      </c>
      <c r="E815">
        <v>10048278</v>
      </c>
      <c r="F815" t="s">
        <v>911</v>
      </c>
      <c r="G815" t="s">
        <v>52</v>
      </c>
      <c r="H815" t="s">
        <v>32</v>
      </c>
      <c r="I815" t="s">
        <v>588</v>
      </c>
      <c r="J815" t="s">
        <v>45</v>
      </c>
      <c r="K815" t="s">
        <v>35</v>
      </c>
      <c r="L815" t="s">
        <v>36</v>
      </c>
      <c r="M815" t="s">
        <v>46</v>
      </c>
      <c r="N815">
        <v>6</v>
      </c>
      <c r="O815">
        <v>4</v>
      </c>
      <c r="P815">
        <v>2</v>
      </c>
      <c r="Q815">
        <v>0</v>
      </c>
      <c r="R815">
        <v>0</v>
      </c>
      <c r="S815" t="str">
        <f t="shared" si="60"/>
        <v>PZ: Alta Crit.</v>
      </c>
      <c r="T815">
        <f t="shared" si="61"/>
        <v>1</v>
      </c>
      <c r="U815">
        <f t="shared" si="62"/>
        <v>0</v>
      </c>
      <c r="V815">
        <f t="shared" si="63"/>
        <v>0</v>
      </c>
      <c r="W815">
        <f t="shared" si="64"/>
        <v>0</v>
      </c>
      <c r="X815">
        <v>1</v>
      </c>
      <c r="Y815" s="2">
        <v>45768</v>
      </c>
      <c r="Z815" s="3" t="s">
        <v>47</v>
      </c>
      <c r="AA815" t="s">
        <v>39</v>
      </c>
      <c r="AB815" t="s">
        <v>76</v>
      </c>
      <c r="AC815" s="5" t="s">
        <v>77</v>
      </c>
      <c r="AD815" t="s">
        <v>589</v>
      </c>
    </row>
    <row r="816" spans="2:30">
      <c r="B816">
        <v>4</v>
      </c>
      <c r="C816">
        <v>1020</v>
      </c>
      <c r="D816" t="s">
        <v>29</v>
      </c>
      <c r="E816">
        <v>10019358</v>
      </c>
      <c r="F816" t="s">
        <v>912</v>
      </c>
      <c r="G816" t="s">
        <v>43</v>
      </c>
      <c r="H816" t="s">
        <v>32</v>
      </c>
      <c r="I816" t="s">
        <v>588</v>
      </c>
      <c r="J816" t="s">
        <v>45</v>
      </c>
      <c r="K816" t="s">
        <v>35</v>
      </c>
      <c r="L816" t="s">
        <v>36</v>
      </c>
      <c r="M816" t="s">
        <v>55</v>
      </c>
      <c r="N816">
        <v>50</v>
      </c>
      <c r="O816">
        <v>31</v>
      </c>
      <c r="P816">
        <v>2</v>
      </c>
      <c r="Q816">
        <v>74</v>
      </c>
      <c r="R816">
        <v>198.78</v>
      </c>
      <c r="S816" t="str">
        <f t="shared" si="60"/>
        <v>PY: Media Crit.</v>
      </c>
      <c r="T816">
        <f t="shared" si="61"/>
        <v>0</v>
      </c>
      <c r="U816">
        <f t="shared" si="62"/>
        <v>0</v>
      </c>
      <c r="V816">
        <f t="shared" si="63"/>
        <v>0</v>
      </c>
      <c r="W816">
        <f t="shared" si="64"/>
        <v>1</v>
      </c>
      <c r="X816">
        <v>1</v>
      </c>
      <c r="Y816" s="2">
        <v>45768</v>
      </c>
      <c r="Z816" s="3" t="s">
        <v>56</v>
      </c>
      <c r="AA816" t="s">
        <v>39</v>
      </c>
      <c r="AB816" t="s">
        <v>40</v>
      </c>
      <c r="AC816" t="s">
        <v>40</v>
      </c>
      <c r="AD816" t="s">
        <v>589</v>
      </c>
    </row>
    <row r="817" spans="2:30">
      <c r="B817">
        <v>4</v>
      </c>
      <c r="C817">
        <v>1020</v>
      </c>
      <c r="D817" t="s">
        <v>29</v>
      </c>
      <c r="E817">
        <v>10046953</v>
      </c>
      <c r="F817" t="s">
        <v>913</v>
      </c>
      <c r="G817" t="s">
        <v>31</v>
      </c>
      <c r="H817" t="s">
        <v>32</v>
      </c>
      <c r="I817" t="s">
        <v>588</v>
      </c>
      <c r="J817" t="s">
        <v>34</v>
      </c>
      <c r="K817" t="s">
        <v>35</v>
      </c>
      <c r="L817" t="s">
        <v>36</v>
      </c>
      <c r="M817" t="s">
        <v>55</v>
      </c>
      <c r="N817">
        <v>60</v>
      </c>
      <c r="O817">
        <v>41</v>
      </c>
      <c r="P817">
        <v>5</v>
      </c>
      <c r="Q817">
        <v>51</v>
      </c>
      <c r="R817">
        <v>138.63999999999999</v>
      </c>
      <c r="S817" t="str">
        <f t="shared" si="60"/>
        <v>PX: Baja Crit.</v>
      </c>
      <c r="T817">
        <f t="shared" si="61"/>
        <v>0</v>
      </c>
      <c r="U817">
        <f t="shared" si="62"/>
        <v>0</v>
      </c>
      <c r="V817">
        <f t="shared" si="63"/>
        <v>1</v>
      </c>
      <c r="W817">
        <f t="shared" si="64"/>
        <v>0</v>
      </c>
      <c r="X817">
        <v>1</v>
      </c>
      <c r="Y817" s="2">
        <v>45768</v>
      </c>
      <c r="Z817" s="3" t="s">
        <v>56</v>
      </c>
      <c r="AA817" t="s">
        <v>39</v>
      </c>
      <c r="AB817" t="s">
        <v>76</v>
      </c>
      <c r="AC817" s="5" t="s">
        <v>77</v>
      </c>
      <c r="AD817" t="s">
        <v>589</v>
      </c>
    </row>
    <row r="818" spans="2:30">
      <c r="B818">
        <v>4</v>
      </c>
      <c r="C818">
        <v>1020</v>
      </c>
      <c r="D818" t="s">
        <v>29</v>
      </c>
      <c r="E818">
        <v>14091878</v>
      </c>
      <c r="F818" t="s">
        <v>914</v>
      </c>
      <c r="G818" t="s">
        <v>43</v>
      </c>
      <c r="H818" t="s">
        <v>60</v>
      </c>
      <c r="I818" t="s">
        <v>588</v>
      </c>
      <c r="J818" t="s">
        <v>45</v>
      </c>
      <c r="K818" t="s">
        <v>35</v>
      </c>
      <c r="L818" t="s">
        <v>36</v>
      </c>
      <c r="M818" t="s">
        <v>117</v>
      </c>
      <c r="N818">
        <v>10</v>
      </c>
      <c r="O818">
        <v>5</v>
      </c>
      <c r="P818">
        <v>0</v>
      </c>
      <c r="Q818">
        <v>10</v>
      </c>
      <c r="R818" s="4">
        <v>1570.04</v>
      </c>
      <c r="S818" t="str">
        <f t="shared" si="60"/>
        <v>PY: Media Crit.</v>
      </c>
      <c r="T818">
        <f t="shared" si="61"/>
        <v>0</v>
      </c>
      <c r="U818">
        <f t="shared" si="62"/>
        <v>0</v>
      </c>
      <c r="V818">
        <f t="shared" si="63"/>
        <v>1</v>
      </c>
      <c r="W818">
        <f t="shared" si="64"/>
        <v>0</v>
      </c>
      <c r="X818">
        <v>1</v>
      </c>
      <c r="Y818" s="2">
        <v>45768</v>
      </c>
      <c r="Z818" s="3" t="s">
        <v>118</v>
      </c>
      <c r="AA818" t="s">
        <v>39</v>
      </c>
      <c r="AB818" t="s">
        <v>40</v>
      </c>
      <c r="AC818" t="s">
        <v>40</v>
      </c>
      <c r="AD818" t="s">
        <v>589</v>
      </c>
    </row>
    <row r="819" spans="2:30">
      <c r="B819">
        <v>4</v>
      </c>
      <c r="C819">
        <v>1020</v>
      </c>
      <c r="D819" t="s">
        <v>29</v>
      </c>
      <c r="E819">
        <v>10048737</v>
      </c>
      <c r="F819" t="s">
        <v>915</v>
      </c>
      <c r="G819" t="s">
        <v>31</v>
      </c>
      <c r="H819" t="s">
        <v>32</v>
      </c>
      <c r="I819" t="s">
        <v>588</v>
      </c>
      <c r="J819" t="s">
        <v>45</v>
      </c>
      <c r="K819" t="s">
        <v>35</v>
      </c>
      <c r="L819" t="s">
        <v>36</v>
      </c>
      <c r="M819" t="s">
        <v>69</v>
      </c>
      <c r="N819">
        <v>92</v>
      </c>
      <c r="O819">
        <v>12</v>
      </c>
      <c r="P819">
        <v>6</v>
      </c>
      <c r="Q819">
        <v>80</v>
      </c>
      <c r="R819">
        <v>680.1</v>
      </c>
      <c r="S819" t="str">
        <f t="shared" si="60"/>
        <v>PX: Baja Crit.</v>
      </c>
      <c r="T819">
        <f t="shared" si="61"/>
        <v>0</v>
      </c>
      <c r="U819">
        <f t="shared" si="62"/>
        <v>0</v>
      </c>
      <c r="V819">
        <f t="shared" si="63"/>
        <v>1</v>
      </c>
      <c r="W819">
        <f t="shared" si="64"/>
        <v>0</v>
      </c>
      <c r="X819">
        <v>1</v>
      </c>
      <c r="Y819" s="2">
        <v>45768</v>
      </c>
      <c r="Z819" s="3" t="s">
        <v>70</v>
      </c>
      <c r="AA819" t="s">
        <v>39</v>
      </c>
      <c r="AB819" t="s">
        <v>40</v>
      </c>
      <c r="AC819" t="s">
        <v>40</v>
      </c>
      <c r="AD819" t="s">
        <v>589</v>
      </c>
    </row>
    <row r="820" spans="2:30">
      <c r="B820">
        <v>4</v>
      </c>
      <c r="C820">
        <v>1020</v>
      </c>
      <c r="D820" t="s">
        <v>29</v>
      </c>
      <c r="E820">
        <v>10297610</v>
      </c>
      <c r="F820" t="s">
        <v>916</v>
      </c>
      <c r="G820" t="s">
        <v>43</v>
      </c>
      <c r="H820" t="s">
        <v>60</v>
      </c>
      <c r="I820" t="s">
        <v>588</v>
      </c>
      <c r="J820" t="s">
        <v>45</v>
      </c>
      <c r="K820" t="s">
        <v>35</v>
      </c>
      <c r="L820" t="s">
        <v>36</v>
      </c>
      <c r="M820" t="s">
        <v>46</v>
      </c>
      <c r="N820">
        <v>10</v>
      </c>
      <c r="O820">
        <v>7</v>
      </c>
      <c r="P820">
        <v>2</v>
      </c>
      <c r="Q820">
        <v>10</v>
      </c>
      <c r="R820" s="4">
        <v>4716.79</v>
      </c>
      <c r="S820" t="str">
        <f t="shared" si="60"/>
        <v>PY: Media Crit.</v>
      </c>
      <c r="T820">
        <f t="shared" si="61"/>
        <v>0</v>
      </c>
      <c r="U820">
        <f t="shared" si="62"/>
        <v>0</v>
      </c>
      <c r="V820">
        <f t="shared" si="63"/>
        <v>1</v>
      </c>
      <c r="W820">
        <f t="shared" si="64"/>
        <v>0</v>
      </c>
      <c r="X820">
        <v>1</v>
      </c>
      <c r="Y820" s="2">
        <v>45768</v>
      </c>
      <c r="Z820" s="3" t="s">
        <v>47</v>
      </c>
      <c r="AA820" t="s">
        <v>39</v>
      </c>
      <c r="AB820" t="s">
        <v>40</v>
      </c>
      <c r="AC820" t="s">
        <v>40</v>
      </c>
      <c r="AD820" t="s">
        <v>589</v>
      </c>
    </row>
    <row r="821" spans="2:30">
      <c r="B821">
        <v>4</v>
      </c>
      <c r="C821">
        <v>1020</v>
      </c>
      <c r="D821" t="s">
        <v>29</v>
      </c>
      <c r="E821">
        <v>14108948</v>
      </c>
      <c r="F821" t="s">
        <v>917</v>
      </c>
      <c r="G821" t="s">
        <v>52</v>
      </c>
      <c r="H821" t="s">
        <v>44</v>
      </c>
      <c r="I821" t="s">
        <v>588</v>
      </c>
      <c r="J821" t="s">
        <v>45</v>
      </c>
      <c r="K821" t="s">
        <v>35</v>
      </c>
      <c r="L821" t="s">
        <v>36</v>
      </c>
      <c r="M821" t="s">
        <v>69</v>
      </c>
      <c r="N821">
        <v>5</v>
      </c>
      <c r="O821">
        <v>3</v>
      </c>
      <c r="P821">
        <v>1</v>
      </c>
      <c r="Q821">
        <v>5</v>
      </c>
      <c r="R821" s="4">
        <v>1114.57</v>
      </c>
      <c r="S821" t="str">
        <f t="shared" si="60"/>
        <v>PZ: Alta Crit.</v>
      </c>
      <c r="T821">
        <f t="shared" si="61"/>
        <v>0</v>
      </c>
      <c r="U821">
        <f t="shared" si="62"/>
        <v>0</v>
      </c>
      <c r="V821">
        <f t="shared" si="63"/>
        <v>1</v>
      </c>
      <c r="W821">
        <f t="shared" si="64"/>
        <v>0</v>
      </c>
      <c r="X821">
        <v>1</v>
      </c>
      <c r="Y821" s="2">
        <v>45768</v>
      </c>
      <c r="Z821" s="3" t="s">
        <v>70</v>
      </c>
      <c r="AA821" t="s">
        <v>39</v>
      </c>
      <c r="AB821" t="s">
        <v>40</v>
      </c>
      <c r="AC821" t="s">
        <v>40</v>
      </c>
      <c r="AD821" t="s">
        <v>589</v>
      </c>
    </row>
    <row r="822" spans="2:30">
      <c r="B822">
        <v>4</v>
      </c>
      <c r="C822">
        <v>1020</v>
      </c>
      <c r="D822" t="s">
        <v>29</v>
      </c>
      <c r="E822">
        <v>10041228</v>
      </c>
      <c r="F822" t="s">
        <v>918</v>
      </c>
      <c r="G822" t="s">
        <v>43</v>
      </c>
      <c r="H822" t="s">
        <v>32</v>
      </c>
      <c r="I822" t="s">
        <v>588</v>
      </c>
      <c r="J822" t="s">
        <v>45</v>
      </c>
      <c r="K822" t="s">
        <v>252</v>
      </c>
      <c r="L822" t="s">
        <v>36</v>
      </c>
      <c r="M822" t="s">
        <v>69</v>
      </c>
      <c r="N822">
        <v>100</v>
      </c>
      <c r="O822">
        <v>100</v>
      </c>
      <c r="P822">
        <v>0</v>
      </c>
      <c r="Q822">
        <v>100</v>
      </c>
      <c r="R822">
        <v>862.66</v>
      </c>
      <c r="S822" t="str">
        <f t="shared" si="60"/>
        <v>PY: Media Crit.</v>
      </c>
      <c r="T822">
        <f t="shared" si="61"/>
        <v>0</v>
      </c>
      <c r="U822">
        <f t="shared" si="62"/>
        <v>0</v>
      </c>
      <c r="V822">
        <f t="shared" si="63"/>
        <v>1</v>
      </c>
      <c r="W822">
        <f t="shared" si="64"/>
        <v>0</v>
      </c>
      <c r="X822">
        <v>1</v>
      </c>
      <c r="Y822" s="2">
        <v>45768</v>
      </c>
      <c r="Z822" s="3" t="s">
        <v>70</v>
      </c>
      <c r="AA822" t="s">
        <v>39</v>
      </c>
      <c r="AB822" t="s">
        <v>40</v>
      </c>
      <c r="AC822" t="s">
        <v>40</v>
      </c>
      <c r="AD822" t="s">
        <v>589</v>
      </c>
    </row>
    <row r="823" spans="2:30">
      <c r="B823">
        <v>4</v>
      </c>
      <c r="C823">
        <v>1020</v>
      </c>
      <c r="D823" t="s">
        <v>29</v>
      </c>
      <c r="E823">
        <v>14074211</v>
      </c>
      <c r="F823" t="s">
        <v>919</v>
      </c>
      <c r="G823" t="s">
        <v>43</v>
      </c>
      <c r="H823" t="s">
        <v>32</v>
      </c>
      <c r="I823" t="s">
        <v>588</v>
      </c>
      <c r="J823" t="s">
        <v>45</v>
      </c>
      <c r="K823" t="s">
        <v>35</v>
      </c>
      <c r="L823" t="s">
        <v>36</v>
      </c>
      <c r="M823" t="s">
        <v>69</v>
      </c>
      <c r="N823">
        <v>12</v>
      </c>
      <c r="O823">
        <v>9</v>
      </c>
      <c r="P823">
        <v>1</v>
      </c>
      <c r="Q823">
        <v>8</v>
      </c>
      <c r="R823" s="4">
        <v>2564.38</v>
      </c>
      <c r="S823" t="str">
        <f t="shared" si="60"/>
        <v>PY: Media Crit.</v>
      </c>
      <c r="T823">
        <f t="shared" si="61"/>
        <v>0</v>
      </c>
      <c r="U823">
        <f t="shared" si="62"/>
        <v>0</v>
      </c>
      <c r="V823">
        <f t="shared" si="63"/>
        <v>1</v>
      </c>
      <c r="W823">
        <f t="shared" si="64"/>
        <v>0</v>
      </c>
      <c r="X823">
        <v>1</v>
      </c>
      <c r="Y823" s="2">
        <v>45768</v>
      </c>
      <c r="Z823" s="3" t="s">
        <v>70</v>
      </c>
      <c r="AA823" t="s">
        <v>39</v>
      </c>
      <c r="AB823" t="s">
        <v>49</v>
      </c>
      <c r="AC823" s="5" t="s">
        <v>50</v>
      </c>
      <c r="AD823" t="s">
        <v>589</v>
      </c>
    </row>
    <row r="824" spans="2:30">
      <c r="B824">
        <v>4</v>
      </c>
      <c r="C824">
        <v>1020</v>
      </c>
      <c r="D824" t="s">
        <v>29</v>
      </c>
      <c r="E824">
        <v>10044833</v>
      </c>
      <c r="F824" t="s">
        <v>920</v>
      </c>
      <c r="G824" t="s">
        <v>43</v>
      </c>
      <c r="H824" t="s">
        <v>60</v>
      </c>
      <c r="I824" t="s">
        <v>588</v>
      </c>
      <c r="J824" t="s">
        <v>45</v>
      </c>
      <c r="K824" t="s">
        <v>35</v>
      </c>
      <c r="L824" t="s">
        <v>36</v>
      </c>
      <c r="M824" t="s">
        <v>117</v>
      </c>
      <c r="N824">
        <v>10</v>
      </c>
      <c r="O824">
        <v>7</v>
      </c>
      <c r="P824">
        <v>2</v>
      </c>
      <c r="Q824">
        <v>10</v>
      </c>
      <c r="R824" s="4">
        <v>3216.75</v>
      </c>
      <c r="S824" t="str">
        <f t="shared" si="60"/>
        <v>PY: Media Crit.</v>
      </c>
      <c r="T824">
        <f t="shared" si="61"/>
        <v>0</v>
      </c>
      <c r="U824">
        <f t="shared" si="62"/>
        <v>0</v>
      </c>
      <c r="V824">
        <f t="shared" si="63"/>
        <v>1</v>
      </c>
      <c r="W824">
        <f t="shared" si="64"/>
        <v>0</v>
      </c>
      <c r="X824">
        <v>1</v>
      </c>
      <c r="Y824" s="2">
        <v>45768</v>
      </c>
      <c r="Z824" s="3" t="s">
        <v>118</v>
      </c>
      <c r="AA824" t="s">
        <v>39</v>
      </c>
      <c r="AB824" t="s">
        <v>40</v>
      </c>
      <c r="AC824" t="s">
        <v>40</v>
      </c>
      <c r="AD824" t="s">
        <v>589</v>
      </c>
    </row>
    <row r="825" spans="2:30">
      <c r="B825">
        <v>4</v>
      </c>
      <c r="C825">
        <v>1020</v>
      </c>
      <c r="D825" t="s">
        <v>29</v>
      </c>
      <c r="E825">
        <v>10720685</v>
      </c>
      <c r="F825" t="s">
        <v>921</v>
      </c>
      <c r="G825" t="s">
        <v>31</v>
      </c>
      <c r="H825" t="s">
        <v>32</v>
      </c>
      <c r="I825" t="s">
        <v>588</v>
      </c>
      <c r="J825" t="s">
        <v>45</v>
      </c>
      <c r="K825" t="s">
        <v>35</v>
      </c>
      <c r="L825" t="s">
        <v>36</v>
      </c>
      <c r="M825" t="s">
        <v>46</v>
      </c>
      <c r="N825">
        <v>4</v>
      </c>
      <c r="O825">
        <v>3</v>
      </c>
      <c r="P825">
        <v>2</v>
      </c>
      <c r="Q825">
        <v>4</v>
      </c>
      <c r="R825" s="4">
        <v>3587.76</v>
      </c>
      <c r="S825" t="str">
        <f t="shared" si="60"/>
        <v>PX: Baja Crit.</v>
      </c>
      <c r="T825">
        <f t="shared" si="61"/>
        <v>0</v>
      </c>
      <c r="U825">
        <f t="shared" si="62"/>
        <v>0</v>
      </c>
      <c r="V825">
        <f t="shared" si="63"/>
        <v>1</v>
      </c>
      <c r="W825">
        <f t="shared" si="64"/>
        <v>0</v>
      </c>
      <c r="X825">
        <v>1</v>
      </c>
      <c r="Y825" s="2">
        <v>45768</v>
      </c>
      <c r="Z825" s="3" t="s">
        <v>47</v>
      </c>
      <c r="AA825" t="s">
        <v>39</v>
      </c>
      <c r="AB825" t="s">
        <v>40</v>
      </c>
      <c r="AC825" t="s">
        <v>40</v>
      </c>
      <c r="AD825" t="s">
        <v>589</v>
      </c>
    </row>
    <row r="826" spans="2:30">
      <c r="B826">
        <v>4</v>
      </c>
      <c r="C826">
        <v>1020</v>
      </c>
      <c r="D826" t="s">
        <v>29</v>
      </c>
      <c r="E826">
        <v>10006011</v>
      </c>
      <c r="F826" t="s">
        <v>922</v>
      </c>
      <c r="G826" t="s">
        <v>31</v>
      </c>
      <c r="H826" t="s">
        <v>32</v>
      </c>
      <c r="I826" t="s">
        <v>588</v>
      </c>
      <c r="J826" t="s">
        <v>45</v>
      </c>
      <c r="K826" t="s">
        <v>35</v>
      </c>
      <c r="L826" t="s">
        <v>36</v>
      </c>
      <c r="M826" t="s">
        <v>55</v>
      </c>
      <c r="N826">
        <v>30</v>
      </c>
      <c r="O826">
        <v>15</v>
      </c>
      <c r="P826">
        <v>0</v>
      </c>
      <c r="Q826">
        <v>30</v>
      </c>
      <c r="R826">
        <v>67.05</v>
      </c>
      <c r="S826" t="str">
        <f t="shared" si="60"/>
        <v>PX: Baja Crit.</v>
      </c>
      <c r="T826">
        <f t="shared" si="61"/>
        <v>0</v>
      </c>
      <c r="U826">
        <f t="shared" si="62"/>
        <v>0</v>
      </c>
      <c r="V826">
        <f t="shared" si="63"/>
        <v>1</v>
      </c>
      <c r="W826">
        <f t="shared" si="64"/>
        <v>0</v>
      </c>
      <c r="X826">
        <v>1</v>
      </c>
      <c r="Y826" s="2">
        <v>45768</v>
      </c>
      <c r="Z826" s="3" t="s">
        <v>56</v>
      </c>
      <c r="AA826" t="s">
        <v>39</v>
      </c>
      <c r="AB826" t="s">
        <v>40</v>
      </c>
      <c r="AC826" t="s">
        <v>40</v>
      </c>
      <c r="AD826" t="s">
        <v>589</v>
      </c>
    </row>
    <row r="827" spans="2:30">
      <c r="B827">
        <v>4</v>
      </c>
      <c r="C827">
        <v>1020</v>
      </c>
      <c r="D827" t="s">
        <v>29</v>
      </c>
      <c r="E827">
        <v>10152998</v>
      </c>
      <c r="F827" t="s">
        <v>923</v>
      </c>
      <c r="G827" t="s">
        <v>31</v>
      </c>
      <c r="H827" t="s">
        <v>32</v>
      </c>
      <c r="I827" t="s">
        <v>588</v>
      </c>
      <c r="J827" t="s">
        <v>45</v>
      </c>
      <c r="K827" t="s">
        <v>35</v>
      </c>
      <c r="L827" t="s">
        <v>36</v>
      </c>
      <c r="M827" t="s">
        <v>37</v>
      </c>
      <c r="N827">
        <v>4</v>
      </c>
      <c r="O827">
        <v>3</v>
      </c>
      <c r="P827">
        <v>1</v>
      </c>
      <c r="Q827">
        <v>4</v>
      </c>
      <c r="R827">
        <v>23.72</v>
      </c>
      <c r="S827" t="str">
        <f t="shared" si="60"/>
        <v>PX: Baja Crit.</v>
      </c>
      <c r="T827">
        <f t="shared" si="61"/>
        <v>0</v>
      </c>
      <c r="U827">
        <f t="shared" si="62"/>
        <v>0</v>
      </c>
      <c r="V827">
        <f t="shared" si="63"/>
        <v>1</v>
      </c>
      <c r="W827">
        <f t="shared" si="64"/>
        <v>0</v>
      </c>
      <c r="X827">
        <v>1</v>
      </c>
      <c r="Y827" s="2">
        <v>45768</v>
      </c>
      <c r="Z827" s="3" t="s">
        <v>38</v>
      </c>
      <c r="AA827" t="s">
        <v>39</v>
      </c>
      <c r="AB827" t="s">
        <v>40</v>
      </c>
      <c r="AC827" t="s">
        <v>40</v>
      </c>
      <c r="AD827" t="s">
        <v>589</v>
      </c>
    </row>
    <row r="828" spans="2:30">
      <c r="B828">
        <v>4</v>
      </c>
      <c r="C828">
        <v>1020</v>
      </c>
      <c r="D828" t="s">
        <v>29</v>
      </c>
      <c r="E828">
        <v>14302042</v>
      </c>
      <c r="F828" t="s">
        <v>924</v>
      </c>
      <c r="G828" t="s">
        <v>31</v>
      </c>
      <c r="H828" t="s">
        <v>44</v>
      </c>
      <c r="I828" t="s">
        <v>588</v>
      </c>
      <c r="J828" t="s">
        <v>45</v>
      </c>
      <c r="K828" t="s">
        <v>35</v>
      </c>
      <c r="L828" t="s">
        <v>36</v>
      </c>
      <c r="M828" t="s">
        <v>117</v>
      </c>
      <c r="N828">
        <v>12</v>
      </c>
      <c r="O828">
        <v>10</v>
      </c>
      <c r="P828">
        <v>0</v>
      </c>
      <c r="Q828">
        <v>10</v>
      </c>
      <c r="R828" s="4">
        <v>11546.53</v>
      </c>
      <c r="S828" t="str">
        <f t="shared" si="60"/>
        <v>PX: Baja Crit.</v>
      </c>
      <c r="T828">
        <f t="shared" si="61"/>
        <v>0</v>
      </c>
      <c r="U828">
        <f t="shared" si="62"/>
        <v>0</v>
      </c>
      <c r="V828">
        <f t="shared" si="63"/>
        <v>1</v>
      </c>
      <c r="W828">
        <f t="shared" si="64"/>
        <v>0</v>
      </c>
      <c r="X828">
        <v>1</v>
      </c>
      <c r="Y828" s="2">
        <v>45768</v>
      </c>
      <c r="Z828" s="3" t="s">
        <v>118</v>
      </c>
      <c r="AA828" t="s">
        <v>39</v>
      </c>
      <c r="AB828" t="s">
        <v>40</v>
      </c>
      <c r="AC828" t="s">
        <v>40</v>
      </c>
      <c r="AD828" t="s">
        <v>589</v>
      </c>
    </row>
    <row r="829" spans="2:30">
      <c r="B829">
        <v>4</v>
      </c>
      <c r="C829">
        <v>1020</v>
      </c>
      <c r="D829" t="s">
        <v>29</v>
      </c>
      <c r="E829">
        <v>10041161</v>
      </c>
      <c r="F829" t="s">
        <v>925</v>
      </c>
      <c r="G829" t="s">
        <v>31</v>
      </c>
      <c r="H829" t="s">
        <v>32</v>
      </c>
      <c r="I829" t="s">
        <v>588</v>
      </c>
      <c r="J829" t="s">
        <v>34</v>
      </c>
      <c r="K829" t="s">
        <v>35</v>
      </c>
      <c r="L829" t="s">
        <v>36</v>
      </c>
      <c r="M829" t="s">
        <v>37</v>
      </c>
      <c r="N829">
        <v>6</v>
      </c>
      <c r="O829">
        <v>5</v>
      </c>
      <c r="P829">
        <v>2</v>
      </c>
      <c r="Q829">
        <v>6</v>
      </c>
      <c r="R829">
        <v>820.23</v>
      </c>
      <c r="S829" t="str">
        <f t="shared" si="60"/>
        <v>PX: Baja Crit.</v>
      </c>
      <c r="T829">
        <f t="shared" si="61"/>
        <v>0</v>
      </c>
      <c r="U829">
        <f t="shared" si="62"/>
        <v>0</v>
      </c>
      <c r="V829">
        <f t="shared" si="63"/>
        <v>1</v>
      </c>
      <c r="W829">
        <f t="shared" si="64"/>
        <v>0</v>
      </c>
      <c r="X829">
        <v>1</v>
      </c>
      <c r="Y829" s="2">
        <v>45768</v>
      </c>
      <c r="Z829" s="3" t="s">
        <v>38</v>
      </c>
      <c r="AA829" t="s">
        <v>39</v>
      </c>
      <c r="AB829" t="s">
        <v>40</v>
      </c>
      <c r="AC829" t="s">
        <v>40</v>
      </c>
      <c r="AD829" t="s">
        <v>589</v>
      </c>
    </row>
    <row r="830" spans="2:30">
      <c r="B830">
        <v>4</v>
      </c>
      <c r="C830">
        <v>1020</v>
      </c>
      <c r="D830" t="s">
        <v>29</v>
      </c>
      <c r="E830">
        <v>10043588</v>
      </c>
      <c r="F830" t="s">
        <v>926</v>
      </c>
      <c r="G830" t="s">
        <v>31</v>
      </c>
      <c r="H830" t="s">
        <v>32</v>
      </c>
      <c r="I830" t="s">
        <v>588</v>
      </c>
      <c r="J830" t="s">
        <v>45</v>
      </c>
      <c r="K830" t="s">
        <v>35</v>
      </c>
      <c r="L830" t="s">
        <v>36</v>
      </c>
      <c r="M830" t="s">
        <v>37</v>
      </c>
      <c r="N830">
        <v>3</v>
      </c>
      <c r="O830">
        <v>2</v>
      </c>
      <c r="P830">
        <v>2</v>
      </c>
      <c r="Q830">
        <v>2</v>
      </c>
      <c r="R830">
        <v>311.44</v>
      </c>
      <c r="S830" t="str">
        <f t="shared" si="60"/>
        <v>PX: Baja Crit.</v>
      </c>
      <c r="T830">
        <f t="shared" si="61"/>
        <v>0</v>
      </c>
      <c r="U830">
        <f t="shared" si="62"/>
        <v>1</v>
      </c>
      <c r="V830">
        <f t="shared" si="63"/>
        <v>0</v>
      </c>
      <c r="W830">
        <f t="shared" si="64"/>
        <v>0</v>
      </c>
      <c r="X830">
        <v>1</v>
      </c>
      <c r="Y830" s="2">
        <v>45768</v>
      </c>
      <c r="Z830" s="3" t="s">
        <v>38</v>
      </c>
      <c r="AA830" t="s">
        <v>39</v>
      </c>
      <c r="AB830" t="s">
        <v>40</v>
      </c>
      <c r="AC830" t="s">
        <v>40</v>
      </c>
      <c r="AD830" t="s">
        <v>589</v>
      </c>
    </row>
    <row r="831" spans="2:30">
      <c r="B831">
        <v>4</v>
      </c>
      <c r="C831">
        <v>1020</v>
      </c>
      <c r="D831" t="s">
        <v>29</v>
      </c>
      <c r="E831">
        <v>10044332</v>
      </c>
      <c r="F831" t="s">
        <v>927</v>
      </c>
      <c r="G831" t="s">
        <v>52</v>
      </c>
      <c r="H831" t="s">
        <v>44</v>
      </c>
      <c r="I831" t="s">
        <v>588</v>
      </c>
      <c r="J831" t="s">
        <v>45</v>
      </c>
      <c r="K831" t="s">
        <v>35</v>
      </c>
      <c r="L831" t="s">
        <v>36</v>
      </c>
      <c r="M831" t="s">
        <v>46</v>
      </c>
      <c r="N831">
        <v>1</v>
      </c>
      <c r="O831">
        <v>1</v>
      </c>
      <c r="P831">
        <v>1</v>
      </c>
      <c r="Q831">
        <v>1</v>
      </c>
      <c r="R831" s="4">
        <v>2730.3</v>
      </c>
      <c r="S831" t="str">
        <f t="shared" si="60"/>
        <v>PZ: Alta Crit.</v>
      </c>
      <c r="T831">
        <f t="shared" si="61"/>
        <v>0</v>
      </c>
      <c r="U831">
        <f t="shared" si="62"/>
        <v>1</v>
      </c>
      <c r="V831">
        <f t="shared" si="63"/>
        <v>0</v>
      </c>
      <c r="W831">
        <f t="shared" si="64"/>
        <v>0</v>
      </c>
      <c r="X831">
        <v>1</v>
      </c>
      <c r="Y831" s="2">
        <v>45768</v>
      </c>
      <c r="Z831" s="3" t="s">
        <v>47</v>
      </c>
      <c r="AA831" t="s">
        <v>39</v>
      </c>
      <c r="AB831" t="s">
        <v>40</v>
      </c>
      <c r="AC831" t="s">
        <v>40</v>
      </c>
      <c r="AD831" t="s">
        <v>589</v>
      </c>
    </row>
    <row r="832" spans="2:30">
      <c r="B832">
        <v>4</v>
      </c>
      <c r="C832">
        <v>1020</v>
      </c>
      <c r="D832" t="s">
        <v>29</v>
      </c>
      <c r="E832">
        <v>10045614</v>
      </c>
      <c r="F832" t="s">
        <v>928</v>
      </c>
      <c r="G832" t="s">
        <v>31</v>
      </c>
      <c r="H832" t="s">
        <v>32</v>
      </c>
      <c r="I832" t="s">
        <v>588</v>
      </c>
      <c r="J832" t="s">
        <v>45</v>
      </c>
      <c r="K832" t="s">
        <v>35</v>
      </c>
      <c r="L832" t="s">
        <v>36</v>
      </c>
      <c r="M832" t="s">
        <v>55</v>
      </c>
      <c r="N832">
        <v>60</v>
      </c>
      <c r="O832">
        <v>31</v>
      </c>
      <c r="P832">
        <v>0</v>
      </c>
      <c r="Q832">
        <v>60</v>
      </c>
      <c r="R832">
        <v>157.12</v>
      </c>
      <c r="S832" t="str">
        <f t="shared" si="60"/>
        <v>PX: Baja Crit.</v>
      </c>
      <c r="T832">
        <f t="shared" si="61"/>
        <v>0</v>
      </c>
      <c r="U832">
        <f t="shared" si="62"/>
        <v>0</v>
      </c>
      <c r="V832">
        <f t="shared" si="63"/>
        <v>1</v>
      </c>
      <c r="W832">
        <f t="shared" si="64"/>
        <v>0</v>
      </c>
      <c r="X832">
        <v>1</v>
      </c>
      <c r="Y832" s="2">
        <v>45768</v>
      </c>
      <c r="Z832" s="3" t="s">
        <v>56</v>
      </c>
      <c r="AA832" t="s">
        <v>39</v>
      </c>
      <c r="AB832" t="s">
        <v>40</v>
      </c>
      <c r="AC832" t="s">
        <v>40</v>
      </c>
      <c r="AD832" t="s">
        <v>589</v>
      </c>
    </row>
    <row r="833" spans="2:30">
      <c r="B833">
        <v>4</v>
      </c>
      <c r="C833">
        <v>1020</v>
      </c>
      <c r="D833" t="s">
        <v>29</v>
      </c>
      <c r="E833">
        <v>10046587</v>
      </c>
      <c r="F833" t="s">
        <v>929</v>
      </c>
      <c r="G833" t="s">
        <v>52</v>
      </c>
      <c r="H833" t="s">
        <v>60</v>
      </c>
      <c r="I833" t="s">
        <v>588</v>
      </c>
      <c r="J833" t="s">
        <v>45</v>
      </c>
      <c r="K833" t="s">
        <v>35</v>
      </c>
      <c r="L833" t="s">
        <v>36</v>
      </c>
      <c r="M833" t="s">
        <v>46</v>
      </c>
      <c r="N833">
        <v>2</v>
      </c>
      <c r="O833">
        <v>2</v>
      </c>
      <c r="P833">
        <v>1</v>
      </c>
      <c r="Q833">
        <v>2</v>
      </c>
      <c r="R833">
        <v>609.03</v>
      </c>
      <c r="S833" t="str">
        <f t="shared" si="60"/>
        <v>PZ: Alta Crit.</v>
      </c>
      <c r="T833">
        <f t="shared" si="61"/>
        <v>0</v>
      </c>
      <c r="U833">
        <f t="shared" si="62"/>
        <v>0</v>
      </c>
      <c r="V833">
        <f t="shared" si="63"/>
        <v>1</v>
      </c>
      <c r="W833">
        <f t="shared" si="64"/>
        <v>0</v>
      </c>
      <c r="X833">
        <v>1</v>
      </c>
      <c r="Y833" s="2">
        <v>45768</v>
      </c>
      <c r="Z833" s="3" t="s">
        <v>47</v>
      </c>
      <c r="AA833" t="s">
        <v>39</v>
      </c>
      <c r="AB833" t="s">
        <v>40</v>
      </c>
      <c r="AC833" t="s">
        <v>40</v>
      </c>
      <c r="AD833" t="s">
        <v>589</v>
      </c>
    </row>
    <row r="834" spans="2:30">
      <c r="B834">
        <v>4</v>
      </c>
      <c r="C834">
        <v>1020</v>
      </c>
      <c r="D834" t="s">
        <v>29</v>
      </c>
      <c r="E834">
        <v>10291926</v>
      </c>
      <c r="F834" t="s">
        <v>930</v>
      </c>
      <c r="G834" t="s">
        <v>52</v>
      </c>
      <c r="H834" t="s">
        <v>32</v>
      </c>
      <c r="I834" t="s">
        <v>588</v>
      </c>
      <c r="J834" t="s">
        <v>45</v>
      </c>
      <c r="K834" t="s">
        <v>35</v>
      </c>
      <c r="L834" t="s">
        <v>36</v>
      </c>
      <c r="M834" t="s">
        <v>117</v>
      </c>
      <c r="N834">
        <v>8</v>
      </c>
      <c r="O834">
        <v>5</v>
      </c>
      <c r="P834">
        <v>3</v>
      </c>
      <c r="Q834">
        <v>2</v>
      </c>
      <c r="R834" s="4">
        <v>11700.78</v>
      </c>
      <c r="S834" t="str">
        <f t="shared" ref="S834:S897" si="65">+IF(G834="PZ", "PZ: Alta Crit.",IF(G834="PY","PY: Media Crit.", "PX: Baja Crit."))</f>
        <v>PZ: Alta Crit.</v>
      </c>
      <c r="T834">
        <f t="shared" ref="T834:T897" si="66">+IF(Q834=0,1,0)</f>
        <v>0</v>
      </c>
      <c r="U834">
        <f t="shared" ref="U834:U897" si="67">+IF(AND(Q834&lt;=P834,Q834&gt;0),1,0)</f>
        <v>1</v>
      </c>
      <c r="V834">
        <f t="shared" ref="V834:V897" si="68">+IF(AND(Q834&gt;P834,Q834&lt;=N834),1,0)</f>
        <v>0</v>
      </c>
      <c r="W834">
        <f t="shared" ref="W834:W897" si="69">+IF(Q834&gt;N834,1,0)</f>
        <v>0</v>
      </c>
      <c r="X834">
        <v>1</v>
      </c>
      <c r="Y834" s="2">
        <v>45768</v>
      </c>
      <c r="Z834" s="3" t="s">
        <v>118</v>
      </c>
      <c r="AA834" t="s">
        <v>39</v>
      </c>
      <c r="AB834" t="s">
        <v>49</v>
      </c>
      <c r="AC834" s="5" t="s">
        <v>50</v>
      </c>
      <c r="AD834" t="s">
        <v>589</v>
      </c>
    </row>
    <row r="835" spans="2:30">
      <c r="B835">
        <v>4</v>
      </c>
      <c r="C835">
        <v>1020</v>
      </c>
      <c r="D835" t="s">
        <v>29</v>
      </c>
      <c r="E835">
        <v>10627444</v>
      </c>
      <c r="F835" t="s">
        <v>931</v>
      </c>
      <c r="G835" t="s">
        <v>52</v>
      </c>
      <c r="H835" t="s">
        <v>44</v>
      </c>
      <c r="I835" t="s">
        <v>588</v>
      </c>
      <c r="J835" t="s">
        <v>34</v>
      </c>
      <c r="K835" t="s">
        <v>35</v>
      </c>
      <c r="L835" t="s">
        <v>36</v>
      </c>
      <c r="M835" t="s">
        <v>46</v>
      </c>
      <c r="N835">
        <v>10</v>
      </c>
      <c r="O835">
        <v>5</v>
      </c>
      <c r="P835">
        <v>2</v>
      </c>
      <c r="Q835">
        <v>10</v>
      </c>
      <c r="R835" s="4">
        <v>5762.97</v>
      </c>
      <c r="S835" t="str">
        <f t="shared" si="65"/>
        <v>PZ: Alta Crit.</v>
      </c>
      <c r="T835">
        <f t="shared" si="66"/>
        <v>0</v>
      </c>
      <c r="U835">
        <f t="shared" si="67"/>
        <v>0</v>
      </c>
      <c r="V835">
        <f t="shared" si="68"/>
        <v>1</v>
      </c>
      <c r="W835">
        <f t="shared" si="69"/>
        <v>0</v>
      </c>
      <c r="X835">
        <v>1</v>
      </c>
      <c r="Y835" s="2">
        <v>45768</v>
      </c>
      <c r="Z835" s="3" t="s">
        <v>47</v>
      </c>
      <c r="AA835" t="s">
        <v>39</v>
      </c>
      <c r="AB835" t="s">
        <v>40</v>
      </c>
      <c r="AC835" t="s">
        <v>40</v>
      </c>
      <c r="AD835" t="s">
        <v>589</v>
      </c>
    </row>
    <row r="836" spans="2:30">
      <c r="B836">
        <v>4</v>
      </c>
      <c r="C836">
        <v>1020</v>
      </c>
      <c r="D836" t="s">
        <v>29</v>
      </c>
      <c r="E836">
        <v>10627591</v>
      </c>
      <c r="F836" t="s">
        <v>932</v>
      </c>
      <c r="G836" t="s">
        <v>52</v>
      </c>
      <c r="H836" t="s">
        <v>32</v>
      </c>
      <c r="I836" t="s">
        <v>588</v>
      </c>
      <c r="J836" t="s">
        <v>45</v>
      </c>
      <c r="K836" t="s">
        <v>35</v>
      </c>
      <c r="L836" t="s">
        <v>36</v>
      </c>
      <c r="M836" t="s">
        <v>46</v>
      </c>
      <c r="N836">
        <v>12</v>
      </c>
      <c r="O836">
        <v>7</v>
      </c>
      <c r="P836">
        <v>3</v>
      </c>
      <c r="Q836">
        <v>12</v>
      </c>
      <c r="R836" s="4">
        <v>2608.96</v>
      </c>
      <c r="S836" t="str">
        <f t="shared" si="65"/>
        <v>PZ: Alta Crit.</v>
      </c>
      <c r="T836">
        <f t="shared" si="66"/>
        <v>0</v>
      </c>
      <c r="U836">
        <f t="shared" si="67"/>
        <v>0</v>
      </c>
      <c r="V836">
        <f t="shared" si="68"/>
        <v>1</v>
      </c>
      <c r="W836">
        <f t="shared" si="69"/>
        <v>0</v>
      </c>
      <c r="X836">
        <v>1</v>
      </c>
      <c r="Y836" s="2">
        <v>45768</v>
      </c>
      <c r="Z836" s="3" t="s">
        <v>47</v>
      </c>
      <c r="AA836" t="s">
        <v>39</v>
      </c>
      <c r="AB836" t="s">
        <v>40</v>
      </c>
      <c r="AC836" t="s">
        <v>40</v>
      </c>
      <c r="AD836" t="s">
        <v>589</v>
      </c>
    </row>
    <row r="837" spans="2:30">
      <c r="B837">
        <v>4</v>
      </c>
      <c r="C837">
        <v>1020</v>
      </c>
      <c r="D837" t="s">
        <v>29</v>
      </c>
      <c r="E837">
        <v>10638352</v>
      </c>
      <c r="F837" t="s">
        <v>933</v>
      </c>
      <c r="G837" t="s">
        <v>43</v>
      </c>
      <c r="H837" t="s">
        <v>32</v>
      </c>
      <c r="I837" t="s">
        <v>588</v>
      </c>
      <c r="J837" t="s">
        <v>34</v>
      </c>
      <c r="K837" t="s">
        <v>35</v>
      </c>
      <c r="L837" t="s">
        <v>36</v>
      </c>
      <c r="M837" t="s">
        <v>37</v>
      </c>
      <c r="N837">
        <v>4</v>
      </c>
      <c r="O837">
        <v>3</v>
      </c>
      <c r="P837">
        <v>1</v>
      </c>
      <c r="Q837">
        <v>0</v>
      </c>
      <c r="R837">
        <v>0</v>
      </c>
      <c r="S837" t="str">
        <f t="shared" si="65"/>
        <v>PY: Media Crit.</v>
      </c>
      <c r="T837">
        <f t="shared" si="66"/>
        <v>1</v>
      </c>
      <c r="U837">
        <f t="shared" si="67"/>
        <v>0</v>
      </c>
      <c r="V837">
        <f t="shared" si="68"/>
        <v>0</v>
      </c>
      <c r="W837">
        <f t="shared" si="69"/>
        <v>0</v>
      </c>
      <c r="X837">
        <v>1</v>
      </c>
      <c r="Y837" s="2">
        <v>45768</v>
      </c>
      <c r="Z837" s="3" t="s">
        <v>38</v>
      </c>
      <c r="AA837" t="s">
        <v>39</v>
      </c>
      <c r="AB837" t="s">
        <v>49</v>
      </c>
      <c r="AC837" s="5" t="s">
        <v>50</v>
      </c>
      <c r="AD837" t="s">
        <v>589</v>
      </c>
    </row>
    <row r="838" spans="2:30">
      <c r="B838">
        <v>4</v>
      </c>
      <c r="C838">
        <v>1020</v>
      </c>
      <c r="D838" t="s">
        <v>29</v>
      </c>
      <c r="E838">
        <v>10716436</v>
      </c>
      <c r="F838" t="s">
        <v>934</v>
      </c>
      <c r="G838" t="s">
        <v>52</v>
      </c>
      <c r="H838" t="s">
        <v>60</v>
      </c>
      <c r="I838" t="s">
        <v>588</v>
      </c>
      <c r="J838" t="s">
        <v>45</v>
      </c>
      <c r="K838" t="s">
        <v>35</v>
      </c>
      <c r="L838" t="s">
        <v>36</v>
      </c>
      <c r="M838" t="s">
        <v>46</v>
      </c>
      <c r="N838">
        <v>5</v>
      </c>
      <c r="O838">
        <v>3</v>
      </c>
      <c r="P838">
        <v>1</v>
      </c>
      <c r="Q838">
        <v>8</v>
      </c>
      <c r="R838">
        <v>999.98</v>
      </c>
      <c r="S838" t="str">
        <f t="shared" si="65"/>
        <v>PZ: Alta Crit.</v>
      </c>
      <c r="T838">
        <f t="shared" si="66"/>
        <v>0</v>
      </c>
      <c r="U838">
        <f t="shared" si="67"/>
        <v>0</v>
      </c>
      <c r="V838">
        <f t="shared" si="68"/>
        <v>0</v>
      </c>
      <c r="W838">
        <f t="shared" si="69"/>
        <v>1</v>
      </c>
      <c r="X838">
        <v>1</v>
      </c>
      <c r="Y838" s="2">
        <v>45768</v>
      </c>
      <c r="Z838" s="3" t="s">
        <v>47</v>
      </c>
      <c r="AA838" t="s">
        <v>39</v>
      </c>
      <c r="AB838" t="s">
        <v>40</v>
      </c>
      <c r="AC838" t="s">
        <v>40</v>
      </c>
      <c r="AD838" t="s">
        <v>589</v>
      </c>
    </row>
    <row r="839" spans="2:30">
      <c r="B839">
        <v>4</v>
      </c>
      <c r="C839">
        <v>1020</v>
      </c>
      <c r="D839" t="s">
        <v>29</v>
      </c>
      <c r="E839">
        <v>14009853</v>
      </c>
      <c r="F839" t="s">
        <v>935</v>
      </c>
      <c r="G839" t="s">
        <v>52</v>
      </c>
      <c r="H839" t="s">
        <v>32</v>
      </c>
      <c r="I839" t="s">
        <v>588</v>
      </c>
      <c r="J839" t="s">
        <v>45</v>
      </c>
      <c r="K839" t="s">
        <v>35</v>
      </c>
      <c r="L839" t="s">
        <v>36</v>
      </c>
      <c r="M839" t="s">
        <v>46</v>
      </c>
      <c r="N839">
        <v>2</v>
      </c>
      <c r="O839">
        <v>2</v>
      </c>
      <c r="P839">
        <v>1</v>
      </c>
      <c r="Q839">
        <v>4</v>
      </c>
      <c r="R839" s="4">
        <v>5700.12</v>
      </c>
      <c r="S839" t="str">
        <f t="shared" si="65"/>
        <v>PZ: Alta Crit.</v>
      </c>
      <c r="T839">
        <f t="shared" si="66"/>
        <v>0</v>
      </c>
      <c r="U839">
        <f t="shared" si="67"/>
        <v>0</v>
      </c>
      <c r="V839">
        <f t="shared" si="68"/>
        <v>0</v>
      </c>
      <c r="W839">
        <f t="shared" si="69"/>
        <v>1</v>
      </c>
      <c r="X839">
        <v>1</v>
      </c>
      <c r="Y839" s="2">
        <v>45768</v>
      </c>
      <c r="Z839" s="3" t="s">
        <v>47</v>
      </c>
      <c r="AA839" t="s">
        <v>39</v>
      </c>
      <c r="AB839" t="s">
        <v>40</v>
      </c>
      <c r="AC839" t="s">
        <v>40</v>
      </c>
      <c r="AD839" t="s">
        <v>589</v>
      </c>
    </row>
    <row r="840" spans="2:30">
      <c r="B840">
        <v>4</v>
      </c>
      <c r="C840">
        <v>1020</v>
      </c>
      <c r="D840" t="s">
        <v>29</v>
      </c>
      <c r="E840">
        <v>14093473</v>
      </c>
      <c r="F840" t="s">
        <v>936</v>
      </c>
      <c r="G840" t="s">
        <v>43</v>
      </c>
      <c r="H840" t="s">
        <v>60</v>
      </c>
      <c r="I840" t="s">
        <v>588</v>
      </c>
      <c r="J840" t="s">
        <v>45</v>
      </c>
      <c r="K840" t="s">
        <v>35</v>
      </c>
      <c r="L840" t="s">
        <v>36</v>
      </c>
      <c r="M840" t="s">
        <v>69</v>
      </c>
      <c r="N840">
        <v>2</v>
      </c>
      <c r="O840">
        <v>2</v>
      </c>
      <c r="P840">
        <v>0</v>
      </c>
      <c r="Q840">
        <v>0</v>
      </c>
      <c r="R840">
        <v>0</v>
      </c>
      <c r="S840" t="str">
        <f t="shared" si="65"/>
        <v>PY: Media Crit.</v>
      </c>
      <c r="T840">
        <f t="shared" si="66"/>
        <v>1</v>
      </c>
      <c r="U840">
        <f t="shared" si="67"/>
        <v>0</v>
      </c>
      <c r="V840">
        <f t="shared" si="68"/>
        <v>0</v>
      </c>
      <c r="W840">
        <f t="shared" si="69"/>
        <v>0</v>
      </c>
      <c r="X840">
        <v>1</v>
      </c>
      <c r="Y840" s="2">
        <v>45768</v>
      </c>
      <c r="Z840" s="3" t="s">
        <v>70</v>
      </c>
      <c r="AA840" t="s">
        <v>39</v>
      </c>
      <c r="AB840" t="s">
        <v>49</v>
      </c>
      <c r="AC840" s="5" t="s">
        <v>50</v>
      </c>
      <c r="AD840" t="s">
        <v>589</v>
      </c>
    </row>
    <row r="841" spans="2:30">
      <c r="B841">
        <v>4</v>
      </c>
      <c r="C841">
        <v>1020</v>
      </c>
      <c r="D841" t="s">
        <v>29</v>
      </c>
      <c r="E841">
        <v>14158110</v>
      </c>
      <c r="F841" t="s">
        <v>937</v>
      </c>
      <c r="G841" t="s">
        <v>43</v>
      </c>
      <c r="H841" t="s">
        <v>32</v>
      </c>
      <c r="I841" t="s">
        <v>588</v>
      </c>
      <c r="J841" t="s">
        <v>45</v>
      </c>
      <c r="K841" t="s">
        <v>35</v>
      </c>
      <c r="L841" t="s">
        <v>36</v>
      </c>
      <c r="M841" t="s">
        <v>46</v>
      </c>
      <c r="N841">
        <v>4</v>
      </c>
      <c r="O841">
        <v>3</v>
      </c>
      <c r="P841">
        <v>1</v>
      </c>
      <c r="Q841">
        <v>1</v>
      </c>
      <c r="R841">
        <v>60.53</v>
      </c>
      <c r="S841" t="str">
        <f t="shared" si="65"/>
        <v>PY: Media Crit.</v>
      </c>
      <c r="T841">
        <f t="shared" si="66"/>
        <v>0</v>
      </c>
      <c r="U841">
        <f t="shared" si="67"/>
        <v>1</v>
      </c>
      <c r="V841">
        <f t="shared" si="68"/>
        <v>0</v>
      </c>
      <c r="W841">
        <f t="shared" si="69"/>
        <v>0</v>
      </c>
      <c r="X841">
        <v>1</v>
      </c>
      <c r="Y841" s="2">
        <v>45768</v>
      </c>
      <c r="Z841" s="3" t="s">
        <v>47</v>
      </c>
      <c r="AA841" t="s">
        <v>39</v>
      </c>
      <c r="AB841" t="s">
        <v>49</v>
      </c>
      <c r="AC841" s="5" t="s">
        <v>50</v>
      </c>
      <c r="AD841" t="s">
        <v>589</v>
      </c>
    </row>
    <row r="842" spans="2:30">
      <c r="B842">
        <v>4</v>
      </c>
      <c r="C842">
        <v>1020</v>
      </c>
      <c r="D842" t="s">
        <v>29</v>
      </c>
      <c r="E842">
        <v>10041900</v>
      </c>
      <c r="F842" t="s">
        <v>938</v>
      </c>
      <c r="G842" t="s">
        <v>31</v>
      </c>
      <c r="H842" t="s">
        <v>60</v>
      </c>
      <c r="I842" t="s">
        <v>588</v>
      </c>
      <c r="J842" t="s">
        <v>45</v>
      </c>
      <c r="K842" t="s">
        <v>35</v>
      </c>
      <c r="L842" t="s">
        <v>36</v>
      </c>
      <c r="M842" t="s">
        <v>46</v>
      </c>
      <c r="N842">
        <v>8</v>
      </c>
      <c r="O842">
        <v>5</v>
      </c>
      <c r="P842">
        <v>2</v>
      </c>
      <c r="Q842">
        <v>6</v>
      </c>
      <c r="R842">
        <v>176.22</v>
      </c>
      <c r="S842" t="str">
        <f t="shared" si="65"/>
        <v>PX: Baja Crit.</v>
      </c>
      <c r="T842">
        <f t="shared" si="66"/>
        <v>0</v>
      </c>
      <c r="U842">
        <f t="shared" si="67"/>
        <v>0</v>
      </c>
      <c r="V842">
        <f t="shared" si="68"/>
        <v>1</v>
      </c>
      <c r="W842">
        <f t="shared" si="69"/>
        <v>0</v>
      </c>
      <c r="X842">
        <v>1</v>
      </c>
      <c r="Y842" s="2">
        <v>45768</v>
      </c>
      <c r="Z842" s="3" t="s">
        <v>47</v>
      </c>
      <c r="AA842" t="s">
        <v>39</v>
      </c>
      <c r="AB842" t="s">
        <v>40</v>
      </c>
      <c r="AC842" t="s">
        <v>40</v>
      </c>
      <c r="AD842" t="s">
        <v>589</v>
      </c>
    </row>
    <row r="843" spans="2:30">
      <c r="B843">
        <v>4</v>
      </c>
      <c r="C843">
        <v>1020</v>
      </c>
      <c r="D843" t="s">
        <v>29</v>
      </c>
      <c r="E843">
        <v>10043949</v>
      </c>
      <c r="F843" t="s">
        <v>939</v>
      </c>
      <c r="G843" t="s">
        <v>43</v>
      </c>
      <c r="H843" t="s">
        <v>32</v>
      </c>
      <c r="I843" t="s">
        <v>588</v>
      </c>
      <c r="J843" t="s">
        <v>45</v>
      </c>
      <c r="K843" t="s">
        <v>35</v>
      </c>
      <c r="L843" t="s">
        <v>36</v>
      </c>
      <c r="M843" t="s">
        <v>46</v>
      </c>
      <c r="N843">
        <v>50</v>
      </c>
      <c r="O843">
        <v>31</v>
      </c>
      <c r="P843">
        <v>10</v>
      </c>
      <c r="Q843">
        <v>120</v>
      </c>
      <c r="R843">
        <v>578.1</v>
      </c>
      <c r="S843" t="str">
        <f t="shared" si="65"/>
        <v>PY: Media Crit.</v>
      </c>
      <c r="T843">
        <f t="shared" si="66"/>
        <v>0</v>
      </c>
      <c r="U843">
        <f t="shared" si="67"/>
        <v>0</v>
      </c>
      <c r="V843">
        <f t="shared" si="68"/>
        <v>0</v>
      </c>
      <c r="W843">
        <f t="shared" si="69"/>
        <v>1</v>
      </c>
      <c r="X843">
        <v>1</v>
      </c>
      <c r="Y843" s="2">
        <v>45768</v>
      </c>
      <c r="Z843" s="3" t="s">
        <v>47</v>
      </c>
      <c r="AA843" t="s">
        <v>39</v>
      </c>
      <c r="AB843" t="s">
        <v>40</v>
      </c>
      <c r="AC843" t="s">
        <v>40</v>
      </c>
      <c r="AD843" t="s">
        <v>589</v>
      </c>
    </row>
    <row r="844" spans="2:30">
      <c r="B844">
        <v>4</v>
      </c>
      <c r="C844">
        <v>1020</v>
      </c>
      <c r="D844" t="s">
        <v>29</v>
      </c>
      <c r="E844">
        <v>10056309</v>
      </c>
      <c r="F844" t="s">
        <v>940</v>
      </c>
      <c r="G844" t="s">
        <v>52</v>
      </c>
      <c r="H844" t="s">
        <v>44</v>
      </c>
      <c r="I844" t="s">
        <v>588</v>
      </c>
      <c r="J844" t="s">
        <v>45</v>
      </c>
      <c r="K844" t="s">
        <v>252</v>
      </c>
      <c r="L844" t="s">
        <v>36</v>
      </c>
      <c r="M844" t="s">
        <v>69</v>
      </c>
      <c r="N844">
        <v>150</v>
      </c>
      <c r="O844">
        <v>51</v>
      </c>
      <c r="P844">
        <v>20</v>
      </c>
      <c r="Q844">
        <v>90</v>
      </c>
      <c r="R844" s="4">
        <v>4623.71</v>
      </c>
      <c r="S844" t="str">
        <f t="shared" si="65"/>
        <v>PZ: Alta Crit.</v>
      </c>
      <c r="T844">
        <f t="shared" si="66"/>
        <v>0</v>
      </c>
      <c r="U844">
        <f t="shared" si="67"/>
        <v>0</v>
      </c>
      <c r="V844">
        <f t="shared" si="68"/>
        <v>1</v>
      </c>
      <c r="W844">
        <f t="shared" si="69"/>
        <v>0</v>
      </c>
      <c r="X844">
        <v>1</v>
      </c>
      <c r="Y844" s="2">
        <v>45768</v>
      </c>
      <c r="Z844" s="3" t="s">
        <v>70</v>
      </c>
      <c r="AA844" t="s">
        <v>39</v>
      </c>
      <c r="AB844" t="s">
        <v>40</v>
      </c>
      <c r="AC844" t="s">
        <v>40</v>
      </c>
      <c r="AD844" t="s">
        <v>589</v>
      </c>
    </row>
    <row r="845" spans="2:30">
      <c r="B845">
        <v>4</v>
      </c>
      <c r="C845">
        <v>1020</v>
      </c>
      <c r="D845" t="s">
        <v>29</v>
      </c>
      <c r="E845">
        <v>10046079</v>
      </c>
      <c r="F845" t="s">
        <v>941</v>
      </c>
      <c r="G845" t="s">
        <v>52</v>
      </c>
      <c r="H845" t="s">
        <v>32</v>
      </c>
      <c r="I845" t="s">
        <v>588</v>
      </c>
      <c r="J845" t="s">
        <v>45</v>
      </c>
      <c r="K845" t="s">
        <v>35</v>
      </c>
      <c r="L845" t="s">
        <v>36</v>
      </c>
      <c r="M845" t="s">
        <v>37</v>
      </c>
      <c r="N845">
        <v>4</v>
      </c>
      <c r="O845">
        <v>3</v>
      </c>
      <c r="P845">
        <v>1</v>
      </c>
      <c r="Q845">
        <v>4</v>
      </c>
      <c r="R845">
        <v>906.59</v>
      </c>
      <c r="S845" t="str">
        <f t="shared" si="65"/>
        <v>PZ: Alta Crit.</v>
      </c>
      <c r="T845">
        <f t="shared" si="66"/>
        <v>0</v>
      </c>
      <c r="U845">
        <f t="shared" si="67"/>
        <v>0</v>
      </c>
      <c r="V845">
        <f t="shared" si="68"/>
        <v>1</v>
      </c>
      <c r="W845">
        <f t="shared" si="69"/>
        <v>0</v>
      </c>
      <c r="X845">
        <v>1</v>
      </c>
      <c r="Y845" s="2">
        <v>45768</v>
      </c>
      <c r="Z845" s="3" t="s">
        <v>38</v>
      </c>
      <c r="AA845" t="s">
        <v>39</v>
      </c>
      <c r="AB845" t="s">
        <v>40</v>
      </c>
      <c r="AC845" t="s">
        <v>40</v>
      </c>
      <c r="AD845" t="s">
        <v>589</v>
      </c>
    </row>
    <row r="846" spans="2:30">
      <c r="B846">
        <v>4</v>
      </c>
      <c r="C846">
        <v>1020</v>
      </c>
      <c r="D846" t="s">
        <v>29</v>
      </c>
      <c r="E846">
        <v>10050843</v>
      </c>
      <c r="F846" t="s">
        <v>942</v>
      </c>
      <c r="G846" t="s">
        <v>43</v>
      </c>
      <c r="H846" t="s">
        <v>32</v>
      </c>
      <c r="I846" t="s">
        <v>588</v>
      </c>
      <c r="J846" t="s">
        <v>34</v>
      </c>
      <c r="K846" t="s">
        <v>35</v>
      </c>
      <c r="L846" t="s">
        <v>36</v>
      </c>
      <c r="M846" t="s">
        <v>88</v>
      </c>
      <c r="N846">
        <v>2</v>
      </c>
      <c r="O846">
        <v>2</v>
      </c>
      <c r="P846">
        <v>1</v>
      </c>
      <c r="Q846">
        <v>2</v>
      </c>
      <c r="R846" s="4">
        <v>2265.83</v>
      </c>
      <c r="S846" t="str">
        <f t="shared" si="65"/>
        <v>PY: Media Crit.</v>
      </c>
      <c r="T846">
        <f t="shared" si="66"/>
        <v>0</v>
      </c>
      <c r="U846">
        <f t="shared" si="67"/>
        <v>0</v>
      </c>
      <c r="V846">
        <f t="shared" si="68"/>
        <v>1</v>
      </c>
      <c r="W846">
        <f t="shared" si="69"/>
        <v>0</v>
      </c>
      <c r="X846">
        <v>1</v>
      </c>
      <c r="Y846" s="2">
        <v>45768</v>
      </c>
      <c r="Z846" s="3" t="s">
        <v>89</v>
      </c>
      <c r="AA846" t="s">
        <v>39</v>
      </c>
      <c r="AB846" t="s">
        <v>40</v>
      </c>
      <c r="AC846" t="s">
        <v>40</v>
      </c>
      <c r="AD846" t="s">
        <v>589</v>
      </c>
    </row>
    <row r="847" spans="2:30">
      <c r="B847">
        <v>4</v>
      </c>
      <c r="C847">
        <v>1020</v>
      </c>
      <c r="D847" t="s">
        <v>29</v>
      </c>
      <c r="E847">
        <v>10053684</v>
      </c>
      <c r="F847" t="s">
        <v>943</v>
      </c>
      <c r="G847" t="s">
        <v>52</v>
      </c>
      <c r="H847" t="s">
        <v>44</v>
      </c>
      <c r="I847" t="s">
        <v>588</v>
      </c>
      <c r="J847" t="s">
        <v>34</v>
      </c>
      <c r="K847" t="s">
        <v>35</v>
      </c>
      <c r="L847" t="s">
        <v>36</v>
      </c>
      <c r="M847" t="s">
        <v>117</v>
      </c>
      <c r="N847">
        <v>41</v>
      </c>
      <c r="O847">
        <v>25</v>
      </c>
      <c r="P847">
        <v>18</v>
      </c>
      <c r="Q847">
        <v>67</v>
      </c>
      <c r="R847" s="4">
        <v>24351.82</v>
      </c>
      <c r="S847" t="str">
        <f t="shared" si="65"/>
        <v>PZ: Alta Crit.</v>
      </c>
      <c r="T847">
        <f t="shared" si="66"/>
        <v>0</v>
      </c>
      <c r="U847">
        <f t="shared" si="67"/>
        <v>0</v>
      </c>
      <c r="V847">
        <f t="shared" si="68"/>
        <v>0</v>
      </c>
      <c r="W847">
        <f t="shared" si="69"/>
        <v>1</v>
      </c>
      <c r="X847">
        <v>1</v>
      </c>
      <c r="Y847" s="2">
        <v>45768</v>
      </c>
      <c r="Z847" s="3" t="s">
        <v>118</v>
      </c>
      <c r="AA847" t="s">
        <v>39</v>
      </c>
      <c r="AB847" t="s">
        <v>40</v>
      </c>
      <c r="AC847" t="s">
        <v>40</v>
      </c>
      <c r="AD847" t="s">
        <v>589</v>
      </c>
    </row>
    <row r="848" spans="2:30">
      <c r="B848">
        <v>4</v>
      </c>
      <c r="C848">
        <v>1020</v>
      </c>
      <c r="D848" t="s">
        <v>29</v>
      </c>
      <c r="E848">
        <v>10054773</v>
      </c>
      <c r="F848" t="s">
        <v>944</v>
      </c>
      <c r="G848" t="s">
        <v>43</v>
      </c>
      <c r="H848" t="s">
        <v>32</v>
      </c>
      <c r="I848" t="s">
        <v>588</v>
      </c>
      <c r="J848" t="s">
        <v>34</v>
      </c>
      <c r="K848" t="s">
        <v>35</v>
      </c>
      <c r="L848" t="s">
        <v>36</v>
      </c>
      <c r="M848" t="s">
        <v>46</v>
      </c>
      <c r="N848">
        <v>8</v>
      </c>
      <c r="O848">
        <v>5</v>
      </c>
      <c r="P848">
        <v>2</v>
      </c>
      <c r="Q848">
        <v>8</v>
      </c>
      <c r="R848">
        <v>605.47</v>
      </c>
      <c r="S848" t="str">
        <f t="shared" si="65"/>
        <v>PY: Media Crit.</v>
      </c>
      <c r="T848">
        <f t="shared" si="66"/>
        <v>0</v>
      </c>
      <c r="U848">
        <f t="shared" si="67"/>
        <v>0</v>
      </c>
      <c r="V848">
        <f t="shared" si="68"/>
        <v>1</v>
      </c>
      <c r="W848">
        <f t="shared" si="69"/>
        <v>0</v>
      </c>
      <c r="X848">
        <v>1</v>
      </c>
      <c r="Y848" s="2">
        <v>45768</v>
      </c>
      <c r="Z848" s="3" t="s">
        <v>47</v>
      </c>
      <c r="AA848" t="s">
        <v>39</v>
      </c>
      <c r="AB848" t="s">
        <v>40</v>
      </c>
      <c r="AC848" t="s">
        <v>40</v>
      </c>
      <c r="AD848" t="s">
        <v>589</v>
      </c>
    </row>
    <row r="849" spans="2:30">
      <c r="B849">
        <v>4</v>
      </c>
      <c r="C849">
        <v>1020</v>
      </c>
      <c r="D849" t="s">
        <v>29</v>
      </c>
      <c r="E849">
        <v>10090557</v>
      </c>
      <c r="F849" t="s">
        <v>945</v>
      </c>
      <c r="G849" t="s">
        <v>52</v>
      </c>
      <c r="H849" t="s">
        <v>60</v>
      </c>
      <c r="I849" t="s">
        <v>588</v>
      </c>
      <c r="J849" t="s">
        <v>34</v>
      </c>
      <c r="K849" t="s">
        <v>35</v>
      </c>
      <c r="L849" t="s">
        <v>36</v>
      </c>
      <c r="M849" t="s">
        <v>46</v>
      </c>
      <c r="N849">
        <v>10</v>
      </c>
      <c r="O849">
        <v>4</v>
      </c>
      <c r="P849">
        <v>2</v>
      </c>
      <c r="Q849">
        <v>4</v>
      </c>
      <c r="R849" s="4">
        <v>5710.36</v>
      </c>
      <c r="S849" t="str">
        <f t="shared" si="65"/>
        <v>PZ: Alta Crit.</v>
      </c>
      <c r="T849">
        <f t="shared" si="66"/>
        <v>0</v>
      </c>
      <c r="U849">
        <f t="shared" si="67"/>
        <v>0</v>
      </c>
      <c r="V849">
        <f t="shared" si="68"/>
        <v>1</v>
      </c>
      <c r="W849">
        <f t="shared" si="69"/>
        <v>0</v>
      </c>
      <c r="X849">
        <v>1</v>
      </c>
      <c r="Y849" s="2">
        <v>45768</v>
      </c>
      <c r="Z849" s="3" t="s">
        <v>47</v>
      </c>
      <c r="AA849" t="s">
        <v>39</v>
      </c>
      <c r="AB849" t="s">
        <v>40</v>
      </c>
      <c r="AC849" t="s">
        <v>40</v>
      </c>
      <c r="AD849" t="s">
        <v>589</v>
      </c>
    </row>
    <row r="850" spans="2:30">
      <c r="B850">
        <v>4</v>
      </c>
      <c r="C850">
        <v>1020</v>
      </c>
      <c r="D850" t="s">
        <v>29</v>
      </c>
      <c r="E850">
        <v>10297848</v>
      </c>
      <c r="F850" t="s">
        <v>946</v>
      </c>
      <c r="G850" t="s">
        <v>43</v>
      </c>
      <c r="H850" t="s">
        <v>32</v>
      </c>
      <c r="I850" t="s">
        <v>588</v>
      </c>
      <c r="J850" t="s">
        <v>45</v>
      </c>
      <c r="K850" t="s">
        <v>35</v>
      </c>
      <c r="L850" t="s">
        <v>36</v>
      </c>
      <c r="M850" t="s">
        <v>117</v>
      </c>
      <c r="N850">
        <v>6</v>
      </c>
      <c r="O850">
        <v>5</v>
      </c>
      <c r="P850">
        <v>2</v>
      </c>
      <c r="Q850">
        <v>6</v>
      </c>
      <c r="R850">
        <v>917.97</v>
      </c>
      <c r="S850" t="str">
        <f t="shared" si="65"/>
        <v>PY: Media Crit.</v>
      </c>
      <c r="T850">
        <f t="shared" si="66"/>
        <v>0</v>
      </c>
      <c r="U850">
        <f t="shared" si="67"/>
        <v>0</v>
      </c>
      <c r="V850">
        <f t="shared" si="68"/>
        <v>1</v>
      </c>
      <c r="W850">
        <f t="shared" si="69"/>
        <v>0</v>
      </c>
      <c r="X850">
        <v>1</v>
      </c>
      <c r="Y850" s="2">
        <v>45768</v>
      </c>
      <c r="Z850" s="3" t="s">
        <v>118</v>
      </c>
      <c r="AA850" t="s">
        <v>39</v>
      </c>
      <c r="AB850" t="s">
        <v>40</v>
      </c>
      <c r="AC850" t="s">
        <v>40</v>
      </c>
      <c r="AD850" t="s">
        <v>589</v>
      </c>
    </row>
    <row r="851" spans="2:30">
      <c r="B851">
        <v>4</v>
      </c>
      <c r="C851">
        <v>1020</v>
      </c>
      <c r="D851" t="s">
        <v>29</v>
      </c>
      <c r="E851">
        <v>14088717</v>
      </c>
      <c r="F851" t="s">
        <v>947</v>
      </c>
      <c r="G851" t="s">
        <v>43</v>
      </c>
      <c r="H851" t="s">
        <v>32</v>
      </c>
      <c r="I851" t="s">
        <v>588</v>
      </c>
      <c r="J851" t="s">
        <v>45</v>
      </c>
      <c r="K851" t="s">
        <v>35</v>
      </c>
      <c r="L851" t="s">
        <v>36</v>
      </c>
      <c r="M851" t="s">
        <v>37</v>
      </c>
      <c r="N851">
        <v>7</v>
      </c>
      <c r="O851">
        <v>4</v>
      </c>
      <c r="P851">
        <v>4</v>
      </c>
      <c r="Q851">
        <v>7</v>
      </c>
      <c r="R851" s="4">
        <v>1527.49</v>
      </c>
      <c r="S851" t="str">
        <f t="shared" si="65"/>
        <v>PY: Media Crit.</v>
      </c>
      <c r="T851">
        <f t="shared" si="66"/>
        <v>0</v>
      </c>
      <c r="U851">
        <f t="shared" si="67"/>
        <v>0</v>
      </c>
      <c r="V851">
        <f t="shared" si="68"/>
        <v>1</v>
      </c>
      <c r="W851">
        <f t="shared" si="69"/>
        <v>0</v>
      </c>
      <c r="X851">
        <v>1</v>
      </c>
      <c r="Y851" s="2">
        <v>45768</v>
      </c>
      <c r="Z851" s="3" t="s">
        <v>38</v>
      </c>
      <c r="AA851" t="s">
        <v>39</v>
      </c>
      <c r="AB851" t="s">
        <v>76</v>
      </c>
      <c r="AC851" s="5" t="s">
        <v>77</v>
      </c>
      <c r="AD851" t="s">
        <v>589</v>
      </c>
    </row>
    <row r="852" spans="2:30">
      <c r="B852">
        <v>4</v>
      </c>
      <c r="C852">
        <v>1020</v>
      </c>
      <c r="D852" t="s">
        <v>29</v>
      </c>
      <c r="E852">
        <v>14166997</v>
      </c>
      <c r="F852" t="s">
        <v>948</v>
      </c>
      <c r="G852" t="s">
        <v>43</v>
      </c>
      <c r="H852" t="s">
        <v>60</v>
      </c>
      <c r="I852" t="s">
        <v>588</v>
      </c>
      <c r="J852" t="s">
        <v>45</v>
      </c>
      <c r="K852" t="s">
        <v>35</v>
      </c>
      <c r="L852" t="s">
        <v>36</v>
      </c>
      <c r="M852" t="s">
        <v>69</v>
      </c>
      <c r="N852">
        <v>3</v>
      </c>
      <c r="O852">
        <v>2</v>
      </c>
      <c r="P852">
        <v>1</v>
      </c>
      <c r="Q852">
        <v>4</v>
      </c>
      <c r="R852">
        <v>521.9</v>
      </c>
      <c r="S852" t="str">
        <f t="shared" si="65"/>
        <v>PY: Media Crit.</v>
      </c>
      <c r="T852">
        <f t="shared" si="66"/>
        <v>0</v>
      </c>
      <c r="U852">
        <f t="shared" si="67"/>
        <v>0</v>
      </c>
      <c r="V852">
        <f t="shared" si="68"/>
        <v>0</v>
      </c>
      <c r="W852">
        <f t="shared" si="69"/>
        <v>1</v>
      </c>
      <c r="X852">
        <v>1</v>
      </c>
      <c r="Y852" s="2">
        <v>45768</v>
      </c>
      <c r="Z852" s="3" t="s">
        <v>70</v>
      </c>
      <c r="AA852" t="s">
        <v>39</v>
      </c>
      <c r="AB852" t="s">
        <v>40</v>
      </c>
      <c r="AC852" t="s">
        <v>40</v>
      </c>
      <c r="AD852" t="s">
        <v>589</v>
      </c>
    </row>
    <row r="853" spans="2:30">
      <c r="B853">
        <v>4</v>
      </c>
      <c r="C853">
        <v>1020</v>
      </c>
      <c r="D853" t="s">
        <v>29</v>
      </c>
      <c r="E853">
        <v>10041175</v>
      </c>
      <c r="F853" t="s">
        <v>949</v>
      </c>
      <c r="G853" t="s">
        <v>43</v>
      </c>
      <c r="H853" t="s">
        <v>32</v>
      </c>
      <c r="I853" t="s">
        <v>588</v>
      </c>
      <c r="J853" t="s">
        <v>34</v>
      </c>
      <c r="K853" t="s">
        <v>252</v>
      </c>
      <c r="L853" t="s">
        <v>36</v>
      </c>
      <c r="M853" t="s">
        <v>37</v>
      </c>
      <c r="N853">
        <v>86</v>
      </c>
      <c r="O853">
        <v>44</v>
      </c>
      <c r="P853">
        <v>43</v>
      </c>
      <c r="Q853">
        <v>43</v>
      </c>
      <c r="R853">
        <v>594.62</v>
      </c>
      <c r="S853" t="str">
        <f t="shared" si="65"/>
        <v>PY: Media Crit.</v>
      </c>
      <c r="T853">
        <f t="shared" si="66"/>
        <v>0</v>
      </c>
      <c r="U853">
        <f t="shared" si="67"/>
        <v>1</v>
      </c>
      <c r="V853">
        <f t="shared" si="68"/>
        <v>0</v>
      </c>
      <c r="W853">
        <f t="shared" si="69"/>
        <v>0</v>
      </c>
      <c r="X853">
        <v>1</v>
      </c>
      <c r="Y853" s="2">
        <v>45768</v>
      </c>
      <c r="Z853" s="3" t="s">
        <v>38</v>
      </c>
      <c r="AA853" t="s">
        <v>39</v>
      </c>
      <c r="AB853" t="s">
        <v>49</v>
      </c>
      <c r="AC853" s="5" t="s">
        <v>50</v>
      </c>
      <c r="AD853" t="s">
        <v>589</v>
      </c>
    </row>
    <row r="854" spans="2:30">
      <c r="B854">
        <v>4</v>
      </c>
      <c r="C854">
        <v>1020</v>
      </c>
      <c r="D854" t="s">
        <v>29</v>
      </c>
      <c r="E854">
        <v>10041241</v>
      </c>
      <c r="F854" t="s">
        <v>950</v>
      </c>
      <c r="G854" t="s">
        <v>43</v>
      </c>
      <c r="H854" t="s">
        <v>32</v>
      </c>
      <c r="I854" t="s">
        <v>588</v>
      </c>
      <c r="J854" t="s">
        <v>45</v>
      </c>
      <c r="K854" t="s">
        <v>252</v>
      </c>
      <c r="L854" t="s">
        <v>36</v>
      </c>
      <c r="M854" t="s">
        <v>69</v>
      </c>
      <c r="N854">
        <v>300</v>
      </c>
      <c r="O854">
        <v>101</v>
      </c>
      <c r="P854">
        <v>100</v>
      </c>
      <c r="Q854">
        <v>0</v>
      </c>
      <c r="R854">
        <v>0</v>
      </c>
      <c r="S854" t="str">
        <f t="shared" si="65"/>
        <v>PY: Media Crit.</v>
      </c>
      <c r="T854">
        <f t="shared" si="66"/>
        <v>1</v>
      </c>
      <c r="U854">
        <f t="shared" si="67"/>
        <v>0</v>
      </c>
      <c r="V854">
        <f t="shared" si="68"/>
        <v>0</v>
      </c>
      <c r="W854">
        <f t="shared" si="69"/>
        <v>0</v>
      </c>
      <c r="X854">
        <v>1</v>
      </c>
      <c r="Y854" s="2">
        <v>45768</v>
      </c>
      <c r="Z854" s="3" t="s">
        <v>70</v>
      </c>
      <c r="AA854" t="s">
        <v>39</v>
      </c>
      <c r="AB854" t="s">
        <v>76</v>
      </c>
      <c r="AC854" s="5" t="s">
        <v>77</v>
      </c>
      <c r="AD854" t="s">
        <v>589</v>
      </c>
    </row>
    <row r="855" spans="2:30">
      <c r="B855">
        <v>4</v>
      </c>
      <c r="C855">
        <v>1020</v>
      </c>
      <c r="D855" t="s">
        <v>29</v>
      </c>
      <c r="E855">
        <v>10042158</v>
      </c>
      <c r="F855" t="s">
        <v>951</v>
      </c>
      <c r="G855" t="s">
        <v>52</v>
      </c>
      <c r="H855" t="s">
        <v>32</v>
      </c>
      <c r="I855" t="s">
        <v>588</v>
      </c>
      <c r="J855" t="s">
        <v>45</v>
      </c>
      <c r="K855" t="s">
        <v>35</v>
      </c>
      <c r="L855" t="s">
        <v>36</v>
      </c>
      <c r="M855" t="s">
        <v>117</v>
      </c>
      <c r="N855">
        <v>10</v>
      </c>
      <c r="O855">
        <v>6</v>
      </c>
      <c r="P855">
        <v>0</v>
      </c>
      <c r="Q855">
        <v>10</v>
      </c>
      <c r="R855" s="4">
        <v>2535.7199999999998</v>
      </c>
      <c r="S855" t="str">
        <f t="shared" si="65"/>
        <v>PZ: Alta Crit.</v>
      </c>
      <c r="T855">
        <f t="shared" si="66"/>
        <v>0</v>
      </c>
      <c r="U855">
        <f t="shared" si="67"/>
        <v>0</v>
      </c>
      <c r="V855">
        <f t="shared" si="68"/>
        <v>1</v>
      </c>
      <c r="W855">
        <f t="shared" si="69"/>
        <v>0</v>
      </c>
      <c r="X855">
        <v>1</v>
      </c>
      <c r="Y855" s="2">
        <v>45768</v>
      </c>
      <c r="Z855" s="3" t="s">
        <v>118</v>
      </c>
      <c r="AA855" t="s">
        <v>39</v>
      </c>
      <c r="AB855" t="s">
        <v>40</v>
      </c>
      <c r="AC855" t="s">
        <v>40</v>
      </c>
      <c r="AD855" t="s">
        <v>589</v>
      </c>
    </row>
    <row r="856" spans="2:30">
      <c r="B856">
        <v>4</v>
      </c>
      <c r="C856">
        <v>1020</v>
      </c>
      <c r="D856" t="s">
        <v>29</v>
      </c>
      <c r="E856">
        <v>10044432</v>
      </c>
      <c r="F856" t="s">
        <v>952</v>
      </c>
      <c r="G856" t="s">
        <v>31</v>
      </c>
      <c r="H856" t="s">
        <v>60</v>
      </c>
      <c r="I856" t="s">
        <v>588</v>
      </c>
      <c r="J856" t="s">
        <v>45</v>
      </c>
      <c r="K856" t="s">
        <v>35</v>
      </c>
      <c r="L856" t="s">
        <v>36</v>
      </c>
      <c r="M856" t="s">
        <v>46</v>
      </c>
      <c r="N856">
        <v>2</v>
      </c>
      <c r="O856">
        <v>1</v>
      </c>
      <c r="P856">
        <v>0</v>
      </c>
      <c r="Q856">
        <v>2</v>
      </c>
      <c r="R856">
        <v>829.59</v>
      </c>
      <c r="S856" t="str">
        <f t="shared" si="65"/>
        <v>PX: Baja Crit.</v>
      </c>
      <c r="T856">
        <f t="shared" si="66"/>
        <v>0</v>
      </c>
      <c r="U856">
        <f t="shared" si="67"/>
        <v>0</v>
      </c>
      <c r="V856">
        <f t="shared" si="68"/>
        <v>1</v>
      </c>
      <c r="W856">
        <f t="shared" si="69"/>
        <v>0</v>
      </c>
      <c r="X856">
        <v>1</v>
      </c>
      <c r="Y856" s="2">
        <v>45768</v>
      </c>
      <c r="Z856" s="3" t="s">
        <v>47</v>
      </c>
      <c r="AA856" t="s">
        <v>39</v>
      </c>
      <c r="AB856" t="s">
        <v>40</v>
      </c>
      <c r="AC856" t="s">
        <v>40</v>
      </c>
      <c r="AD856" t="s">
        <v>589</v>
      </c>
    </row>
    <row r="857" spans="2:30">
      <c r="B857">
        <v>4</v>
      </c>
      <c r="C857">
        <v>1020</v>
      </c>
      <c r="D857" t="s">
        <v>29</v>
      </c>
      <c r="E857">
        <v>10046958</v>
      </c>
      <c r="F857" t="s">
        <v>953</v>
      </c>
      <c r="G857" t="s">
        <v>31</v>
      </c>
      <c r="H857" t="s">
        <v>32</v>
      </c>
      <c r="I857" t="s">
        <v>588</v>
      </c>
      <c r="J857" t="s">
        <v>45</v>
      </c>
      <c r="K857" t="s">
        <v>35</v>
      </c>
      <c r="L857" t="s">
        <v>36</v>
      </c>
      <c r="M857" t="s">
        <v>55</v>
      </c>
      <c r="N857">
        <v>30</v>
      </c>
      <c r="O857">
        <v>12</v>
      </c>
      <c r="P857">
        <v>6</v>
      </c>
      <c r="Q857">
        <v>18</v>
      </c>
      <c r="R857">
        <v>47.16</v>
      </c>
      <c r="S857" t="str">
        <f t="shared" si="65"/>
        <v>PX: Baja Crit.</v>
      </c>
      <c r="T857">
        <f t="shared" si="66"/>
        <v>0</v>
      </c>
      <c r="U857">
        <f t="shared" si="67"/>
        <v>0</v>
      </c>
      <c r="V857">
        <f t="shared" si="68"/>
        <v>1</v>
      </c>
      <c r="W857">
        <f t="shared" si="69"/>
        <v>0</v>
      </c>
      <c r="X857">
        <v>1</v>
      </c>
      <c r="Y857" s="2">
        <v>45768</v>
      </c>
      <c r="Z857" s="3" t="s">
        <v>56</v>
      </c>
      <c r="AA857" t="s">
        <v>39</v>
      </c>
      <c r="AB857" t="s">
        <v>40</v>
      </c>
      <c r="AC857" t="s">
        <v>40</v>
      </c>
      <c r="AD857" t="s">
        <v>589</v>
      </c>
    </row>
    <row r="858" spans="2:30">
      <c r="B858">
        <v>4</v>
      </c>
      <c r="C858">
        <v>1020</v>
      </c>
      <c r="D858" t="s">
        <v>29</v>
      </c>
      <c r="E858">
        <v>10048375</v>
      </c>
      <c r="F858" t="s">
        <v>954</v>
      </c>
      <c r="G858" t="s">
        <v>43</v>
      </c>
      <c r="H858" t="s">
        <v>44</v>
      </c>
      <c r="I858" t="s">
        <v>588</v>
      </c>
      <c r="J858" t="s">
        <v>45</v>
      </c>
      <c r="K858" t="s">
        <v>35</v>
      </c>
      <c r="L858" t="s">
        <v>36</v>
      </c>
      <c r="M858" t="s">
        <v>46</v>
      </c>
      <c r="N858">
        <v>8</v>
      </c>
      <c r="O858">
        <v>4</v>
      </c>
      <c r="P858">
        <v>0</v>
      </c>
      <c r="Q858">
        <v>8</v>
      </c>
      <c r="R858" s="4">
        <v>5405.76</v>
      </c>
      <c r="S858" t="str">
        <f t="shared" si="65"/>
        <v>PY: Media Crit.</v>
      </c>
      <c r="T858">
        <f t="shared" si="66"/>
        <v>0</v>
      </c>
      <c r="U858">
        <f t="shared" si="67"/>
        <v>0</v>
      </c>
      <c r="V858">
        <f t="shared" si="68"/>
        <v>1</v>
      </c>
      <c r="W858">
        <f t="shared" si="69"/>
        <v>0</v>
      </c>
      <c r="X858">
        <v>1</v>
      </c>
      <c r="Y858" s="2">
        <v>45768</v>
      </c>
      <c r="Z858" s="3" t="s">
        <v>47</v>
      </c>
      <c r="AA858" t="s">
        <v>39</v>
      </c>
      <c r="AB858" t="s">
        <v>40</v>
      </c>
      <c r="AC858" t="s">
        <v>40</v>
      </c>
      <c r="AD858" t="s">
        <v>589</v>
      </c>
    </row>
    <row r="859" spans="2:30">
      <c r="B859">
        <v>4</v>
      </c>
      <c r="C859">
        <v>1020</v>
      </c>
      <c r="D859" t="s">
        <v>29</v>
      </c>
      <c r="E859">
        <v>10054534</v>
      </c>
      <c r="F859" t="s">
        <v>955</v>
      </c>
      <c r="G859" t="s">
        <v>43</v>
      </c>
      <c r="H859" t="s">
        <v>44</v>
      </c>
      <c r="I859" t="s">
        <v>588</v>
      </c>
      <c r="J859" t="s">
        <v>34</v>
      </c>
      <c r="K859" t="s">
        <v>35</v>
      </c>
      <c r="L859" t="s">
        <v>36</v>
      </c>
      <c r="M859" t="s">
        <v>37</v>
      </c>
      <c r="N859">
        <v>4</v>
      </c>
      <c r="O859">
        <v>3</v>
      </c>
      <c r="P859">
        <v>2</v>
      </c>
      <c r="Q859">
        <v>1</v>
      </c>
      <c r="R859">
        <v>783.72</v>
      </c>
      <c r="S859" t="str">
        <f t="shared" si="65"/>
        <v>PY: Media Crit.</v>
      </c>
      <c r="T859">
        <f t="shared" si="66"/>
        <v>0</v>
      </c>
      <c r="U859">
        <f t="shared" si="67"/>
        <v>1</v>
      </c>
      <c r="V859">
        <f t="shared" si="68"/>
        <v>0</v>
      </c>
      <c r="W859">
        <f t="shared" si="69"/>
        <v>0</v>
      </c>
      <c r="X859">
        <v>1</v>
      </c>
      <c r="Y859" s="2">
        <v>45768</v>
      </c>
      <c r="Z859" s="3" t="s">
        <v>38</v>
      </c>
      <c r="AA859" t="s">
        <v>39</v>
      </c>
      <c r="AB859" t="s">
        <v>49</v>
      </c>
      <c r="AC859" s="5" t="s">
        <v>50</v>
      </c>
      <c r="AD859" t="s">
        <v>589</v>
      </c>
    </row>
    <row r="860" spans="2:30">
      <c r="B860">
        <v>4</v>
      </c>
      <c r="C860">
        <v>1020</v>
      </c>
      <c r="D860" t="s">
        <v>29</v>
      </c>
      <c r="E860">
        <v>10057123</v>
      </c>
      <c r="F860" t="s">
        <v>956</v>
      </c>
      <c r="G860" t="s">
        <v>43</v>
      </c>
      <c r="H860" t="s">
        <v>32</v>
      </c>
      <c r="I860" t="s">
        <v>588</v>
      </c>
      <c r="J860" t="s">
        <v>45</v>
      </c>
      <c r="K860" t="s">
        <v>35</v>
      </c>
      <c r="L860" t="s">
        <v>36</v>
      </c>
      <c r="M860" t="s">
        <v>46</v>
      </c>
      <c r="N860">
        <v>2</v>
      </c>
      <c r="O860">
        <v>1</v>
      </c>
      <c r="P860">
        <v>1</v>
      </c>
      <c r="Q860">
        <v>2</v>
      </c>
      <c r="R860">
        <v>845.99</v>
      </c>
      <c r="S860" t="str">
        <f t="shared" si="65"/>
        <v>PY: Media Crit.</v>
      </c>
      <c r="T860">
        <f t="shared" si="66"/>
        <v>0</v>
      </c>
      <c r="U860">
        <f t="shared" si="67"/>
        <v>0</v>
      </c>
      <c r="V860">
        <f t="shared" si="68"/>
        <v>1</v>
      </c>
      <c r="W860">
        <f t="shared" si="69"/>
        <v>0</v>
      </c>
      <c r="X860">
        <v>1</v>
      </c>
      <c r="Y860" s="2">
        <v>45768</v>
      </c>
      <c r="Z860" s="3" t="s">
        <v>47</v>
      </c>
      <c r="AA860" t="s">
        <v>39</v>
      </c>
      <c r="AB860" t="s">
        <v>40</v>
      </c>
      <c r="AC860" t="s">
        <v>40</v>
      </c>
      <c r="AD860" t="s">
        <v>589</v>
      </c>
    </row>
    <row r="861" spans="2:30">
      <c r="B861">
        <v>4</v>
      </c>
      <c r="C861">
        <v>1020</v>
      </c>
      <c r="D861" t="s">
        <v>29</v>
      </c>
      <c r="E861">
        <v>10297433</v>
      </c>
      <c r="F861" t="s">
        <v>957</v>
      </c>
      <c r="G861" t="s">
        <v>52</v>
      </c>
      <c r="H861" t="s">
        <v>32</v>
      </c>
      <c r="I861" t="s">
        <v>588</v>
      </c>
      <c r="J861" t="s">
        <v>45</v>
      </c>
      <c r="K861" t="s">
        <v>35</v>
      </c>
      <c r="L861" t="s">
        <v>36</v>
      </c>
      <c r="M861" t="s">
        <v>46</v>
      </c>
      <c r="N861">
        <v>2</v>
      </c>
      <c r="O861">
        <v>2</v>
      </c>
      <c r="P861">
        <v>1</v>
      </c>
      <c r="Q861">
        <v>2</v>
      </c>
      <c r="R861" s="4">
        <v>1655.78</v>
      </c>
      <c r="S861" t="str">
        <f t="shared" si="65"/>
        <v>PZ: Alta Crit.</v>
      </c>
      <c r="T861">
        <f t="shared" si="66"/>
        <v>0</v>
      </c>
      <c r="U861">
        <f t="shared" si="67"/>
        <v>0</v>
      </c>
      <c r="V861">
        <f t="shared" si="68"/>
        <v>1</v>
      </c>
      <c r="W861">
        <f t="shared" si="69"/>
        <v>0</v>
      </c>
      <c r="X861">
        <v>1</v>
      </c>
      <c r="Y861" s="2">
        <v>45768</v>
      </c>
      <c r="Z861" s="3" t="s">
        <v>47</v>
      </c>
      <c r="AA861" t="s">
        <v>39</v>
      </c>
      <c r="AB861" t="s">
        <v>40</v>
      </c>
      <c r="AC861" t="s">
        <v>40</v>
      </c>
      <c r="AD861" t="s">
        <v>589</v>
      </c>
    </row>
    <row r="862" spans="2:30">
      <c r="B862">
        <v>4</v>
      </c>
      <c r="C862">
        <v>1020</v>
      </c>
      <c r="D862" t="s">
        <v>29</v>
      </c>
      <c r="E862">
        <v>14192349</v>
      </c>
      <c r="F862" t="s">
        <v>958</v>
      </c>
      <c r="G862" t="s">
        <v>43</v>
      </c>
      <c r="H862" t="s">
        <v>44</v>
      </c>
      <c r="I862" t="s">
        <v>588</v>
      </c>
      <c r="J862" t="s">
        <v>45</v>
      </c>
      <c r="K862" t="s">
        <v>35</v>
      </c>
      <c r="L862" t="s">
        <v>36</v>
      </c>
      <c r="M862" t="s">
        <v>46</v>
      </c>
      <c r="N862">
        <v>2</v>
      </c>
      <c r="O862">
        <v>2</v>
      </c>
      <c r="P862">
        <v>0</v>
      </c>
      <c r="Q862">
        <v>9</v>
      </c>
      <c r="R862">
        <v>502.52</v>
      </c>
      <c r="S862" t="str">
        <f t="shared" si="65"/>
        <v>PY: Media Crit.</v>
      </c>
      <c r="T862">
        <f t="shared" si="66"/>
        <v>0</v>
      </c>
      <c r="U862">
        <f t="shared" si="67"/>
        <v>0</v>
      </c>
      <c r="V862">
        <f t="shared" si="68"/>
        <v>0</v>
      </c>
      <c r="W862">
        <f t="shared" si="69"/>
        <v>1</v>
      </c>
      <c r="X862">
        <v>1</v>
      </c>
      <c r="Y862" s="2">
        <v>45768</v>
      </c>
      <c r="Z862" s="3" t="s">
        <v>47</v>
      </c>
      <c r="AA862" t="s">
        <v>39</v>
      </c>
      <c r="AB862" t="s">
        <v>40</v>
      </c>
      <c r="AC862" t="s">
        <v>40</v>
      </c>
      <c r="AD862" t="s">
        <v>589</v>
      </c>
    </row>
    <row r="863" spans="2:30">
      <c r="B863">
        <v>4</v>
      </c>
      <c r="C863">
        <v>1020</v>
      </c>
      <c r="D863" t="s">
        <v>29</v>
      </c>
      <c r="E863">
        <v>10052911</v>
      </c>
      <c r="F863" t="s">
        <v>959</v>
      </c>
      <c r="G863" t="s">
        <v>31</v>
      </c>
      <c r="H863" t="s">
        <v>32</v>
      </c>
      <c r="I863" t="s">
        <v>588</v>
      </c>
      <c r="J863" t="s">
        <v>34</v>
      </c>
      <c r="K863" t="s">
        <v>35</v>
      </c>
      <c r="L863" t="s">
        <v>36</v>
      </c>
      <c r="M863" t="s">
        <v>37</v>
      </c>
      <c r="N863">
        <v>300</v>
      </c>
      <c r="O863">
        <v>101</v>
      </c>
      <c r="P863">
        <v>100</v>
      </c>
      <c r="Q863">
        <v>300</v>
      </c>
      <c r="R863">
        <v>108</v>
      </c>
      <c r="S863" t="str">
        <f t="shared" si="65"/>
        <v>PX: Baja Crit.</v>
      </c>
      <c r="T863">
        <f t="shared" si="66"/>
        <v>0</v>
      </c>
      <c r="U863">
        <f t="shared" si="67"/>
        <v>0</v>
      </c>
      <c r="V863">
        <f t="shared" si="68"/>
        <v>1</v>
      </c>
      <c r="W863">
        <f t="shared" si="69"/>
        <v>0</v>
      </c>
      <c r="X863">
        <v>1</v>
      </c>
      <c r="Y863" s="2">
        <v>45768</v>
      </c>
      <c r="Z863" s="3" t="s">
        <v>38</v>
      </c>
      <c r="AA863" t="s">
        <v>39</v>
      </c>
      <c r="AB863" t="s">
        <v>40</v>
      </c>
      <c r="AC863" t="s">
        <v>40</v>
      </c>
      <c r="AD863" t="s">
        <v>589</v>
      </c>
    </row>
    <row r="864" spans="2:30">
      <c r="B864">
        <v>4</v>
      </c>
      <c r="C864">
        <v>1020</v>
      </c>
      <c r="D864" t="s">
        <v>29</v>
      </c>
      <c r="E864">
        <v>10054974</v>
      </c>
      <c r="F864" t="s">
        <v>960</v>
      </c>
      <c r="G864" t="s">
        <v>43</v>
      </c>
      <c r="H864" t="s">
        <v>32</v>
      </c>
      <c r="I864" t="s">
        <v>588</v>
      </c>
      <c r="J864" t="s">
        <v>45</v>
      </c>
      <c r="K864" t="s">
        <v>35</v>
      </c>
      <c r="L864" t="s">
        <v>36</v>
      </c>
      <c r="M864" t="s">
        <v>117</v>
      </c>
      <c r="N864">
        <v>4</v>
      </c>
      <c r="O864">
        <v>3</v>
      </c>
      <c r="P864">
        <v>1</v>
      </c>
      <c r="Q864">
        <v>8</v>
      </c>
      <c r="R864">
        <v>255.14</v>
      </c>
      <c r="S864" t="str">
        <f t="shared" si="65"/>
        <v>PY: Media Crit.</v>
      </c>
      <c r="T864">
        <f t="shared" si="66"/>
        <v>0</v>
      </c>
      <c r="U864">
        <f t="shared" si="67"/>
        <v>0</v>
      </c>
      <c r="V864">
        <f t="shared" si="68"/>
        <v>0</v>
      </c>
      <c r="W864">
        <f t="shared" si="69"/>
        <v>1</v>
      </c>
      <c r="X864">
        <v>1</v>
      </c>
      <c r="Y864" s="2">
        <v>45768</v>
      </c>
      <c r="Z864" s="3" t="s">
        <v>118</v>
      </c>
      <c r="AA864" t="s">
        <v>39</v>
      </c>
      <c r="AB864" t="s">
        <v>40</v>
      </c>
      <c r="AC864" t="s">
        <v>40</v>
      </c>
      <c r="AD864" t="s">
        <v>589</v>
      </c>
    </row>
    <row r="865" spans="2:30">
      <c r="B865">
        <v>4</v>
      </c>
      <c r="C865">
        <v>1020</v>
      </c>
      <c r="D865" t="s">
        <v>29</v>
      </c>
      <c r="E865">
        <v>10056738</v>
      </c>
      <c r="F865" t="s">
        <v>961</v>
      </c>
      <c r="G865" t="s">
        <v>31</v>
      </c>
      <c r="H865" t="s">
        <v>32</v>
      </c>
      <c r="I865" t="s">
        <v>588</v>
      </c>
      <c r="J865" t="s">
        <v>34</v>
      </c>
      <c r="K865" t="s">
        <v>35</v>
      </c>
      <c r="L865" t="s">
        <v>36</v>
      </c>
      <c r="M865" t="s">
        <v>37</v>
      </c>
      <c r="N865">
        <v>6</v>
      </c>
      <c r="O865">
        <v>4</v>
      </c>
      <c r="P865">
        <v>2</v>
      </c>
      <c r="Q865">
        <v>6</v>
      </c>
      <c r="R865">
        <v>453.24</v>
      </c>
      <c r="S865" t="str">
        <f t="shared" si="65"/>
        <v>PX: Baja Crit.</v>
      </c>
      <c r="T865">
        <f t="shared" si="66"/>
        <v>0</v>
      </c>
      <c r="U865">
        <f t="shared" si="67"/>
        <v>0</v>
      </c>
      <c r="V865">
        <f t="shared" si="68"/>
        <v>1</v>
      </c>
      <c r="W865">
        <f t="shared" si="69"/>
        <v>0</v>
      </c>
      <c r="X865">
        <v>1</v>
      </c>
      <c r="Y865" s="2">
        <v>45768</v>
      </c>
      <c r="Z865" s="3" t="s">
        <v>38</v>
      </c>
      <c r="AA865" t="s">
        <v>39</v>
      </c>
      <c r="AB865" t="s">
        <v>40</v>
      </c>
      <c r="AC865" t="s">
        <v>40</v>
      </c>
      <c r="AD865" t="s">
        <v>589</v>
      </c>
    </row>
    <row r="866" spans="2:30">
      <c r="B866">
        <v>4</v>
      </c>
      <c r="C866">
        <v>1020</v>
      </c>
      <c r="D866" t="s">
        <v>29</v>
      </c>
      <c r="E866">
        <v>10728116</v>
      </c>
      <c r="F866" t="s">
        <v>962</v>
      </c>
      <c r="G866" t="s">
        <v>43</v>
      </c>
      <c r="H866" t="s">
        <v>32</v>
      </c>
      <c r="I866" t="s">
        <v>588</v>
      </c>
      <c r="J866" t="s">
        <v>45</v>
      </c>
      <c r="K866" t="s">
        <v>35</v>
      </c>
      <c r="L866" t="s">
        <v>36</v>
      </c>
      <c r="M866" t="s">
        <v>117</v>
      </c>
      <c r="N866">
        <v>20</v>
      </c>
      <c r="O866">
        <v>11</v>
      </c>
      <c r="P866">
        <v>5</v>
      </c>
      <c r="Q866">
        <v>0</v>
      </c>
      <c r="R866">
        <v>0</v>
      </c>
      <c r="S866" t="str">
        <f t="shared" si="65"/>
        <v>PY: Media Crit.</v>
      </c>
      <c r="T866">
        <f t="shared" si="66"/>
        <v>1</v>
      </c>
      <c r="U866">
        <f t="shared" si="67"/>
        <v>0</v>
      </c>
      <c r="V866">
        <f t="shared" si="68"/>
        <v>0</v>
      </c>
      <c r="W866">
        <f t="shared" si="69"/>
        <v>0</v>
      </c>
      <c r="X866">
        <v>1</v>
      </c>
      <c r="Y866" s="2">
        <v>45768</v>
      </c>
      <c r="Z866" s="3" t="s">
        <v>118</v>
      </c>
      <c r="AA866" t="s">
        <v>39</v>
      </c>
      <c r="AB866" t="s">
        <v>49</v>
      </c>
      <c r="AC866" s="5" t="s">
        <v>50</v>
      </c>
      <c r="AD866" t="s">
        <v>589</v>
      </c>
    </row>
    <row r="867" spans="2:30">
      <c r="B867">
        <v>4</v>
      </c>
      <c r="C867">
        <v>1020</v>
      </c>
      <c r="D867" t="s">
        <v>29</v>
      </c>
      <c r="E867">
        <v>14013808</v>
      </c>
      <c r="F867" t="s">
        <v>963</v>
      </c>
      <c r="G867" t="s">
        <v>31</v>
      </c>
      <c r="H867" t="s">
        <v>60</v>
      </c>
      <c r="I867" t="s">
        <v>588</v>
      </c>
      <c r="J867" t="s">
        <v>45</v>
      </c>
      <c r="K867" t="s">
        <v>35</v>
      </c>
      <c r="L867" t="s">
        <v>36</v>
      </c>
      <c r="M867" t="s">
        <v>117</v>
      </c>
      <c r="N867">
        <v>20</v>
      </c>
      <c r="O867">
        <v>12</v>
      </c>
      <c r="P867">
        <v>3</v>
      </c>
      <c r="Q867">
        <v>20</v>
      </c>
      <c r="R867" s="4">
        <v>1200</v>
      </c>
      <c r="S867" t="str">
        <f t="shared" si="65"/>
        <v>PX: Baja Crit.</v>
      </c>
      <c r="T867">
        <f t="shared" si="66"/>
        <v>0</v>
      </c>
      <c r="U867">
        <f t="shared" si="67"/>
        <v>0</v>
      </c>
      <c r="V867">
        <f t="shared" si="68"/>
        <v>1</v>
      </c>
      <c r="W867">
        <f t="shared" si="69"/>
        <v>0</v>
      </c>
      <c r="X867">
        <v>1</v>
      </c>
      <c r="Y867" s="2">
        <v>45768</v>
      </c>
      <c r="Z867" s="3" t="s">
        <v>118</v>
      </c>
      <c r="AA867" t="s">
        <v>39</v>
      </c>
      <c r="AB867" t="s">
        <v>40</v>
      </c>
      <c r="AC867" t="s">
        <v>40</v>
      </c>
      <c r="AD867" t="s">
        <v>589</v>
      </c>
    </row>
    <row r="868" spans="2:30">
      <c r="B868">
        <v>4</v>
      </c>
      <c r="C868">
        <v>1020</v>
      </c>
      <c r="D868" t="s">
        <v>29</v>
      </c>
      <c r="E868">
        <v>14145750</v>
      </c>
      <c r="F868" t="s">
        <v>964</v>
      </c>
      <c r="G868" t="s">
        <v>43</v>
      </c>
      <c r="H868" t="s">
        <v>60</v>
      </c>
      <c r="I868" t="s">
        <v>588</v>
      </c>
      <c r="J868" t="s">
        <v>45</v>
      </c>
      <c r="K868" t="s">
        <v>35</v>
      </c>
      <c r="L868" t="s">
        <v>36</v>
      </c>
      <c r="M868" t="s">
        <v>55</v>
      </c>
      <c r="N868">
        <v>60</v>
      </c>
      <c r="O868">
        <v>31</v>
      </c>
      <c r="P868">
        <v>0</v>
      </c>
      <c r="Q868">
        <v>20</v>
      </c>
      <c r="R868">
        <v>157.29</v>
      </c>
      <c r="S868" t="str">
        <f t="shared" si="65"/>
        <v>PY: Media Crit.</v>
      </c>
      <c r="T868">
        <f t="shared" si="66"/>
        <v>0</v>
      </c>
      <c r="U868">
        <f t="shared" si="67"/>
        <v>0</v>
      </c>
      <c r="V868">
        <f t="shared" si="68"/>
        <v>1</v>
      </c>
      <c r="W868">
        <f t="shared" si="69"/>
        <v>0</v>
      </c>
      <c r="X868">
        <v>1</v>
      </c>
      <c r="Y868" s="2">
        <v>45768</v>
      </c>
      <c r="Z868" s="3" t="s">
        <v>56</v>
      </c>
      <c r="AA868" t="s">
        <v>39</v>
      </c>
      <c r="AB868" t="s">
        <v>40</v>
      </c>
      <c r="AC868" t="s">
        <v>40</v>
      </c>
      <c r="AD868" t="s">
        <v>589</v>
      </c>
    </row>
    <row r="869" spans="2:30">
      <c r="B869">
        <v>4</v>
      </c>
      <c r="C869">
        <v>1020</v>
      </c>
      <c r="D869" t="s">
        <v>29</v>
      </c>
      <c r="E869">
        <v>10042135</v>
      </c>
      <c r="F869" t="s">
        <v>965</v>
      </c>
      <c r="G869" t="s">
        <v>31</v>
      </c>
      <c r="H869" t="s">
        <v>32</v>
      </c>
      <c r="I869" t="s">
        <v>588</v>
      </c>
      <c r="J869" t="s">
        <v>45</v>
      </c>
      <c r="K869" t="s">
        <v>35</v>
      </c>
      <c r="L869" t="s">
        <v>36</v>
      </c>
      <c r="M869" t="s">
        <v>117</v>
      </c>
      <c r="N869">
        <v>4</v>
      </c>
      <c r="O869">
        <v>3</v>
      </c>
      <c r="P869">
        <v>2</v>
      </c>
      <c r="Q869">
        <v>0</v>
      </c>
      <c r="R869">
        <v>0</v>
      </c>
      <c r="S869" t="str">
        <f t="shared" si="65"/>
        <v>PX: Baja Crit.</v>
      </c>
      <c r="T869">
        <f t="shared" si="66"/>
        <v>1</v>
      </c>
      <c r="U869">
        <f t="shared" si="67"/>
        <v>0</v>
      </c>
      <c r="V869">
        <f t="shared" si="68"/>
        <v>0</v>
      </c>
      <c r="W869">
        <f t="shared" si="69"/>
        <v>0</v>
      </c>
      <c r="X869">
        <v>1</v>
      </c>
      <c r="Y869" s="2">
        <v>45768</v>
      </c>
      <c r="Z869" s="3" t="s">
        <v>118</v>
      </c>
      <c r="AA869" t="s">
        <v>39</v>
      </c>
      <c r="AB869" t="s">
        <v>49</v>
      </c>
      <c r="AC869" s="5" t="s">
        <v>50</v>
      </c>
      <c r="AD869" t="s">
        <v>589</v>
      </c>
    </row>
    <row r="870" spans="2:30">
      <c r="B870">
        <v>4</v>
      </c>
      <c r="C870">
        <v>1020</v>
      </c>
      <c r="D870" t="s">
        <v>29</v>
      </c>
      <c r="E870">
        <v>14009654</v>
      </c>
      <c r="F870" t="s">
        <v>966</v>
      </c>
      <c r="G870" t="s">
        <v>43</v>
      </c>
      <c r="H870" t="s">
        <v>32</v>
      </c>
      <c r="I870" t="s">
        <v>588</v>
      </c>
      <c r="J870" t="s">
        <v>45</v>
      </c>
      <c r="K870" t="s">
        <v>35</v>
      </c>
      <c r="L870" t="s">
        <v>36</v>
      </c>
      <c r="M870" t="s">
        <v>55</v>
      </c>
      <c r="N870">
        <v>4</v>
      </c>
      <c r="O870">
        <v>3</v>
      </c>
      <c r="P870">
        <v>1</v>
      </c>
      <c r="Q870">
        <v>3</v>
      </c>
      <c r="R870">
        <v>320.29000000000002</v>
      </c>
      <c r="S870" t="str">
        <f t="shared" si="65"/>
        <v>PY: Media Crit.</v>
      </c>
      <c r="T870">
        <f t="shared" si="66"/>
        <v>0</v>
      </c>
      <c r="U870">
        <f t="shared" si="67"/>
        <v>0</v>
      </c>
      <c r="V870">
        <f t="shared" si="68"/>
        <v>1</v>
      </c>
      <c r="W870">
        <f t="shared" si="69"/>
        <v>0</v>
      </c>
      <c r="X870">
        <v>1</v>
      </c>
      <c r="Y870" s="2">
        <v>45768</v>
      </c>
      <c r="Z870" s="3" t="s">
        <v>56</v>
      </c>
      <c r="AA870" t="s">
        <v>39</v>
      </c>
      <c r="AB870" t="s">
        <v>40</v>
      </c>
      <c r="AC870" t="s">
        <v>40</v>
      </c>
      <c r="AD870" t="s">
        <v>589</v>
      </c>
    </row>
    <row r="871" spans="2:30">
      <c r="B871">
        <v>4</v>
      </c>
      <c r="C871">
        <v>1020</v>
      </c>
      <c r="D871" t="s">
        <v>29</v>
      </c>
      <c r="E871">
        <v>14062051</v>
      </c>
      <c r="F871" t="s">
        <v>967</v>
      </c>
      <c r="G871" t="s">
        <v>43</v>
      </c>
      <c r="H871" t="s">
        <v>60</v>
      </c>
      <c r="I871" t="s">
        <v>588</v>
      </c>
      <c r="J871" t="s">
        <v>45</v>
      </c>
      <c r="K871" t="s">
        <v>35</v>
      </c>
      <c r="L871" t="s">
        <v>36</v>
      </c>
      <c r="M871" t="s">
        <v>37</v>
      </c>
      <c r="N871">
        <v>20</v>
      </c>
      <c r="O871">
        <v>11</v>
      </c>
      <c r="P871">
        <v>5</v>
      </c>
      <c r="Q871">
        <v>20</v>
      </c>
      <c r="R871" s="4">
        <v>1042.3599999999999</v>
      </c>
      <c r="S871" t="str">
        <f t="shared" si="65"/>
        <v>PY: Media Crit.</v>
      </c>
      <c r="T871">
        <f t="shared" si="66"/>
        <v>0</v>
      </c>
      <c r="U871">
        <f t="shared" si="67"/>
        <v>0</v>
      </c>
      <c r="V871">
        <f t="shared" si="68"/>
        <v>1</v>
      </c>
      <c r="W871">
        <f t="shared" si="69"/>
        <v>0</v>
      </c>
      <c r="X871">
        <v>1</v>
      </c>
      <c r="Y871" s="2">
        <v>45768</v>
      </c>
      <c r="Z871" s="3" t="s">
        <v>38</v>
      </c>
      <c r="AA871" t="s">
        <v>39</v>
      </c>
      <c r="AB871" t="s">
        <v>40</v>
      </c>
      <c r="AC871" t="s">
        <v>40</v>
      </c>
      <c r="AD871" t="s">
        <v>589</v>
      </c>
    </row>
    <row r="872" spans="2:30">
      <c r="B872">
        <v>4</v>
      </c>
      <c r="C872">
        <v>1020</v>
      </c>
      <c r="D872" t="s">
        <v>29</v>
      </c>
      <c r="E872">
        <v>10045511</v>
      </c>
      <c r="F872" t="s">
        <v>968</v>
      </c>
      <c r="G872" t="s">
        <v>31</v>
      </c>
      <c r="H872" t="s">
        <v>32</v>
      </c>
      <c r="I872" t="s">
        <v>588</v>
      </c>
      <c r="J872" t="s">
        <v>34</v>
      </c>
      <c r="K872" t="s">
        <v>35</v>
      </c>
      <c r="L872" t="s">
        <v>36</v>
      </c>
      <c r="M872" t="s">
        <v>55</v>
      </c>
      <c r="N872">
        <v>100</v>
      </c>
      <c r="O872">
        <v>61</v>
      </c>
      <c r="P872">
        <v>20</v>
      </c>
      <c r="Q872">
        <v>157</v>
      </c>
      <c r="R872">
        <v>399.98</v>
      </c>
      <c r="S872" t="str">
        <f t="shared" si="65"/>
        <v>PX: Baja Crit.</v>
      </c>
      <c r="T872">
        <f t="shared" si="66"/>
        <v>0</v>
      </c>
      <c r="U872">
        <f t="shared" si="67"/>
        <v>0</v>
      </c>
      <c r="V872">
        <f t="shared" si="68"/>
        <v>0</v>
      </c>
      <c r="W872">
        <f t="shared" si="69"/>
        <v>1</v>
      </c>
      <c r="X872">
        <v>1</v>
      </c>
      <c r="Y872" s="2">
        <v>45768</v>
      </c>
      <c r="Z872" s="3" t="s">
        <v>56</v>
      </c>
      <c r="AA872" t="s">
        <v>39</v>
      </c>
      <c r="AB872" t="s">
        <v>40</v>
      </c>
      <c r="AC872" t="s">
        <v>40</v>
      </c>
      <c r="AD872" t="s">
        <v>589</v>
      </c>
    </row>
    <row r="873" spans="2:30">
      <c r="B873">
        <v>4</v>
      </c>
      <c r="C873">
        <v>1020</v>
      </c>
      <c r="D873" t="s">
        <v>29</v>
      </c>
      <c r="E873">
        <v>10045687</v>
      </c>
      <c r="F873" t="s">
        <v>969</v>
      </c>
      <c r="G873" t="s">
        <v>31</v>
      </c>
      <c r="H873" t="s">
        <v>44</v>
      </c>
      <c r="I873" t="s">
        <v>588</v>
      </c>
      <c r="J873" t="s">
        <v>45</v>
      </c>
      <c r="K873" t="s">
        <v>35</v>
      </c>
      <c r="L873" t="s">
        <v>36</v>
      </c>
      <c r="M873" t="s">
        <v>55</v>
      </c>
      <c r="N873">
        <v>10</v>
      </c>
      <c r="O873">
        <v>6</v>
      </c>
      <c r="P873">
        <v>0</v>
      </c>
      <c r="Q873">
        <v>9</v>
      </c>
      <c r="R873">
        <v>71.25</v>
      </c>
      <c r="S873" t="str">
        <f t="shared" si="65"/>
        <v>PX: Baja Crit.</v>
      </c>
      <c r="T873">
        <f t="shared" si="66"/>
        <v>0</v>
      </c>
      <c r="U873">
        <f t="shared" si="67"/>
        <v>0</v>
      </c>
      <c r="V873">
        <f t="shared" si="68"/>
        <v>1</v>
      </c>
      <c r="W873">
        <f t="shared" si="69"/>
        <v>0</v>
      </c>
      <c r="X873">
        <v>1</v>
      </c>
      <c r="Y873" s="2">
        <v>45768</v>
      </c>
      <c r="Z873" s="3" t="s">
        <v>56</v>
      </c>
      <c r="AA873" t="s">
        <v>39</v>
      </c>
      <c r="AB873" t="s">
        <v>40</v>
      </c>
      <c r="AC873" t="s">
        <v>40</v>
      </c>
      <c r="AD873" t="s">
        <v>589</v>
      </c>
    </row>
    <row r="874" spans="2:30">
      <c r="B874">
        <v>4</v>
      </c>
      <c r="C874">
        <v>1020</v>
      </c>
      <c r="D874" t="s">
        <v>29</v>
      </c>
      <c r="E874">
        <v>10045801</v>
      </c>
      <c r="F874" t="s">
        <v>970</v>
      </c>
      <c r="G874" t="s">
        <v>43</v>
      </c>
      <c r="H874" t="s">
        <v>32</v>
      </c>
      <c r="I874" t="s">
        <v>588</v>
      </c>
      <c r="J874" t="s">
        <v>45</v>
      </c>
      <c r="K874" t="s">
        <v>35</v>
      </c>
      <c r="L874" t="s">
        <v>36</v>
      </c>
      <c r="M874" t="s">
        <v>37</v>
      </c>
      <c r="N874">
        <v>30</v>
      </c>
      <c r="O874">
        <v>21</v>
      </c>
      <c r="P874">
        <v>10</v>
      </c>
      <c r="Q874">
        <v>20</v>
      </c>
      <c r="R874" s="4">
        <v>2486.0700000000002</v>
      </c>
      <c r="S874" t="str">
        <f t="shared" si="65"/>
        <v>PY: Media Crit.</v>
      </c>
      <c r="T874">
        <f t="shared" si="66"/>
        <v>0</v>
      </c>
      <c r="U874">
        <f t="shared" si="67"/>
        <v>0</v>
      </c>
      <c r="V874">
        <f t="shared" si="68"/>
        <v>1</v>
      </c>
      <c r="W874">
        <f t="shared" si="69"/>
        <v>0</v>
      </c>
      <c r="X874">
        <v>1</v>
      </c>
      <c r="Y874" s="2">
        <v>45768</v>
      </c>
      <c r="Z874" s="3" t="s">
        <v>38</v>
      </c>
      <c r="AA874" t="s">
        <v>39</v>
      </c>
      <c r="AB874" t="s">
        <v>76</v>
      </c>
      <c r="AC874" s="5" t="s">
        <v>77</v>
      </c>
      <c r="AD874" t="s">
        <v>589</v>
      </c>
    </row>
    <row r="875" spans="2:30">
      <c r="B875">
        <v>4</v>
      </c>
      <c r="C875">
        <v>1020</v>
      </c>
      <c r="D875" t="s">
        <v>29</v>
      </c>
      <c r="E875">
        <v>10049927</v>
      </c>
      <c r="F875" t="s">
        <v>971</v>
      </c>
      <c r="G875" t="s">
        <v>43</v>
      </c>
      <c r="H875" t="s">
        <v>32</v>
      </c>
      <c r="I875" t="s">
        <v>588</v>
      </c>
      <c r="J875" t="s">
        <v>45</v>
      </c>
      <c r="K875" t="s">
        <v>35</v>
      </c>
      <c r="L875" t="s">
        <v>36</v>
      </c>
      <c r="M875" t="s">
        <v>55</v>
      </c>
      <c r="N875">
        <v>100</v>
      </c>
      <c r="O875">
        <v>41</v>
      </c>
      <c r="P875">
        <v>10</v>
      </c>
      <c r="Q875">
        <v>76</v>
      </c>
      <c r="R875">
        <v>57.52</v>
      </c>
      <c r="S875" t="str">
        <f t="shared" si="65"/>
        <v>PY: Media Crit.</v>
      </c>
      <c r="T875">
        <f t="shared" si="66"/>
        <v>0</v>
      </c>
      <c r="U875">
        <f t="shared" si="67"/>
        <v>0</v>
      </c>
      <c r="V875">
        <f t="shared" si="68"/>
        <v>1</v>
      </c>
      <c r="W875">
        <f t="shared" si="69"/>
        <v>0</v>
      </c>
      <c r="X875">
        <v>1</v>
      </c>
      <c r="Y875" s="2">
        <v>45768</v>
      </c>
      <c r="Z875" s="3" t="s">
        <v>56</v>
      </c>
      <c r="AA875" t="s">
        <v>39</v>
      </c>
      <c r="AB875" t="s">
        <v>40</v>
      </c>
      <c r="AC875" t="s">
        <v>40</v>
      </c>
      <c r="AD875" t="s">
        <v>589</v>
      </c>
    </row>
    <row r="876" spans="2:30">
      <c r="B876">
        <v>4</v>
      </c>
      <c r="C876">
        <v>1020</v>
      </c>
      <c r="D876" t="s">
        <v>29</v>
      </c>
      <c r="E876">
        <v>14299479</v>
      </c>
      <c r="F876" t="s">
        <v>972</v>
      </c>
      <c r="G876" t="s">
        <v>31</v>
      </c>
      <c r="H876" t="s">
        <v>44</v>
      </c>
      <c r="I876" t="s">
        <v>588</v>
      </c>
      <c r="J876" t="s">
        <v>45</v>
      </c>
      <c r="K876" t="s">
        <v>35</v>
      </c>
      <c r="L876" t="s">
        <v>36</v>
      </c>
      <c r="M876" t="s">
        <v>117</v>
      </c>
      <c r="N876">
        <v>12</v>
      </c>
      <c r="O876">
        <v>10</v>
      </c>
      <c r="P876">
        <v>0</v>
      </c>
      <c r="Q876">
        <v>4</v>
      </c>
      <c r="R876" s="4">
        <v>2724.35</v>
      </c>
      <c r="S876" t="str">
        <f t="shared" si="65"/>
        <v>PX: Baja Crit.</v>
      </c>
      <c r="T876">
        <f t="shared" si="66"/>
        <v>0</v>
      </c>
      <c r="U876">
        <f t="shared" si="67"/>
        <v>0</v>
      </c>
      <c r="V876">
        <f t="shared" si="68"/>
        <v>1</v>
      </c>
      <c r="W876">
        <f t="shared" si="69"/>
        <v>0</v>
      </c>
      <c r="X876">
        <v>1</v>
      </c>
      <c r="Y876" s="2">
        <v>45768</v>
      </c>
      <c r="Z876" s="3" t="s">
        <v>118</v>
      </c>
      <c r="AA876" t="s">
        <v>39</v>
      </c>
      <c r="AB876" t="s">
        <v>49</v>
      </c>
      <c r="AC876" s="5" t="s">
        <v>50</v>
      </c>
      <c r="AD876" t="s">
        <v>589</v>
      </c>
    </row>
    <row r="877" spans="2:30">
      <c r="B877">
        <v>4</v>
      </c>
      <c r="C877">
        <v>1020</v>
      </c>
      <c r="D877" t="s">
        <v>29</v>
      </c>
      <c r="E877">
        <v>10056629</v>
      </c>
      <c r="F877" t="s">
        <v>973</v>
      </c>
      <c r="G877" t="s">
        <v>52</v>
      </c>
      <c r="H877" t="s">
        <v>32</v>
      </c>
      <c r="I877" t="s">
        <v>588</v>
      </c>
      <c r="J877" t="s">
        <v>45</v>
      </c>
      <c r="K877" t="s">
        <v>35</v>
      </c>
      <c r="L877" t="s">
        <v>36</v>
      </c>
      <c r="M877" t="s">
        <v>88</v>
      </c>
      <c r="N877">
        <v>20</v>
      </c>
      <c r="O877">
        <v>11</v>
      </c>
      <c r="P877">
        <v>5</v>
      </c>
      <c r="Q877">
        <v>20</v>
      </c>
      <c r="R877">
        <v>44.9</v>
      </c>
      <c r="S877" t="str">
        <f t="shared" si="65"/>
        <v>PZ: Alta Crit.</v>
      </c>
      <c r="T877">
        <f t="shared" si="66"/>
        <v>0</v>
      </c>
      <c r="U877">
        <f t="shared" si="67"/>
        <v>0</v>
      </c>
      <c r="V877">
        <f t="shared" si="68"/>
        <v>1</v>
      </c>
      <c r="W877">
        <f t="shared" si="69"/>
        <v>0</v>
      </c>
      <c r="X877">
        <v>1</v>
      </c>
      <c r="Y877" s="2">
        <v>45768</v>
      </c>
      <c r="Z877" s="3" t="s">
        <v>89</v>
      </c>
      <c r="AA877" t="s">
        <v>39</v>
      </c>
      <c r="AB877" t="s">
        <v>40</v>
      </c>
      <c r="AC877" t="s">
        <v>40</v>
      </c>
      <c r="AD877" t="s">
        <v>589</v>
      </c>
    </row>
    <row r="878" spans="2:30">
      <c r="B878">
        <v>4</v>
      </c>
      <c r="C878">
        <v>1020</v>
      </c>
      <c r="D878" t="s">
        <v>29</v>
      </c>
      <c r="E878">
        <v>10044409</v>
      </c>
      <c r="F878" t="s">
        <v>974</v>
      </c>
      <c r="G878" t="s">
        <v>52</v>
      </c>
      <c r="H878" t="s">
        <v>32</v>
      </c>
      <c r="I878" t="s">
        <v>588</v>
      </c>
      <c r="J878" t="s">
        <v>45</v>
      </c>
      <c r="K878" t="s">
        <v>35</v>
      </c>
      <c r="L878" t="s">
        <v>36</v>
      </c>
      <c r="M878" t="s">
        <v>46</v>
      </c>
      <c r="N878">
        <v>3</v>
      </c>
      <c r="O878">
        <v>3</v>
      </c>
      <c r="P878">
        <v>1</v>
      </c>
      <c r="Q878">
        <v>11</v>
      </c>
      <c r="R878">
        <v>892.63</v>
      </c>
      <c r="S878" t="str">
        <f t="shared" si="65"/>
        <v>PZ: Alta Crit.</v>
      </c>
      <c r="T878">
        <f t="shared" si="66"/>
        <v>0</v>
      </c>
      <c r="U878">
        <f t="shared" si="67"/>
        <v>0</v>
      </c>
      <c r="V878">
        <f t="shared" si="68"/>
        <v>0</v>
      </c>
      <c r="W878">
        <f t="shared" si="69"/>
        <v>1</v>
      </c>
      <c r="X878">
        <v>1</v>
      </c>
      <c r="Y878" s="2">
        <v>45768</v>
      </c>
      <c r="Z878" s="3" t="s">
        <v>47</v>
      </c>
      <c r="AA878" t="s">
        <v>39</v>
      </c>
      <c r="AB878" t="s">
        <v>40</v>
      </c>
      <c r="AC878" t="s">
        <v>40</v>
      </c>
      <c r="AD878" t="s">
        <v>589</v>
      </c>
    </row>
    <row r="879" spans="2:30">
      <c r="B879">
        <v>4</v>
      </c>
      <c r="C879">
        <v>1020</v>
      </c>
      <c r="D879" t="s">
        <v>29</v>
      </c>
      <c r="E879">
        <v>10043672</v>
      </c>
      <c r="F879" t="s">
        <v>975</v>
      </c>
      <c r="G879" t="s">
        <v>43</v>
      </c>
      <c r="H879" t="s">
        <v>32</v>
      </c>
      <c r="I879" t="s">
        <v>588</v>
      </c>
      <c r="J879" t="s">
        <v>45</v>
      </c>
      <c r="K879" t="s">
        <v>35</v>
      </c>
      <c r="L879" t="s">
        <v>36</v>
      </c>
      <c r="M879" t="s">
        <v>46</v>
      </c>
      <c r="N879">
        <v>4</v>
      </c>
      <c r="O879">
        <v>3</v>
      </c>
      <c r="P879">
        <v>1</v>
      </c>
      <c r="Q879">
        <v>4</v>
      </c>
      <c r="R879">
        <v>221.27</v>
      </c>
      <c r="S879" t="str">
        <f t="shared" si="65"/>
        <v>PY: Media Crit.</v>
      </c>
      <c r="T879">
        <f t="shared" si="66"/>
        <v>0</v>
      </c>
      <c r="U879">
        <f t="shared" si="67"/>
        <v>0</v>
      </c>
      <c r="V879">
        <f t="shared" si="68"/>
        <v>1</v>
      </c>
      <c r="W879">
        <f t="shared" si="69"/>
        <v>0</v>
      </c>
      <c r="X879">
        <v>1</v>
      </c>
      <c r="Y879" s="2">
        <v>45768</v>
      </c>
      <c r="Z879" s="3" t="s">
        <v>47</v>
      </c>
      <c r="AA879" t="s">
        <v>39</v>
      </c>
      <c r="AB879" t="s">
        <v>40</v>
      </c>
      <c r="AC879" t="s">
        <v>40</v>
      </c>
      <c r="AD879" t="s">
        <v>589</v>
      </c>
    </row>
    <row r="880" spans="2:30">
      <c r="B880">
        <v>4</v>
      </c>
      <c r="C880">
        <v>1020</v>
      </c>
      <c r="D880" t="s">
        <v>29</v>
      </c>
      <c r="E880">
        <v>10643072</v>
      </c>
      <c r="F880" t="s">
        <v>976</v>
      </c>
      <c r="G880" t="s">
        <v>43</v>
      </c>
      <c r="H880" t="s">
        <v>60</v>
      </c>
      <c r="I880" t="s">
        <v>588</v>
      </c>
      <c r="J880" t="s">
        <v>45</v>
      </c>
      <c r="K880" t="s">
        <v>35</v>
      </c>
      <c r="L880" t="s">
        <v>36</v>
      </c>
      <c r="M880" t="s">
        <v>88</v>
      </c>
      <c r="N880">
        <v>48</v>
      </c>
      <c r="O880">
        <v>25</v>
      </c>
      <c r="P880">
        <v>12</v>
      </c>
      <c r="Q880">
        <v>11</v>
      </c>
      <c r="R880" s="4">
        <v>4621.42</v>
      </c>
      <c r="S880" t="str">
        <f t="shared" si="65"/>
        <v>PY: Media Crit.</v>
      </c>
      <c r="T880">
        <f t="shared" si="66"/>
        <v>0</v>
      </c>
      <c r="U880">
        <f t="shared" si="67"/>
        <v>1</v>
      </c>
      <c r="V880">
        <f t="shared" si="68"/>
        <v>0</v>
      </c>
      <c r="W880">
        <f t="shared" si="69"/>
        <v>0</v>
      </c>
      <c r="X880">
        <v>1</v>
      </c>
      <c r="Y880" s="2">
        <v>45768</v>
      </c>
      <c r="Z880" s="3" t="s">
        <v>89</v>
      </c>
      <c r="AA880" t="s">
        <v>39</v>
      </c>
      <c r="AB880" t="s">
        <v>49</v>
      </c>
      <c r="AC880" s="5" t="s">
        <v>50</v>
      </c>
      <c r="AD880" t="s">
        <v>589</v>
      </c>
    </row>
    <row r="881" spans="2:30">
      <c r="B881">
        <v>4</v>
      </c>
      <c r="C881">
        <v>1020</v>
      </c>
      <c r="D881" t="s">
        <v>29</v>
      </c>
      <c r="E881">
        <v>10044410</v>
      </c>
      <c r="F881" t="s">
        <v>977</v>
      </c>
      <c r="G881" t="s">
        <v>52</v>
      </c>
      <c r="H881" t="s">
        <v>32</v>
      </c>
      <c r="I881" t="s">
        <v>588</v>
      </c>
      <c r="J881" t="s">
        <v>45</v>
      </c>
      <c r="K881" t="s">
        <v>35</v>
      </c>
      <c r="L881" t="s">
        <v>36</v>
      </c>
      <c r="M881" t="s">
        <v>46</v>
      </c>
      <c r="N881">
        <v>8</v>
      </c>
      <c r="O881">
        <v>5</v>
      </c>
      <c r="P881">
        <v>1</v>
      </c>
      <c r="Q881">
        <v>10</v>
      </c>
      <c r="R881">
        <v>719.57</v>
      </c>
      <c r="S881" t="str">
        <f t="shared" si="65"/>
        <v>PZ: Alta Crit.</v>
      </c>
      <c r="T881">
        <f t="shared" si="66"/>
        <v>0</v>
      </c>
      <c r="U881">
        <f t="shared" si="67"/>
        <v>0</v>
      </c>
      <c r="V881">
        <f t="shared" si="68"/>
        <v>0</v>
      </c>
      <c r="W881">
        <f t="shared" si="69"/>
        <v>1</v>
      </c>
      <c r="X881">
        <v>1</v>
      </c>
      <c r="Y881" s="2">
        <v>45768</v>
      </c>
      <c r="Z881" s="3" t="s">
        <v>47</v>
      </c>
      <c r="AA881" t="s">
        <v>39</v>
      </c>
      <c r="AB881" t="s">
        <v>40</v>
      </c>
      <c r="AC881" t="s">
        <v>40</v>
      </c>
      <c r="AD881" t="s">
        <v>589</v>
      </c>
    </row>
    <row r="882" spans="2:30">
      <c r="B882">
        <v>4</v>
      </c>
      <c r="C882">
        <v>1020</v>
      </c>
      <c r="D882" t="s">
        <v>29</v>
      </c>
      <c r="E882">
        <v>10049899</v>
      </c>
      <c r="F882" t="s">
        <v>978</v>
      </c>
      <c r="G882" t="s">
        <v>31</v>
      </c>
      <c r="H882" t="s">
        <v>32</v>
      </c>
      <c r="I882" t="s">
        <v>588</v>
      </c>
      <c r="J882" t="s">
        <v>45</v>
      </c>
      <c r="K882" t="s">
        <v>35</v>
      </c>
      <c r="L882" t="s">
        <v>36</v>
      </c>
      <c r="M882" t="s">
        <v>55</v>
      </c>
      <c r="N882">
        <v>50</v>
      </c>
      <c r="O882">
        <v>31</v>
      </c>
      <c r="P882">
        <v>10</v>
      </c>
      <c r="Q882">
        <v>50</v>
      </c>
      <c r="R882">
        <v>3.72</v>
      </c>
      <c r="S882" t="str">
        <f t="shared" si="65"/>
        <v>PX: Baja Crit.</v>
      </c>
      <c r="T882">
        <f t="shared" si="66"/>
        <v>0</v>
      </c>
      <c r="U882">
        <f t="shared" si="67"/>
        <v>0</v>
      </c>
      <c r="V882">
        <f t="shared" si="68"/>
        <v>1</v>
      </c>
      <c r="W882">
        <f t="shared" si="69"/>
        <v>0</v>
      </c>
      <c r="X882">
        <v>1</v>
      </c>
      <c r="Y882" s="2">
        <v>45768</v>
      </c>
      <c r="Z882" s="3" t="s">
        <v>56</v>
      </c>
      <c r="AA882" t="s">
        <v>39</v>
      </c>
      <c r="AB882" t="s">
        <v>40</v>
      </c>
      <c r="AC882" t="s">
        <v>40</v>
      </c>
      <c r="AD882" t="s">
        <v>589</v>
      </c>
    </row>
    <row r="883" spans="2:30">
      <c r="B883">
        <v>4</v>
      </c>
      <c r="C883">
        <v>1020</v>
      </c>
      <c r="D883" t="s">
        <v>29</v>
      </c>
      <c r="E883">
        <v>14074215</v>
      </c>
      <c r="F883" t="s">
        <v>979</v>
      </c>
      <c r="G883" t="s">
        <v>31</v>
      </c>
      <c r="H883" t="s">
        <v>44</v>
      </c>
      <c r="I883" t="s">
        <v>588</v>
      </c>
      <c r="J883" t="s">
        <v>45</v>
      </c>
      <c r="K883" t="s">
        <v>35</v>
      </c>
      <c r="L883" t="s">
        <v>36</v>
      </c>
      <c r="M883" t="s">
        <v>69</v>
      </c>
      <c r="N883">
        <v>8</v>
      </c>
      <c r="O883">
        <v>4</v>
      </c>
      <c r="P883">
        <v>0</v>
      </c>
      <c r="Q883">
        <v>6</v>
      </c>
      <c r="R883" s="4">
        <v>2767.7</v>
      </c>
      <c r="S883" t="str">
        <f t="shared" si="65"/>
        <v>PX: Baja Crit.</v>
      </c>
      <c r="T883">
        <f t="shared" si="66"/>
        <v>0</v>
      </c>
      <c r="U883">
        <f t="shared" si="67"/>
        <v>0</v>
      </c>
      <c r="V883">
        <f t="shared" si="68"/>
        <v>1</v>
      </c>
      <c r="W883">
        <f t="shared" si="69"/>
        <v>0</v>
      </c>
      <c r="X883">
        <v>1</v>
      </c>
      <c r="Y883" s="2">
        <v>45768</v>
      </c>
      <c r="Z883" s="3" t="s">
        <v>70</v>
      </c>
      <c r="AA883" t="s">
        <v>39</v>
      </c>
      <c r="AB883" t="s">
        <v>40</v>
      </c>
      <c r="AC883" t="s">
        <v>40</v>
      </c>
      <c r="AD883" t="s">
        <v>589</v>
      </c>
    </row>
    <row r="884" spans="2:30">
      <c r="B884">
        <v>4</v>
      </c>
      <c r="C884">
        <v>1020</v>
      </c>
      <c r="D884" t="s">
        <v>29</v>
      </c>
      <c r="E884">
        <v>10041352</v>
      </c>
      <c r="F884" t="s">
        <v>980</v>
      </c>
      <c r="G884" t="s">
        <v>43</v>
      </c>
      <c r="H884" t="s">
        <v>32</v>
      </c>
      <c r="I884" t="s">
        <v>588</v>
      </c>
      <c r="J884" t="s">
        <v>45</v>
      </c>
      <c r="K884" t="s">
        <v>35</v>
      </c>
      <c r="L884" t="s">
        <v>36</v>
      </c>
      <c r="M884" t="s">
        <v>46</v>
      </c>
      <c r="N884">
        <v>10</v>
      </c>
      <c r="O884">
        <v>6</v>
      </c>
      <c r="P884">
        <v>0</v>
      </c>
      <c r="Q884">
        <v>11</v>
      </c>
      <c r="R884">
        <v>471.25</v>
      </c>
      <c r="S884" t="str">
        <f t="shared" si="65"/>
        <v>PY: Media Crit.</v>
      </c>
      <c r="T884">
        <f t="shared" si="66"/>
        <v>0</v>
      </c>
      <c r="U884">
        <f t="shared" si="67"/>
        <v>0</v>
      </c>
      <c r="V884">
        <f t="shared" si="68"/>
        <v>0</v>
      </c>
      <c r="W884">
        <f t="shared" si="69"/>
        <v>1</v>
      </c>
      <c r="X884">
        <v>1</v>
      </c>
      <c r="Y884" s="2">
        <v>45768</v>
      </c>
      <c r="Z884" s="3" t="s">
        <v>47</v>
      </c>
      <c r="AA884" t="s">
        <v>39</v>
      </c>
      <c r="AB884" t="s">
        <v>40</v>
      </c>
      <c r="AC884" t="s">
        <v>40</v>
      </c>
      <c r="AD884" t="s">
        <v>589</v>
      </c>
    </row>
    <row r="885" spans="2:30">
      <c r="B885">
        <v>4</v>
      </c>
      <c r="C885">
        <v>1020</v>
      </c>
      <c r="D885" t="s">
        <v>29</v>
      </c>
      <c r="E885">
        <v>10055143</v>
      </c>
      <c r="F885" t="s">
        <v>981</v>
      </c>
      <c r="G885" t="s">
        <v>52</v>
      </c>
      <c r="H885" t="s">
        <v>32</v>
      </c>
      <c r="I885" t="s">
        <v>588</v>
      </c>
      <c r="J885" t="s">
        <v>45</v>
      </c>
      <c r="K885" t="s">
        <v>35</v>
      </c>
      <c r="L885" t="s">
        <v>36</v>
      </c>
      <c r="M885" t="s">
        <v>46</v>
      </c>
      <c r="N885">
        <v>3</v>
      </c>
      <c r="O885">
        <v>2</v>
      </c>
      <c r="P885">
        <v>1</v>
      </c>
      <c r="Q885">
        <v>0</v>
      </c>
      <c r="R885">
        <v>0</v>
      </c>
      <c r="S885" t="str">
        <f t="shared" si="65"/>
        <v>PZ: Alta Crit.</v>
      </c>
      <c r="T885">
        <f t="shared" si="66"/>
        <v>1</v>
      </c>
      <c r="U885">
        <f t="shared" si="67"/>
        <v>0</v>
      </c>
      <c r="V885">
        <f t="shared" si="68"/>
        <v>0</v>
      </c>
      <c r="W885">
        <f t="shared" si="69"/>
        <v>0</v>
      </c>
      <c r="X885">
        <v>1</v>
      </c>
      <c r="Y885" s="2">
        <v>45768</v>
      </c>
      <c r="Z885" s="3" t="s">
        <v>47</v>
      </c>
      <c r="AA885" t="s">
        <v>39</v>
      </c>
      <c r="AB885" t="s">
        <v>49</v>
      </c>
      <c r="AC885" s="5" t="s">
        <v>50</v>
      </c>
      <c r="AD885" t="s">
        <v>589</v>
      </c>
    </row>
    <row r="886" spans="2:30">
      <c r="B886">
        <v>4</v>
      </c>
      <c r="C886">
        <v>1020</v>
      </c>
      <c r="D886" t="s">
        <v>29</v>
      </c>
      <c r="E886">
        <v>10056416</v>
      </c>
      <c r="F886" t="s">
        <v>982</v>
      </c>
      <c r="G886" t="s">
        <v>43</v>
      </c>
      <c r="H886" t="s">
        <v>32</v>
      </c>
      <c r="I886" t="s">
        <v>588</v>
      </c>
      <c r="J886" t="s">
        <v>45</v>
      </c>
      <c r="K886" t="s">
        <v>252</v>
      </c>
      <c r="L886" t="s">
        <v>36</v>
      </c>
      <c r="M886" t="s">
        <v>88</v>
      </c>
      <c r="N886">
        <v>45</v>
      </c>
      <c r="O886">
        <v>30</v>
      </c>
      <c r="P886">
        <v>15</v>
      </c>
      <c r="Q886">
        <v>45</v>
      </c>
      <c r="R886">
        <v>546.29999999999995</v>
      </c>
      <c r="S886" t="str">
        <f t="shared" si="65"/>
        <v>PY: Media Crit.</v>
      </c>
      <c r="T886">
        <f t="shared" si="66"/>
        <v>0</v>
      </c>
      <c r="U886">
        <f t="shared" si="67"/>
        <v>0</v>
      </c>
      <c r="V886">
        <f t="shared" si="68"/>
        <v>1</v>
      </c>
      <c r="W886">
        <f t="shared" si="69"/>
        <v>0</v>
      </c>
      <c r="X886">
        <v>1</v>
      </c>
      <c r="Y886" s="2">
        <v>45768</v>
      </c>
      <c r="Z886" s="3" t="s">
        <v>89</v>
      </c>
      <c r="AA886" t="s">
        <v>39</v>
      </c>
      <c r="AB886" t="s">
        <v>40</v>
      </c>
      <c r="AC886" t="s">
        <v>40</v>
      </c>
      <c r="AD886" t="s">
        <v>589</v>
      </c>
    </row>
    <row r="887" spans="2:30">
      <c r="B887">
        <v>4</v>
      </c>
      <c r="C887">
        <v>1020</v>
      </c>
      <c r="D887" t="s">
        <v>29</v>
      </c>
      <c r="E887">
        <v>10056957</v>
      </c>
      <c r="F887" t="s">
        <v>983</v>
      </c>
      <c r="G887" t="s">
        <v>31</v>
      </c>
      <c r="H887" t="s">
        <v>44</v>
      </c>
      <c r="I887" t="s">
        <v>588</v>
      </c>
      <c r="J887" t="s">
        <v>45</v>
      </c>
      <c r="K887" t="s">
        <v>35</v>
      </c>
      <c r="L887" t="s">
        <v>36</v>
      </c>
      <c r="M887" t="s">
        <v>46</v>
      </c>
      <c r="N887">
        <v>50</v>
      </c>
      <c r="O887">
        <v>31</v>
      </c>
      <c r="P887">
        <v>6</v>
      </c>
      <c r="Q887">
        <v>41</v>
      </c>
      <c r="R887" s="4">
        <v>6738.31</v>
      </c>
      <c r="S887" t="str">
        <f t="shared" si="65"/>
        <v>PX: Baja Crit.</v>
      </c>
      <c r="T887">
        <f t="shared" si="66"/>
        <v>0</v>
      </c>
      <c r="U887">
        <f t="shared" si="67"/>
        <v>0</v>
      </c>
      <c r="V887">
        <f t="shared" si="68"/>
        <v>1</v>
      </c>
      <c r="W887">
        <f t="shared" si="69"/>
        <v>0</v>
      </c>
      <c r="X887">
        <v>1</v>
      </c>
      <c r="Y887" s="2">
        <v>45768</v>
      </c>
      <c r="Z887" s="3" t="s">
        <v>47</v>
      </c>
      <c r="AA887" t="s">
        <v>39</v>
      </c>
      <c r="AB887" t="s">
        <v>40</v>
      </c>
      <c r="AC887" t="s">
        <v>40</v>
      </c>
      <c r="AD887" t="s">
        <v>589</v>
      </c>
    </row>
    <row r="888" spans="2:30">
      <c r="B888">
        <v>4</v>
      </c>
      <c r="C888">
        <v>1020</v>
      </c>
      <c r="D888" t="s">
        <v>29</v>
      </c>
      <c r="E888">
        <v>14029361</v>
      </c>
      <c r="F888" t="s">
        <v>984</v>
      </c>
      <c r="G888" t="s">
        <v>52</v>
      </c>
      <c r="H888" t="s">
        <v>32</v>
      </c>
      <c r="I888" t="s">
        <v>588</v>
      </c>
      <c r="J888" t="s">
        <v>45</v>
      </c>
      <c r="K888" t="s">
        <v>35</v>
      </c>
      <c r="L888" t="s">
        <v>36</v>
      </c>
      <c r="M888" t="s">
        <v>69</v>
      </c>
      <c r="N888">
        <v>30</v>
      </c>
      <c r="O888">
        <v>16</v>
      </c>
      <c r="P888">
        <v>10</v>
      </c>
      <c r="Q888">
        <v>0</v>
      </c>
      <c r="R888">
        <v>0</v>
      </c>
      <c r="S888" t="str">
        <f t="shared" si="65"/>
        <v>PZ: Alta Crit.</v>
      </c>
      <c r="T888">
        <f t="shared" si="66"/>
        <v>1</v>
      </c>
      <c r="U888">
        <f t="shared" si="67"/>
        <v>0</v>
      </c>
      <c r="V888">
        <f t="shared" si="68"/>
        <v>0</v>
      </c>
      <c r="W888">
        <f t="shared" si="69"/>
        <v>0</v>
      </c>
      <c r="X888">
        <v>1</v>
      </c>
      <c r="Y888" s="2">
        <v>45768</v>
      </c>
      <c r="Z888" s="3" t="s">
        <v>70</v>
      </c>
      <c r="AA888" t="s">
        <v>39</v>
      </c>
      <c r="AB888" t="s">
        <v>76</v>
      </c>
      <c r="AC888" s="5" t="s">
        <v>77</v>
      </c>
      <c r="AD888" t="s">
        <v>589</v>
      </c>
    </row>
    <row r="889" spans="2:30">
      <c r="B889">
        <v>4</v>
      </c>
      <c r="C889">
        <v>1020</v>
      </c>
      <c r="D889" t="s">
        <v>29</v>
      </c>
      <c r="E889">
        <v>14041458</v>
      </c>
      <c r="F889" t="s">
        <v>985</v>
      </c>
      <c r="G889" t="s">
        <v>43</v>
      </c>
      <c r="H889" t="s">
        <v>60</v>
      </c>
      <c r="I889" t="s">
        <v>588</v>
      </c>
      <c r="J889" t="s">
        <v>45</v>
      </c>
      <c r="K889" t="s">
        <v>35</v>
      </c>
      <c r="L889" t="s">
        <v>36</v>
      </c>
      <c r="M889" t="s">
        <v>117</v>
      </c>
      <c r="N889">
        <v>5</v>
      </c>
      <c r="O889">
        <v>3</v>
      </c>
      <c r="P889">
        <v>0</v>
      </c>
      <c r="Q889">
        <v>3</v>
      </c>
      <c r="R889" s="4">
        <v>7050.29</v>
      </c>
      <c r="S889" t="str">
        <f t="shared" si="65"/>
        <v>PY: Media Crit.</v>
      </c>
      <c r="T889">
        <f t="shared" si="66"/>
        <v>0</v>
      </c>
      <c r="U889">
        <f t="shared" si="67"/>
        <v>0</v>
      </c>
      <c r="V889">
        <f t="shared" si="68"/>
        <v>1</v>
      </c>
      <c r="W889">
        <f t="shared" si="69"/>
        <v>0</v>
      </c>
      <c r="X889">
        <v>1</v>
      </c>
      <c r="Y889" s="2">
        <v>45768</v>
      </c>
      <c r="Z889" s="3" t="s">
        <v>118</v>
      </c>
      <c r="AA889" t="s">
        <v>39</v>
      </c>
      <c r="AB889" t="s">
        <v>40</v>
      </c>
      <c r="AC889" t="s">
        <v>40</v>
      </c>
      <c r="AD889" t="s">
        <v>589</v>
      </c>
    </row>
    <row r="890" spans="2:30">
      <c r="B890">
        <v>4</v>
      </c>
      <c r="C890">
        <v>1020</v>
      </c>
      <c r="D890" t="s">
        <v>29</v>
      </c>
      <c r="E890">
        <v>14056104</v>
      </c>
      <c r="F890" t="s">
        <v>986</v>
      </c>
      <c r="G890" t="s">
        <v>43</v>
      </c>
      <c r="H890" t="s">
        <v>32</v>
      </c>
      <c r="I890" t="s">
        <v>588</v>
      </c>
      <c r="J890" t="s">
        <v>45</v>
      </c>
      <c r="K890" t="s">
        <v>62</v>
      </c>
      <c r="L890" t="s">
        <v>36</v>
      </c>
      <c r="M890" t="s">
        <v>117</v>
      </c>
      <c r="N890">
        <v>4</v>
      </c>
      <c r="O890">
        <v>3</v>
      </c>
      <c r="P890">
        <v>2</v>
      </c>
      <c r="Q890">
        <v>1</v>
      </c>
      <c r="R890" s="4">
        <v>1882.95</v>
      </c>
      <c r="S890" t="str">
        <f t="shared" si="65"/>
        <v>PY: Media Crit.</v>
      </c>
      <c r="T890">
        <f t="shared" si="66"/>
        <v>0</v>
      </c>
      <c r="U890">
        <f t="shared" si="67"/>
        <v>1</v>
      </c>
      <c r="V890">
        <f t="shared" si="68"/>
        <v>0</v>
      </c>
      <c r="W890">
        <f t="shared" si="69"/>
        <v>0</v>
      </c>
      <c r="X890">
        <v>1</v>
      </c>
      <c r="Y890" s="2">
        <v>45768</v>
      </c>
      <c r="Z890" s="3" t="s">
        <v>118</v>
      </c>
      <c r="AA890" t="s">
        <v>39</v>
      </c>
      <c r="AB890" t="s">
        <v>49</v>
      </c>
      <c r="AC890" s="5" t="s">
        <v>50</v>
      </c>
      <c r="AD890" t="s">
        <v>589</v>
      </c>
    </row>
    <row r="891" spans="2:30">
      <c r="B891">
        <v>4</v>
      </c>
      <c r="C891">
        <v>1020</v>
      </c>
      <c r="D891" t="s">
        <v>29</v>
      </c>
      <c r="E891">
        <v>14205003</v>
      </c>
      <c r="F891" t="s">
        <v>987</v>
      </c>
      <c r="G891" t="s">
        <v>43</v>
      </c>
      <c r="H891" t="s">
        <v>44</v>
      </c>
      <c r="I891" t="s">
        <v>588</v>
      </c>
      <c r="J891" t="s">
        <v>45</v>
      </c>
      <c r="K891" t="s">
        <v>35</v>
      </c>
      <c r="L891" t="s">
        <v>36</v>
      </c>
      <c r="M891" t="s">
        <v>46</v>
      </c>
      <c r="N891">
        <v>15</v>
      </c>
      <c r="O891">
        <v>10</v>
      </c>
      <c r="P891">
        <v>0</v>
      </c>
      <c r="Q891">
        <v>9</v>
      </c>
      <c r="R891" s="4">
        <v>2472.86</v>
      </c>
      <c r="S891" t="str">
        <f t="shared" si="65"/>
        <v>PY: Media Crit.</v>
      </c>
      <c r="T891">
        <f t="shared" si="66"/>
        <v>0</v>
      </c>
      <c r="U891">
        <f t="shared" si="67"/>
        <v>0</v>
      </c>
      <c r="V891">
        <f t="shared" si="68"/>
        <v>1</v>
      </c>
      <c r="W891">
        <f t="shared" si="69"/>
        <v>0</v>
      </c>
      <c r="X891">
        <v>1</v>
      </c>
      <c r="Y891" s="2">
        <v>45768</v>
      </c>
      <c r="Z891" s="3" t="s">
        <v>47</v>
      </c>
      <c r="AA891" t="s">
        <v>39</v>
      </c>
      <c r="AB891" t="s">
        <v>49</v>
      </c>
      <c r="AC891" s="5" t="s">
        <v>50</v>
      </c>
      <c r="AD891" t="s">
        <v>589</v>
      </c>
    </row>
    <row r="892" spans="2:30">
      <c r="B892">
        <v>4</v>
      </c>
      <c r="C892">
        <v>1020</v>
      </c>
      <c r="D892" t="s">
        <v>29</v>
      </c>
      <c r="E892">
        <v>14250392</v>
      </c>
      <c r="F892" t="s">
        <v>988</v>
      </c>
      <c r="G892" t="s">
        <v>43</v>
      </c>
      <c r="H892" t="s">
        <v>60</v>
      </c>
      <c r="I892" t="s">
        <v>588</v>
      </c>
      <c r="J892" t="s">
        <v>45</v>
      </c>
      <c r="K892" t="s">
        <v>35</v>
      </c>
      <c r="L892" t="s">
        <v>36</v>
      </c>
      <c r="M892" t="s">
        <v>46</v>
      </c>
      <c r="N892">
        <v>4</v>
      </c>
      <c r="O892">
        <v>2</v>
      </c>
      <c r="P892">
        <v>0</v>
      </c>
      <c r="Q892">
        <v>4</v>
      </c>
      <c r="R892">
        <v>319.74</v>
      </c>
      <c r="S892" t="str">
        <f t="shared" si="65"/>
        <v>PY: Media Crit.</v>
      </c>
      <c r="T892">
        <f t="shared" si="66"/>
        <v>0</v>
      </c>
      <c r="U892">
        <f t="shared" si="67"/>
        <v>0</v>
      </c>
      <c r="V892">
        <f t="shared" si="68"/>
        <v>1</v>
      </c>
      <c r="W892">
        <f t="shared" si="69"/>
        <v>0</v>
      </c>
      <c r="X892">
        <v>1</v>
      </c>
      <c r="Y892" s="2">
        <v>45768</v>
      </c>
      <c r="Z892" s="3" t="s">
        <v>47</v>
      </c>
      <c r="AA892" t="s">
        <v>39</v>
      </c>
      <c r="AB892" t="s">
        <v>40</v>
      </c>
      <c r="AC892" t="s">
        <v>40</v>
      </c>
      <c r="AD892" t="s">
        <v>589</v>
      </c>
    </row>
    <row r="893" spans="2:30">
      <c r="B893">
        <v>4</v>
      </c>
      <c r="C893">
        <v>1020</v>
      </c>
      <c r="D893" t="s">
        <v>29</v>
      </c>
      <c r="E893">
        <v>10005289</v>
      </c>
      <c r="F893" t="s">
        <v>989</v>
      </c>
      <c r="G893" t="s">
        <v>31</v>
      </c>
      <c r="H893" t="s">
        <v>32</v>
      </c>
      <c r="I893" t="s">
        <v>588</v>
      </c>
      <c r="J893" t="s">
        <v>45</v>
      </c>
      <c r="K893" t="s">
        <v>35</v>
      </c>
      <c r="L893" t="s">
        <v>36</v>
      </c>
      <c r="M893" t="s">
        <v>55</v>
      </c>
      <c r="N893">
        <v>40</v>
      </c>
      <c r="O893">
        <v>21</v>
      </c>
      <c r="P893">
        <v>4</v>
      </c>
      <c r="Q893">
        <v>26</v>
      </c>
      <c r="R893">
        <v>7.36</v>
      </c>
      <c r="S893" t="str">
        <f t="shared" si="65"/>
        <v>PX: Baja Crit.</v>
      </c>
      <c r="T893">
        <f t="shared" si="66"/>
        <v>0</v>
      </c>
      <c r="U893">
        <f t="shared" si="67"/>
        <v>0</v>
      </c>
      <c r="V893">
        <f t="shared" si="68"/>
        <v>1</v>
      </c>
      <c r="W893">
        <f t="shared" si="69"/>
        <v>0</v>
      </c>
      <c r="X893">
        <v>1</v>
      </c>
      <c r="Y893" s="2">
        <v>45768</v>
      </c>
      <c r="Z893" s="3" t="s">
        <v>56</v>
      </c>
      <c r="AA893" t="s">
        <v>39</v>
      </c>
      <c r="AB893" t="s">
        <v>40</v>
      </c>
      <c r="AC893" t="s">
        <v>40</v>
      </c>
      <c r="AD893" t="s">
        <v>589</v>
      </c>
    </row>
    <row r="894" spans="2:30">
      <c r="B894">
        <v>4</v>
      </c>
      <c r="C894">
        <v>1020</v>
      </c>
      <c r="D894" t="s">
        <v>29</v>
      </c>
      <c r="E894">
        <v>10041234</v>
      </c>
      <c r="F894" t="s">
        <v>990</v>
      </c>
      <c r="G894" t="s">
        <v>43</v>
      </c>
      <c r="H894" t="s">
        <v>32</v>
      </c>
      <c r="I894" t="s">
        <v>588</v>
      </c>
      <c r="J894" t="s">
        <v>34</v>
      </c>
      <c r="K894" t="s">
        <v>252</v>
      </c>
      <c r="L894" t="s">
        <v>36</v>
      </c>
      <c r="M894" t="s">
        <v>69</v>
      </c>
      <c r="N894">
        <v>300</v>
      </c>
      <c r="O894">
        <v>201</v>
      </c>
      <c r="P894">
        <v>100</v>
      </c>
      <c r="Q894">
        <v>300</v>
      </c>
      <c r="R894" s="4">
        <v>3043.73</v>
      </c>
      <c r="S894" t="str">
        <f t="shared" si="65"/>
        <v>PY: Media Crit.</v>
      </c>
      <c r="T894">
        <f t="shared" si="66"/>
        <v>0</v>
      </c>
      <c r="U894">
        <f t="shared" si="67"/>
        <v>0</v>
      </c>
      <c r="V894">
        <f t="shared" si="68"/>
        <v>1</v>
      </c>
      <c r="W894">
        <f t="shared" si="69"/>
        <v>0</v>
      </c>
      <c r="X894">
        <v>1</v>
      </c>
      <c r="Y894" s="2">
        <v>45768</v>
      </c>
      <c r="Z894" s="3" t="s">
        <v>70</v>
      </c>
      <c r="AA894" t="s">
        <v>39</v>
      </c>
      <c r="AB894" t="s">
        <v>40</v>
      </c>
      <c r="AC894" t="s">
        <v>40</v>
      </c>
      <c r="AD894" t="s">
        <v>589</v>
      </c>
    </row>
    <row r="895" spans="2:30">
      <c r="B895">
        <v>4</v>
      </c>
      <c r="C895">
        <v>1020</v>
      </c>
      <c r="D895" t="s">
        <v>29</v>
      </c>
      <c r="E895">
        <v>14175686</v>
      </c>
      <c r="F895" t="s">
        <v>991</v>
      </c>
      <c r="G895" t="s">
        <v>31</v>
      </c>
      <c r="H895" t="s">
        <v>32</v>
      </c>
      <c r="I895" t="s">
        <v>588</v>
      </c>
      <c r="J895" t="s">
        <v>45</v>
      </c>
      <c r="K895" t="s">
        <v>35</v>
      </c>
      <c r="L895" t="s">
        <v>36</v>
      </c>
      <c r="M895" t="s">
        <v>69</v>
      </c>
      <c r="N895">
        <v>12</v>
      </c>
      <c r="O895">
        <v>8</v>
      </c>
      <c r="P895">
        <v>0</v>
      </c>
      <c r="Q895">
        <v>12</v>
      </c>
      <c r="R895">
        <v>925.58</v>
      </c>
      <c r="S895" t="str">
        <f t="shared" si="65"/>
        <v>PX: Baja Crit.</v>
      </c>
      <c r="T895">
        <f t="shared" si="66"/>
        <v>0</v>
      </c>
      <c r="U895">
        <f t="shared" si="67"/>
        <v>0</v>
      </c>
      <c r="V895">
        <f t="shared" si="68"/>
        <v>1</v>
      </c>
      <c r="W895">
        <f t="shared" si="69"/>
        <v>0</v>
      </c>
      <c r="X895">
        <v>1</v>
      </c>
      <c r="Y895" s="2">
        <v>45768</v>
      </c>
      <c r="Z895" s="3" t="s">
        <v>70</v>
      </c>
      <c r="AA895" t="s">
        <v>39</v>
      </c>
      <c r="AB895" t="s">
        <v>40</v>
      </c>
      <c r="AC895" t="s">
        <v>40</v>
      </c>
      <c r="AD895" t="s">
        <v>589</v>
      </c>
    </row>
    <row r="896" spans="2:30">
      <c r="B896">
        <v>4</v>
      </c>
      <c r="C896">
        <v>1020</v>
      </c>
      <c r="D896" t="s">
        <v>29</v>
      </c>
      <c r="E896">
        <v>10044211</v>
      </c>
      <c r="F896" t="s">
        <v>992</v>
      </c>
      <c r="G896" t="s">
        <v>31</v>
      </c>
      <c r="H896" t="s">
        <v>32</v>
      </c>
      <c r="I896" t="s">
        <v>588</v>
      </c>
      <c r="J896" t="s">
        <v>45</v>
      </c>
      <c r="K896" t="s">
        <v>35</v>
      </c>
      <c r="L896" t="s">
        <v>36</v>
      </c>
      <c r="M896" t="s">
        <v>69</v>
      </c>
      <c r="N896">
        <v>8</v>
      </c>
      <c r="O896">
        <v>6</v>
      </c>
      <c r="P896">
        <v>0</v>
      </c>
      <c r="Q896">
        <v>6</v>
      </c>
      <c r="R896">
        <v>33.67</v>
      </c>
      <c r="S896" t="str">
        <f t="shared" si="65"/>
        <v>PX: Baja Crit.</v>
      </c>
      <c r="T896">
        <f t="shared" si="66"/>
        <v>0</v>
      </c>
      <c r="U896">
        <f t="shared" si="67"/>
        <v>0</v>
      </c>
      <c r="V896">
        <f t="shared" si="68"/>
        <v>1</v>
      </c>
      <c r="W896">
        <f t="shared" si="69"/>
        <v>0</v>
      </c>
      <c r="X896">
        <v>1</v>
      </c>
      <c r="Y896" s="2">
        <v>45768</v>
      </c>
      <c r="Z896" s="3" t="s">
        <v>70</v>
      </c>
      <c r="AA896" t="s">
        <v>39</v>
      </c>
      <c r="AB896" t="s">
        <v>40</v>
      </c>
      <c r="AC896" t="s">
        <v>40</v>
      </c>
      <c r="AD896" t="s">
        <v>589</v>
      </c>
    </row>
    <row r="897" spans="2:30">
      <c r="B897">
        <v>4</v>
      </c>
      <c r="C897">
        <v>1020</v>
      </c>
      <c r="D897" t="s">
        <v>29</v>
      </c>
      <c r="E897">
        <v>14091873</v>
      </c>
      <c r="F897" t="s">
        <v>993</v>
      </c>
      <c r="G897" t="s">
        <v>43</v>
      </c>
      <c r="H897" t="s">
        <v>60</v>
      </c>
      <c r="I897" t="s">
        <v>588</v>
      </c>
      <c r="J897" t="s">
        <v>45</v>
      </c>
      <c r="K897" t="s">
        <v>35</v>
      </c>
      <c r="L897" t="s">
        <v>36</v>
      </c>
      <c r="M897" t="s">
        <v>117</v>
      </c>
      <c r="N897">
        <v>10</v>
      </c>
      <c r="O897">
        <v>5</v>
      </c>
      <c r="P897">
        <v>0</v>
      </c>
      <c r="Q897">
        <v>10</v>
      </c>
      <c r="R897" s="4">
        <v>2557.88</v>
      </c>
      <c r="S897" t="str">
        <f t="shared" si="65"/>
        <v>PY: Media Crit.</v>
      </c>
      <c r="T897">
        <f t="shared" si="66"/>
        <v>0</v>
      </c>
      <c r="U897">
        <f t="shared" si="67"/>
        <v>0</v>
      </c>
      <c r="V897">
        <f t="shared" si="68"/>
        <v>1</v>
      </c>
      <c r="W897">
        <f t="shared" si="69"/>
        <v>0</v>
      </c>
      <c r="X897">
        <v>1</v>
      </c>
      <c r="Y897" s="2">
        <v>45768</v>
      </c>
      <c r="Z897" s="3" t="s">
        <v>118</v>
      </c>
      <c r="AA897" t="s">
        <v>39</v>
      </c>
      <c r="AB897" t="s">
        <v>40</v>
      </c>
      <c r="AC897" t="s">
        <v>40</v>
      </c>
      <c r="AD897" t="s">
        <v>589</v>
      </c>
    </row>
    <row r="898" spans="2:30">
      <c r="B898">
        <v>4</v>
      </c>
      <c r="C898">
        <v>1020</v>
      </c>
      <c r="D898" t="s">
        <v>29</v>
      </c>
      <c r="E898">
        <v>10055354</v>
      </c>
      <c r="F898" t="s">
        <v>551</v>
      </c>
      <c r="G898" t="s">
        <v>52</v>
      </c>
      <c r="H898" t="s">
        <v>32</v>
      </c>
      <c r="I898" t="s">
        <v>588</v>
      </c>
      <c r="J898" t="s">
        <v>34</v>
      </c>
      <c r="K898" t="s">
        <v>35</v>
      </c>
      <c r="L898" t="s">
        <v>36</v>
      </c>
      <c r="M898" t="s">
        <v>117</v>
      </c>
      <c r="N898">
        <v>150</v>
      </c>
      <c r="O898">
        <v>101</v>
      </c>
      <c r="P898">
        <v>14</v>
      </c>
      <c r="Q898">
        <v>98</v>
      </c>
      <c r="R898">
        <v>539.07000000000005</v>
      </c>
      <c r="S898" t="str">
        <f t="shared" ref="S898:S961" si="70">+IF(G898="PZ", "PZ: Alta Crit.",IF(G898="PY","PY: Media Crit.", "PX: Baja Crit."))</f>
        <v>PZ: Alta Crit.</v>
      </c>
      <c r="T898">
        <f t="shared" ref="T898:T961" si="71">+IF(Q898=0,1,0)</f>
        <v>0</v>
      </c>
      <c r="U898">
        <f t="shared" ref="U898:U961" si="72">+IF(AND(Q898&lt;=P898,Q898&gt;0),1,0)</f>
        <v>0</v>
      </c>
      <c r="V898">
        <f t="shared" ref="V898:V961" si="73">+IF(AND(Q898&gt;P898,Q898&lt;=N898),1,0)</f>
        <v>1</v>
      </c>
      <c r="W898">
        <f t="shared" ref="W898:W961" si="74">+IF(Q898&gt;N898,1,0)</f>
        <v>0</v>
      </c>
      <c r="X898">
        <v>1</v>
      </c>
      <c r="Y898" s="2">
        <v>45768</v>
      </c>
      <c r="Z898" s="3" t="s">
        <v>118</v>
      </c>
      <c r="AA898" t="s">
        <v>39</v>
      </c>
      <c r="AB898" t="s">
        <v>40</v>
      </c>
      <c r="AC898" t="s">
        <v>40</v>
      </c>
      <c r="AD898" t="s">
        <v>589</v>
      </c>
    </row>
    <row r="899" spans="2:30">
      <c r="B899">
        <v>4</v>
      </c>
      <c r="C899">
        <v>1020</v>
      </c>
      <c r="D899" t="s">
        <v>29</v>
      </c>
      <c r="E899">
        <v>10056499</v>
      </c>
      <c r="F899" t="s">
        <v>994</v>
      </c>
      <c r="G899" t="s">
        <v>43</v>
      </c>
      <c r="H899" t="s">
        <v>32</v>
      </c>
      <c r="I899" t="s">
        <v>588</v>
      </c>
      <c r="J899" t="s">
        <v>45</v>
      </c>
      <c r="K899" t="s">
        <v>35</v>
      </c>
      <c r="L899" t="s">
        <v>36</v>
      </c>
      <c r="M899" t="s">
        <v>69</v>
      </c>
      <c r="N899">
        <v>25</v>
      </c>
      <c r="O899">
        <v>11</v>
      </c>
      <c r="P899">
        <v>0</v>
      </c>
      <c r="Q899">
        <v>5</v>
      </c>
      <c r="R899">
        <v>102.65</v>
      </c>
      <c r="S899" t="str">
        <f t="shared" si="70"/>
        <v>PY: Media Crit.</v>
      </c>
      <c r="T899">
        <f t="shared" si="71"/>
        <v>0</v>
      </c>
      <c r="U899">
        <f t="shared" si="72"/>
        <v>0</v>
      </c>
      <c r="V899">
        <f t="shared" si="73"/>
        <v>1</v>
      </c>
      <c r="W899">
        <f t="shared" si="74"/>
        <v>0</v>
      </c>
      <c r="X899">
        <v>1</v>
      </c>
      <c r="Y899" s="2">
        <v>45768</v>
      </c>
      <c r="Z899" s="3" t="s">
        <v>70</v>
      </c>
      <c r="AA899" t="s">
        <v>39</v>
      </c>
      <c r="AB899" t="s">
        <v>49</v>
      </c>
      <c r="AC899" s="5" t="s">
        <v>50</v>
      </c>
      <c r="AD899" t="s">
        <v>589</v>
      </c>
    </row>
    <row r="900" spans="2:30">
      <c r="B900">
        <v>4</v>
      </c>
      <c r="C900">
        <v>1020</v>
      </c>
      <c r="D900" t="s">
        <v>29</v>
      </c>
      <c r="E900">
        <v>14332820</v>
      </c>
      <c r="F900" t="s">
        <v>995</v>
      </c>
      <c r="G900" t="s">
        <v>52</v>
      </c>
      <c r="H900" t="s">
        <v>44</v>
      </c>
      <c r="I900" t="s">
        <v>588</v>
      </c>
      <c r="J900" t="s">
        <v>45</v>
      </c>
      <c r="K900" t="s">
        <v>65</v>
      </c>
      <c r="L900" t="s">
        <v>36</v>
      </c>
      <c r="M900" t="s">
        <v>127</v>
      </c>
      <c r="N900">
        <v>210</v>
      </c>
      <c r="O900">
        <v>150</v>
      </c>
      <c r="P900">
        <v>0</v>
      </c>
      <c r="Q900">
        <v>90</v>
      </c>
      <c r="R900">
        <v>215.4</v>
      </c>
      <c r="S900" t="str">
        <f t="shared" si="70"/>
        <v>PZ: Alta Crit.</v>
      </c>
      <c r="T900">
        <f t="shared" si="71"/>
        <v>0</v>
      </c>
      <c r="U900">
        <f t="shared" si="72"/>
        <v>0</v>
      </c>
      <c r="V900">
        <f t="shared" si="73"/>
        <v>1</v>
      </c>
      <c r="W900">
        <f t="shared" si="74"/>
        <v>0</v>
      </c>
      <c r="X900">
        <v>1</v>
      </c>
      <c r="Y900" s="2">
        <v>45768</v>
      </c>
      <c r="Z900" s="3" t="s">
        <v>128</v>
      </c>
      <c r="AA900" t="s">
        <v>39</v>
      </c>
      <c r="AB900" t="s">
        <v>49</v>
      </c>
      <c r="AC900" s="5" t="s">
        <v>50</v>
      </c>
      <c r="AD900" t="s">
        <v>589</v>
      </c>
    </row>
    <row r="901" spans="2:30">
      <c r="B901">
        <v>4</v>
      </c>
      <c r="C901">
        <v>1020</v>
      </c>
      <c r="D901" t="s">
        <v>29</v>
      </c>
      <c r="E901">
        <v>10041343</v>
      </c>
      <c r="F901" t="s">
        <v>996</v>
      </c>
      <c r="G901" t="s">
        <v>43</v>
      </c>
      <c r="H901" t="s">
        <v>32</v>
      </c>
      <c r="I901" t="s">
        <v>588</v>
      </c>
      <c r="J901" t="s">
        <v>45</v>
      </c>
      <c r="K901" t="s">
        <v>35</v>
      </c>
      <c r="L901" t="s">
        <v>36</v>
      </c>
      <c r="M901" t="s">
        <v>46</v>
      </c>
      <c r="N901">
        <v>2</v>
      </c>
      <c r="O901">
        <v>1</v>
      </c>
      <c r="P901">
        <v>0</v>
      </c>
      <c r="Q901">
        <v>4</v>
      </c>
      <c r="R901">
        <v>167.17</v>
      </c>
      <c r="S901" t="str">
        <f t="shared" si="70"/>
        <v>PY: Media Crit.</v>
      </c>
      <c r="T901">
        <f t="shared" si="71"/>
        <v>0</v>
      </c>
      <c r="U901">
        <f t="shared" si="72"/>
        <v>0</v>
      </c>
      <c r="V901">
        <f t="shared" si="73"/>
        <v>0</v>
      </c>
      <c r="W901">
        <f t="shared" si="74"/>
        <v>1</v>
      </c>
      <c r="X901">
        <v>1</v>
      </c>
      <c r="Y901" s="2">
        <v>45768</v>
      </c>
      <c r="Z901" s="3" t="s">
        <v>47</v>
      </c>
      <c r="AA901" t="s">
        <v>39</v>
      </c>
      <c r="AB901" t="s">
        <v>40</v>
      </c>
      <c r="AC901" t="s">
        <v>40</v>
      </c>
      <c r="AD901" t="s">
        <v>589</v>
      </c>
    </row>
    <row r="902" spans="2:30">
      <c r="B902">
        <v>4</v>
      </c>
      <c r="C902">
        <v>1020</v>
      </c>
      <c r="D902" t="s">
        <v>388</v>
      </c>
      <c r="E902">
        <v>10041372</v>
      </c>
      <c r="F902" t="s">
        <v>997</v>
      </c>
      <c r="G902" t="s">
        <v>52</v>
      </c>
      <c r="H902" t="s">
        <v>32</v>
      </c>
      <c r="I902" t="s">
        <v>390</v>
      </c>
      <c r="J902" t="s">
        <v>45</v>
      </c>
      <c r="K902" t="s">
        <v>35</v>
      </c>
      <c r="L902" t="s">
        <v>175</v>
      </c>
      <c r="M902" t="s">
        <v>117</v>
      </c>
      <c r="N902">
        <v>0</v>
      </c>
      <c r="O902">
        <v>0</v>
      </c>
      <c r="P902">
        <v>2</v>
      </c>
      <c r="Q902">
        <v>1</v>
      </c>
      <c r="R902" s="4">
        <v>25015.65</v>
      </c>
      <c r="S902" t="str">
        <f t="shared" si="70"/>
        <v>PZ: Alta Crit.</v>
      </c>
      <c r="T902">
        <f t="shared" si="71"/>
        <v>0</v>
      </c>
      <c r="U902">
        <f t="shared" si="72"/>
        <v>1</v>
      </c>
      <c r="V902">
        <f t="shared" si="73"/>
        <v>0</v>
      </c>
      <c r="W902">
        <f t="shared" si="74"/>
        <v>1</v>
      </c>
      <c r="X902">
        <v>1</v>
      </c>
      <c r="Y902" s="2">
        <v>45768</v>
      </c>
      <c r="Z902" s="3" t="s">
        <v>118</v>
      </c>
      <c r="AA902" t="s">
        <v>39</v>
      </c>
      <c r="AB902" t="s">
        <v>49</v>
      </c>
      <c r="AC902" s="5" t="s">
        <v>50</v>
      </c>
      <c r="AD902" t="s">
        <v>391</v>
      </c>
    </row>
    <row r="903" spans="2:30">
      <c r="B903">
        <v>4</v>
      </c>
      <c r="C903">
        <v>1020</v>
      </c>
      <c r="D903" t="s">
        <v>172</v>
      </c>
      <c r="E903">
        <v>10041679</v>
      </c>
      <c r="F903" t="s">
        <v>998</v>
      </c>
      <c r="G903" t="s">
        <v>52</v>
      </c>
      <c r="H903" t="s">
        <v>32</v>
      </c>
      <c r="I903" t="s">
        <v>584</v>
      </c>
      <c r="J903" t="s">
        <v>45</v>
      </c>
      <c r="K903" t="s">
        <v>35</v>
      </c>
      <c r="L903" t="s">
        <v>175</v>
      </c>
      <c r="M903" t="s">
        <v>117</v>
      </c>
      <c r="N903">
        <v>0</v>
      </c>
      <c r="O903">
        <v>0</v>
      </c>
      <c r="P903">
        <v>0</v>
      </c>
      <c r="Q903">
        <v>8</v>
      </c>
      <c r="R903" s="4">
        <v>205322.54</v>
      </c>
      <c r="S903" t="str">
        <f t="shared" si="70"/>
        <v>PZ: Alta Crit.</v>
      </c>
      <c r="T903">
        <f t="shared" si="71"/>
        <v>0</v>
      </c>
      <c r="U903">
        <f t="shared" si="72"/>
        <v>0</v>
      </c>
      <c r="V903">
        <f t="shared" si="73"/>
        <v>0</v>
      </c>
      <c r="W903">
        <f t="shared" si="74"/>
        <v>1</v>
      </c>
      <c r="X903">
        <v>1</v>
      </c>
      <c r="Y903" s="2">
        <v>45768</v>
      </c>
      <c r="Z903" s="3" t="s">
        <v>118</v>
      </c>
      <c r="AA903" t="s">
        <v>39</v>
      </c>
      <c r="AB903" t="s">
        <v>76</v>
      </c>
      <c r="AC903" s="5" t="s">
        <v>77</v>
      </c>
      <c r="AD903" t="s">
        <v>585</v>
      </c>
    </row>
    <row r="904" spans="2:30">
      <c r="B904">
        <v>4</v>
      </c>
      <c r="C904">
        <v>1020</v>
      </c>
      <c r="D904" t="s">
        <v>384</v>
      </c>
      <c r="E904">
        <v>10044789</v>
      </c>
      <c r="F904" t="s">
        <v>999</v>
      </c>
      <c r="G904" t="s">
        <v>43</v>
      </c>
      <c r="H904" t="s">
        <v>32</v>
      </c>
      <c r="I904" t="s">
        <v>386</v>
      </c>
      <c r="J904" t="s">
        <v>45</v>
      </c>
      <c r="K904" t="s">
        <v>35</v>
      </c>
      <c r="L904" t="s">
        <v>175</v>
      </c>
      <c r="M904" t="s">
        <v>117</v>
      </c>
      <c r="N904">
        <v>0</v>
      </c>
      <c r="O904">
        <v>0</v>
      </c>
      <c r="P904">
        <v>0</v>
      </c>
      <c r="Q904">
        <v>14</v>
      </c>
      <c r="R904" s="4">
        <v>2130.8000000000002</v>
      </c>
      <c r="S904" t="str">
        <f t="shared" si="70"/>
        <v>PY: Media Crit.</v>
      </c>
      <c r="T904">
        <f t="shared" si="71"/>
        <v>0</v>
      </c>
      <c r="U904">
        <f t="shared" si="72"/>
        <v>0</v>
      </c>
      <c r="V904">
        <f t="shared" si="73"/>
        <v>0</v>
      </c>
      <c r="W904">
        <f t="shared" si="74"/>
        <v>1</v>
      </c>
      <c r="X904">
        <v>1</v>
      </c>
      <c r="Y904" s="2">
        <v>45768</v>
      </c>
      <c r="Z904" s="3" t="s">
        <v>118</v>
      </c>
      <c r="AA904" t="s">
        <v>39</v>
      </c>
      <c r="AB904" t="s">
        <v>40</v>
      </c>
      <c r="AC904" t="s">
        <v>40</v>
      </c>
      <c r="AD904" t="s">
        <v>387</v>
      </c>
    </row>
    <row r="905" spans="2:30">
      <c r="B905">
        <v>4</v>
      </c>
      <c r="C905">
        <v>1020</v>
      </c>
      <c r="D905" t="s">
        <v>384</v>
      </c>
      <c r="E905">
        <v>10044803</v>
      </c>
      <c r="F905" t="s">
        <v>1000</v>
      </c>
      <c r="G905" t="s">
        <v>43</v>
      </c>
      <c r="H905" t="s">
        <v>32</v>
      </c>
      <c r="I905" t="s">
        <v>386</v>
      </c>
      <c r="J905" t="s">
        <v>45</v>
      </c>
      <c r="K905" t="s">
        <v>35</v>
      </c>
      <c r="L905" t="s">
        <v>175</v>
      </c>
      <c r="M905" t="s">
        <v>117</v>
      </c>
      <c r="N905">
        <v>0</v>
      </c>
      <c r="O905">
        <v>0</v>
      </c>
      <c r="P905">
        <v>0</v>
      </c>
      <c r="Q905">
        <v>0</v>
      </c>
      <c r="R905">
        <v>0</v>
      </c>
      <c r="S905" t="str">
        <f t="shared" si="70"/>
        <v>PY: Media Crit.</v>
      </c>
      <c r="T905">
        <f t="shared" si="71"/>
        <v>1</v>
      </c>
      <c r="U905">
        <f t="shared" si="72"/>
        <v>0</v>
      </c>
      <c r="V905">
        <f t="shared" si="73"/>
        <v>0</v>
      </c>
      <c r="W905">
        <f t="shared" si="74"/>
        <v>0</v>
      </c>
      <c r="X905">
        <v>1</v>
      </c>
      <c r="Y905" s="2">
        <v>45768</v>
      </c>
      <c r="Z905" s="3" t="s">
        <v>118</v>
      </c>
      <c r="AA905" t="s">
        <v>39</v>
      </c>
      <c r="AB905" t="s">
        <v>40</v>
      </c>
      <c r="AC905" t="s">
        <v>40</v>
      </c>
      <c r="AD905" t="s">
        <v>387</v>
      </c>
    </row>
    <row r="906" spans="2:30">
      <c r="B906">
        <v>4</v>
      </c>
      <c r="C906">
        <v>1020</v>
      </c>
      <c r="D906" t="s">
        <v>388</v>
      </c>
      <c r="E906">
        <v>10044896</v>
      </c>
      <c r="F906" t="s">
        <v>1001</v>
      </c>
      <c r="G906" t="s">
        <v>52</v>
      </c>
      <c r="H906" t="s">
        <v>32</v>
      </c>
      <c r="I906" t="s">
        <v>1002</v>
      </c>
      <c r="J906" t="s">
        <v>45</v>
      </c>
      <c r="K906" t="s">
        <v>35</v>
      </c>
      <c r="L906" t="s">
        <v>175</v>
      </c>
      <c r="M906" t="s">
        <v>117</v>
      </c>
      <c r="N906">
        <v>0</v>
      </c>
      <c r="O906">
        <v>0</v>
      </c>
      <c r="P906">
        <v>2</v>
      </c>
      <c r="Q906">
        <v>2</v>
      </c>
      <c r="R906" s="4">
        <v>32052.83</v>
      </c>
      <c r="S906" t="str">
        <f t="shared" si="70"/>
        <v>PZ: Alta Crit.</v>
      </c>
      <c r="T906">
        <f t="shared" si="71"/>
        <v>0</v>
      </c>
      <c r="U906">
        <f t="shared" si="72"/>
        <v>1</v>
      </c>
      <c r="V906">
        <f t="shared" si="73"/>
        <v>0</v>
      </c>
      <c r="W906">
        <f t="shared" si="74"/>
        <v>1</v>
      </c>
      <c r="X906">
        <v>1</v>
      </c>
      <c r="Y906" s="2">
        <v>45768</v>
      </c>
      <c r="Z906" s="3" t="s">
        <v>118</v>
      </c>
      <c r="AA906" t="s">
        <v>39</v>
      </c>
      <c r="AB906" t="s">
        <v>49</v>
      </c>
      <c r="AC906" s="5" t="s">
        <v>50</v>
      </c>
      <c r="AD906" t="s">
        <v>391</v>
      </c>
    </row>
    <row r="907" spans="2:30">
      <c r="B907">
        <v>4</v>
      </c>
      <c r="C907">
        <v>1020</v>
      </c>
      <c r="D907" t="s">
        <v>384</v>
      </c>
      <c r="E907">
        <v>10044972</v>
      </c>
      <c r="F907" t="s">
        <v>1003</v>
      </c>
      <c r="G907" t="s">
        <v>43</v>
      </c>
      <c r="H907" t="s">
        <v>32</v>
      </c>
      <c r="I907" t="s">
        <v>386</v>
      </c>
      <c r="J907" t="s">
        <v>582</v>
      </c>
      <c r="K907" t="s">
        <v>35</v>
      </c>
      <c r="L907" t="s">
        <v>175</v>
      </c>
      <c r="M907" t="s">
        <v>117</v>
      </c>
      <c r="N907">
        <v>0</v>
      </c>
      <c r="O907">
        <v>0</v>
      </c>
      <c r="P907">
        <v>0</v>
      </c>
      <c r="Q907">
        <v>6</v>
      </c>
      <c r="R907" s="4">
        <v>1530</v>
      </c>
      <c r="S907" t="str">
        <f t="shared" si="70"/>
        <v>PY: Media Crit.</v>
      </c>
      <c r="T907">
        <f t="shared" si="71"/>
        <v>0</v>
      </c>
      <c r="U907">
        <f t="shared" si="72"/>
        <v>0</v>
      </c>
      <c r="V907">
        <f t="shared" si="73"/>
        <v>0</v>
      </c>
      <c r="W907">
        <f t="shared" si="74"/>
        <v>1</v>
      </c>
      <c r="X907">
        <v>1</v>
      </c>
      <c r="Y907" s="2">
        <v>45768</v>
      </c>
      <c r="Z907" s="3" t="s">
        <v>118</v>
      </c>
      <c r="AA907" t="s">
        <v>39</v>
      </c>
      <c r="AB907" t="s">
        <v>40</v>
      </c>
      <c r="AC907" t="s">
        <v>40</v>
      </c>
      <c r="AD907" t="s">
        <v>387</v>
      </c>
    </row>
    <row r="908" spans="2:30">
      <c r="B908">
        <v>4</v>
      </c>
      <c r="C908">
        <v>1020</v>
      </c>
      <c r="D908" t="s">
        <v>384</v>
      </c>
      <c r="E908">
        <v>10044973</v>
      </c>
      <c r="F908" t="s">
        <v>1004</v>
      </c>
      <c r="G908" t="s">
        <v>43</v>
      </c>
      <c r="H908" t="s">
        <v>32</v>
      </c>
      <c r="I908" t="s">
        <v>386</v>
      </c>
      <c r="J908" t="s">
        <v>45</v>
      </c>
      <c r="K908" t="s">
        <v>35</v>
      </c>
      <c r="L908" t="s">
        <v>175</v>
      </c>
      <c r="M908" t="s">
        <v>117</v>
      </c>
      <c r="N908">
        <v>0</v>
      </c>
      <c r="O908">
        <v>0</v>
      </c>
      <c r="P908">
        <v>0</v>
      </c>
      <c r="Q908">
        <v>38</v>
      </c>
      <c r="R908" s="4">
        <v>5073.54</v>
      </c>
      <c r="S908" t="str">
        <f t="shared" si="70"/>
        <v>PY: Media Crit.</v>
      </c>
      <c r="T908">
        <f t="shared" si="71"/>
        <v>0</v>
      </c>
      <c r="U908">
        <f t="shared" si="72"/>
        <v>0</v>
      </c>
      <c r="V908">
        <f t="shared" si="73"/>
        <v>0</v>
      </c>
      <c r="W908">
        <f t="shared" si="74"/>
        <v>1</v>
      </c>
      <c r="X908">
        <v>1</v>
      </c>
      <c r="Y908" s="2">
        <v>45768</v>
      </c>
      <c r="Z908" s="3" t="s">
        <v>118</v>
      </c>
      <c r="AA908" t="s">
        <v>39</v>
      </c>
      <c r="AB908" t="s">
        <v>40</v>
      </c>
      <c r="AC908" t="s">
        <v>40</v>
      </c>
      <c r="AD908" t="s">
        <v>387</v>
      </c>
    </row>
    <row r="909" spans="2:30">
      <c r="B909">
        <v>4</v>
      </c>
      <c r="C909">
        <v>1020</v>
      </c>
      <c r="D909" t="s">
        <v>388</v>
      </c>
      <c r="E909">
        <v>10047810</v>
      </c>
      <c r="F909" t="s">
        <v>1005</v>
      </c>
      <c r="G909" t="s">
        <v>52</v>
      </c>
      <c r="H909" t="s">
        <v>32</v>
      </c>
      <c r="I909" t="s">
        <v>390</v>
      </c>
      <c r="J909" t="s">
        <v>45</v>
      </c>
      <c r="K909" t="s">
        <v>35</v>
      </c>
      <c r="L909" t="s">
        <v>175</v>
      </c>
      <c r="M909" t="s">
        <v>46</v>
      </c>
      <c r="N909">
        <v>0</v>
      </c>
      <c r="O909">
        <v>0</v>
      </c>
      <c r="P909">
        <v>2</v>
      </c>
      <c r="Q909">
        <v>0</v>
      </c>
      <c r="R909">
        <v>0</v>
      </c>
      <c r="S909" t="str">
        <f t="shared" si="70"/>
        <v>PZ: Alta Crit.</v>
      </c>
      <c r="T909">
        <f t="shared" si="71"/>
        <v>1</v>
      </c>
      <c r="U909">
        <f t="shared" si="72"/>
        <v>0</v>
      </c>
      <c r="V909">
        <f t="shared" si="73"/>
        <v>0</v>
      </c>
      <c r="W909">
        <f t="shared" si="74"/>
        <v>0</v>
      </c>
      <c r="X909">
        <v>1</v>
      </c>
      <c r="Y909" s="2">
        <v>45768</v>
      </c>
      <c r="Z909" s="3" t="s">
        <v>47</v>
      </c>
      <c r="AA909" t="s">
        <v>39</v>
      </c>
      <c r="AB909" t="s">
        <v>49</v>
      </c>
      <c r="AC909" s="5" t="s">
        <v>50</v>
      </c>
      <c r="AD909" t="s">
        <v>391</v>
      </c>
    </row>
    <row r="910" spans="2:30">
      <c r="B910">
        <v>4</v>
      </c>
      <c r="C910">
        <v>1020</v>
      </c>
      <c r="D910" t="s">
        <v>693</v>
      </c>
      <c r="E910">
        <v>10050558</v>
      </c>
      <c r="F910" t="s">
        <v>1006</v>
      </c>
      <c r="G910" t="s">
        <v>31</v>
      </c>
      <c r="H910" t="s">
        <v>32</v>
      </c>
      <c r="I910" t="s">
        <v>695</v>
      </c>
      <c r="J910" t="s">
        <v>45</v>
      </c>
      <c r="K910" t="s">
        <v>35</v>
      </c>
      <c r="L910" t="s">
        <v>175</v>
      </c>
      <c r="M910" t="s">
        <v>55</v>
      </c>
      <c r="N910">
        <v>0</v>
      </c>
      <c r="O910">
        <v>0</v>
      </c>
      <c r="P910">
        <v>0</v>
      </c>
      <c r="Q910">
        <v>70</v>
      </c>
      <c r="R910">
        <v>23.93</v>
      </c>
      <c r="S910" t="str">
        <f t="shared" si="70"/>
        <v>PX: Baja Crit.</v>
      </c>
      <c r="T910">
        <f t="shared" si="71"/>
        <v>0</v>
      </c>
      <c r="U910">
        <f t="shared" si="72"/>
        <v>0</v>
      </c>
      <c r="V910">
        <f t="shared" si="73"/>
        <v>0</v>
      </c>
      <c r="W910">
        <f t="shared" si="74"/>
        <v>1</v>
      </c>
      <c r="X910">
        <v>1</v>
      </c>
      <c r="Y910" s="2">
        <v>45768</v>
      </c>
      <c r="Z910" s="3" t="s">
        <v>56</v>
      </c>
      <c r="AA910" t="s">
        <v>39</v>
      </c>
      <c r="AB910" t="s">
        <v>40</v>
      </c>
      <c r="AC910" t="s">
        <v>40</v>
      </c>
      <c r="AD910" t="s">
        <v>696</v>
      </c>
    </row>
    <row r="911" spans="2:30">
      <c r="B911">
        <v>4</v>
      </c>
      <c r="C911">
        <v>1020</v>
      </c>
      <c r="D911" t="s">
        <v>172</v>
      </c>
      <c r="E911">
        <v>10053680</v>
      </c>
      <c r="F911" t="s">
        <v>1007</v>
      </c>
      <c r="G911" t="s">
        <v>52</v>
      </c>
      <c r="H911" t="s">
        <v>32</v>
      </c>
      <c r="I911" t="s">
        <v>584</v>
      </c>
      <c r="J911" t="s">
        <v>45</v>
      </c>
      <c r="K911" t="s">
        <v>35</v>
      </c>
      <c r="L911" t="s">
        <v>175</v>
      </c>
      <c r="M911" t="s">
        <v>117</v>
      </c>
      <c r="N911">
        <v>0</v>
      </c>
      <c r="O911">
        <v>0</v>
      </c>
      <c r="P911">
        <v>0</v>
      </c>
      <c r="Q911">
        <v>0</v>
      </c>
      <c r="R911">
        <v>0</v>
      </c>
      <c r="S911" t="str">
        <f t="shared" si="70"/>
        <v>PZ: Alta Crit.</v>
      </c>
      <c r="T911">
        <f t="shared" si="71"/>
        <v>1</v>
      </c>
      <c r="U911">
        <f t="shared" si="72"/>
        <v>0</v>
      </c>
      <c r="V911">
        <f t="shared" si="73"/>
        <v>0</v>
      </c>
      <c r="W911">
        <f t="shared" si="74"/>
        <v>0</v>
      </c>
      <c r="X911">
        <v>1</v>
      </c>
      <c r="Y911" s="2">
        <v>45768</v>
      </c>
      <c r="Z911" s="3" t="s">
        <v>118</v>
      </c>
      <c r="AA911" t="s">
        <v>39</v>
      </c>
      <c r="AB911" t="s">
        <v>40</v>
      </c>
      <c r="AC911" t="s">
        <v>40</v>
      </c>
      <c r="AD911" t="s">
        <v>585</v>
      </c>
    </row>
    <row r="912" spans="2:30">
      <c r="B912">
        <v>4</v>
      </c>
      <c r="C912">
        <v>1020</v>
      </c>
      <c r="D912" t="s">
        <v>172</v>
      </c>
      <c r="E912">
        <v>10053693</v>
      </c>
      <c r="F912" t="s">
        <v>1008</v>
      </c>
      <c r="G912" t="s">
        <v>52</v>
      </c>
      <c r="H912" t="s">
        <v>32</v>
      </c>
      <c r="I912" t="s">
        <v>584</v>
      </c>
      <c r="J912" t="s">
        <v>45</v>
      </c>
      <c r="K912" t="s">
        <v>35</v>
      </c>
      <c r="L912" t="s">
        <v>175</v>
      </c>
      <c r="M912" t="s">
        <v>117</v>
      </c>
      <c r="N912">
        <v>0</v>
      </c>
      <c r="O912">
        <v>0</v>
      </c>
      <c r="P912">
        <v>0</v>
      </c>
      <c r="Q912">
        <v>6</v>
      </c>
      <c r="R912" s="4">
        <v>54190.23</v>
      </c>
      <c r="S912" t="str">
        <f t="shared" si="70"/>
        <v>PZ: Alta Crit.</v>
      </c>
      <c r="T912">
        <f t="shared" si="71"/>
        <v>0</v>
      </c>
      <c r="U912">
        <f t="shared" si="72"/>
        <v>0</v>
      </c>
      <c r="V912">
        <f t="shared" si="73"/>
        <v>0</v>
      </c>
      <c r="W912">
        <f t="shared" si="74"/>
        <v>1</v>
      </c>
      <c r="X912">
        <v>1</v>
      </c>
      <c r="Y912" s="2">
        <v>45768</v>
      </c>
      <c r="Z912" s="3" t="s">
        <v>118</v>
      </c>
      <c r="AA912" t="s">
        <v>39</v>
      </c>
      <c r="AB912" t="s">
        <v>40</v>
      </c>
      <c r="AC912" t="s">
        <v>40</v>
      </c>
      <c r="AD912" t="s">
        <v>585</v>
      </c>
    </row>
    <row r="913" spans="2:30">
      <c r="B913">
        <v>4</v>
      </c>
      <c r="C913">
        <v>1020</v>
      </c>
      <c r="D913" t="s">
        <v>29</v>
      </c>
      <c r="E913">
        <v>10055147</v>
      </c>
      <c r="F913" t="s">
        <v>1009</v>
      </c>
      <c r="G913" t="s">
        <v>43</v>
      </c>
      <c r="H913" t="s">
        <v>32</v>
      </c>
      <c r="I913" t="s">
        <v>588</v>
      </c>
      <c r="J913" t="s">
        <v>45</v>
      </c>
      <c r="K913" t="s">
        <v>35</v>
      </c>
      <c r="L913" t="s">
        <v>36</v>
      </c>
      <c r="M913" t="s">
        <v>37</v>
      </c>
      <c r="N913">
        <v>4</v>
      </c>
      <c r="O913">
        <v>2</v>
      </c>
      <c r="P913">
        <v>1</v>
      </c>
      <c r="Q913">
        <v>2</v>
      </c>
      <c r="R913">
        <v>111.82</v>
      </c>
      <c r="S913" t="str">
        <f t="shared" si="70"/>
        <v>PY: Media Crit.</v>
      </c>
      <c r="T913">
        <f t="shared" si="71"/>
        <v>0</v>
      </c>
      <c r="U913">
        <f t="shared" si="72"/>
        <v>0</v>
      </c>
      <c r="V913">
        <f t="shared" si="73"/>
        <v>1</v>
      </c>
      <c r="W913">
        <f t="shared" si="74"/>
        <v>0</v>
      </c>
      <c r="X913">
        <v>1</v>
      </c>
      <c r="Y913" s="2">
        <v>45768</v>
      </c>
      <c r="Z913" s="3" t="s">
        <v>38</v>
      </c>
      <c r="AA913" t="s">
        <v>39</v>
      </c>
      <c r="AB913" t="s">
        <v>40</v>
      </c>
      <c r="AC913" t="s">
        <v>40</v>
      </c>
      <c r="AD913" t="s">
        <v>589</v>
      </c>
    </row>
    <row r="914" spans="2:30">
      <c r="B914">
        <v>4</v>
      </c>
      <c r="C914">
        <v>1020</v>
      </c>
      <c r="D914" t="s">
        <v>388</v>
      </c>
      <c r="E914">
        <v>10124186</v>
      </c>
      <c r="F914" t="s">
        <v>1010</v>
      </c>
      <c r="G914" t="s">
        <v>52</v>
      </c>
      <c r="H914" t="s">
        <v>32</v>
      </c>
      <c r="I914" t="s">
        <v>390</v>
      </c>
      <c r="J914" t="s">
        <v>45</v>
      </c>
      <c r="K914" t="s">
        <v>35</v>
      </c>
      <c r="L914" t="s">
        <v>175</v>
      </c>
      <c r="M914" t="s">
        <v>69</v>
      </c>
      <c r="N914">
        <v>0</v>
      </c>
      <c r="O914">
        <v>0</v>
      </c>
      <c r="P914">
        <v>1</v>
      </c>
      <c r="Q914">
        <v>0</v>
      </c>
      <c r="R914">
        <v>0</v>
      </c>
      <c r="S914" t="str">
        <f t="shared" si="70"/>
        <v>PZ: Alta Crit.</v>
      </c>
      <c r="T914">
        <f t="shared" si="71"/>
        <v>1</v>
      </c>
      <c r="U914">
        <f t="shared" si="72"/>
        <v>0</v>
      </c>
      <c r="V914">
        <f t="shared" si="73"/>
        <v>0</v>
      </c>
      <c r="W914">
        <f t="shared" si="74"/>
        <v>0</v>
      </c>
      <c r="X914">
        <v>1</v>
      </c>
      <c r="Y914" s="2">
        <v>45768</v>
      </c>
      <c r="Z914" s="3" t="s">
        <v>70</v>
      </c>
      <c r="AA914" t="s">
        <v>39</v>
      </c>
      <c r="AB914" t="s">
        <v>49</v>
      </c>
      <c r="AC914" s="5" t="s">
        <v>50</v>
      </c>
      <c r="AD914" t="s">
        <v>391</v>
      </c>
    </row>
    <row r="915" spans="2:30">
      <c r="B915">
        <v>4</v>
      </c>
      <c r="C915">
        <v>1020</v>
      </c>
      <c r="D915" t="s">
        <v>388</v>
      </c>
      <c r="E915">
        <v>10126780</v>
      </c>
      <c r="F915" t="s">
        <v>1011</v>
      </c>
      <c r="G915" t="s">
        <v>31</v>
      </c>
      <c r="H915" t="s">
        <v>44</v>
      </c>
      <c r="I915" t="s">
        <v>390</v>
      </c>
      <c r="J915" t="s">
        <v>45</v>
      </c>
      <c r="K915" t="s">
        <v>35</v>
      </c>
      <c r="L915" t="s">
        <v>175</v>
      </c>
      <c r="M915" t="s">
        <v>69</v>
      </c>
      <c r="N915">
        <v>0</v>
      </c>
      <c r="O915">
        <v>0</v>
      </c>
      <c r="P915">
        <v>1</v>
      </c>
      <c r="Q915">
        <v>1</v>
      </c>
      <c r="R915" s="4">
        <v>1594.95</v>
      </c>
      <c r="S915" t="str">
        <f t="shared" si="70"/>
        <v>PX: Baja Crit.</v>
      </c>
      <c r="T915">
        <f t="shared" si="71"/>
        <v>0</v>
      </c>
      <c r="U915">
        <f t="shared" si="72"/>
        <v>1</v>
      </c>
      <c r="V915">
        <f t="shared" si="73"/>
        <v>0</v>
      </c>
      <c r="W915">
        <f t="shared" si="74"/>
        <v>1</v>
      </c>
      <c r="X915">
        <v>1</v>
      </c>
      <c r="Y915" s="2">
        <v>45768</v>
      </c>
      <c r="Z915" s="3" t="s">
        <v>70</v>
      </c>
      <c r="AA915" t="s">
        <v>39</v>
      </c>
      <c r="AB915" t="s">
        <v>40</v>
      </c>
      <c r="AC915" t="s">
        <v>40</v>
      </c>
      <c r="AD915" t="s">
        <v>391</v>
      </c>
    </row>
    <row r="916" spans="2:30">
      <c r="B916">
        <v>4</v>
      </c>
      <c r="C916">
        <v>1020</v>
      </c>
      <c r="D916" t="s">
        <v>29</v>
      </c>
      <c r="E916">
        <v>10162036</v>
      </c>
      <c r="F916" t="s">
        <v>1012</v>
      </c>
      <c r="G916" t="s">
        <v>43</v>
      </c>
      <c r="H916" t="s">
        <v>32</v>
      </c>
      <c r="I916" t="s">
        <v>588</v>
      </c>
      <c r="J916" t="s">
        <v>45</v>
      </c>
      <c r="K916" t="s">
        <v>53</v>
      </c>
      <c r="L916" t="s">
        <v>36</v>
      </c>
      <c r="M916" t="s">
        <v>46</v>
      </c>
      <c r="N916" s="8">
        <v>3000</v>
      </c>
      <c r="O916" s="8">
        <v>2001</v>
      </c>
      <c r="P916" s="8">
        <v>1000</v>
      </c>
      <c r="Q916" s="8">
        <v>3000</v>
      </c>
      <c r="R916" s="4">
        <v>9638.58</v>
      </c>
      <c r="S916" t="str">
        <f t="shared" si="70"/>
        <v>PY: Media Crit.</v>
      </c>
      <c r="T916">
        <f t="shared" si="71"/>
        <v>0</v>
      </c>
      <c r="U916">
        <f t="shared" si="72"/>
        <v>0</v>
      </c>
      <c r="V916">
        <f t="shared" si="73"/>
        <v>1</v>
      </c>
      <c r="W916">
        <f t="shared" si="74"/>
        <v>0</v>
      </c>
      <c r="X916">
        <v>1</v>
      </c>
      <c r="Y916" s="2">
        <v>45768</v>
      </c>
      <c r="Z916" s="3" t="s">
        <v>47</v>
      </c>
      <c r="AA916" t="s">
        <v>39</v>
      </c>
      <c r="AB916" t="s">
        <v>40</v>
      </c>
      <c r="AC916" t="s">
        <v>40</v>
      </c>
      <c r="AD916" t="s">
        <v>589</v>
      </c>
    </row>
    <row r="917" spans="2:30">
      <c r="B917">
        <v>4</v>
      </c>
      <c r="C917">
        <v>1020</v>
      </c>
      <c r="D917" t="s">
        <v>388</v>
      </c>
      <c r="E917">
        <v>10293258</v>
      </c>
      <c r="F917" t="s">
        <v>1013</v>
      </c>
      <c r="G917" t="s">
        <v>52</v>
      </c>
      <c r="H917" t="s">
        <v>32</v>
      </c>
      <c r="I917" t="s">
        <v>390</v>
      </c>
      <c r="J917" t="s">
        <v>45</v>
      </c>
      <c r="K917" t="s">
        <v>35</v>
      </c>
      <c r="L917" t="s">
        <v>175</v>
      </c>
      <c r="M917" t="s">
        <v>46</v>
      </c>
      <c r="N917">
        <v>0</v>
      </c>
      <c r="O917">
        <v>0</v>
      </c>
      <c r="P917">
        <v>2</v>
      </c>
      <c r="Q917">
        <v>1</v>
      </c>
      <c r="R917" s="4">
        <v>4807.49</v>
      </c>
      <c r="S917" t="str">
        <f t="shared" si="70"/>
        <v>PZ: Alta Crit.</v>
      </c>
      <c r="T917">
        <f t="shared" si="71"/>
        <v>0</v>
      </c>
      <c r="U917">
        <f t="shared" si="72"/>
        <v>1</v>
      </c>
      <c r="V917">
        <f t="shared" si="73"/>
        <v>0</v>
      </c>
      <c r="W917">
        <f t="shared" si="74"/>
        <v>1</v>
      </c>
      <c r="X917">
        <v>1</v>
      </c>
      <c r="Y917" s="2">
        <v>45768</v>
      </c>
      <c r="Z917" s="3" t="s">
        <v>47</v>
      </c>
      <c r="AA917" t="s">
        <v>39</v>
      </c>
      <c r="AB917" t="s">
        <v>49</v>
      </c>
      <c r="AC917" s="5" t="s">
        <v>50</v>
      </c>
      <c r="AD917" t="s">
        <v>391</v>
      </c>
    </row>
    <row r="918" spans="2:30">
      <c r="B918">
        <v>4</v>
      </c>
      <c r="C918">
        <v>1020</v>
      </c>
      <c r="D918" t="s">
        <v>388</v>
      </c>
      <c r="E918">
        <v>10293588</v>
      </c>
      <c r="F918" t="s">
        <v>1014</v>
      </c>
      <c r="G918" t="s">
        <v>52</v>
      </c>
      <c r="H918" t="s">
        <v>32</v>
      </c>
      <c r="I918" t="s">
        <v>390</v>
      </c>
      <c r="J918" t="s">
        <v>45</v>
      </c>
      <c r="K918" t="s">
        <v>35</v>
      </c>
      <c r="L918" t="s">
        <v>175</v>
      </c>
      <c r="M918" t="s">
        <v>46</v>
      </c>
      <c r="N918">
        <v>0</v>
      </c>
      <c r="O918">
        <v>0</v>
      </c>
      <c r="P918">
        <v>8</v>
      </c>
      <c r="Q918">
        <v>3</v>
      </c>
      <c r="R918" s="4">
        <v>75414.86</v>
      </c>
      <c r="S918" t="str">
        <f t="shared" si="70"/>
        <v>PZ: Alta Crit.</v>
      </c>
      <c r="T918">
        <f t="shared" si="71"/>
        <v>0</v>
      </c>
      <c r="U918">
        <f t="shared" si="72"/>
        <v>1</v>
      </c>
      <c r="V918">
        <f t="shared" si="73"/>
        <v>0</v>
      </c>
      <c r="W918">
        <f t="shared" si="74"/>
        <v>1</v>
      </c>
      <c r="X918">
        <v>1</v>
      </c>
      <c r="Y918" s="2">
        <v>45768</v>
      </c>
      <c r="Z918" s="3" t="s">
        <v>47</v>
      </c>
      <c r="AA918" t="s">
        <v>39</v>
      </c>
      <c r="AB918" t="s">
        <v>49</v>
      </c>
      <c r="AC918" s="5" t="s">
        <v>50</v>
      </c>
      <c r="AD918" t="s">
        <v>391</v>
      </c>
    </row>
    <row r="919" spans="2:30">
      <c r="B919">
        <v>4</v>
      </c>
      <c r="C919">
        <v>1020</v>
      </c>
      <c r="D919" t="s">
        <v>388</v>
      </c>
      <c r="E919">
        <v>10293589</v>
      </c>
      <c r="F919" t="s">
        <v>1015</v>
      </c>
      <c r="G919" t="s">
        <v>52</v>
      </c>
      <c r="H919" t="s">
        <v>32</v>
      </c>
      <c r="I919" t="s">
        <v>390</v>
      </c>
      <c r="J919" t="s">
        <v>45</v>
      </c>
      <c r="K919" t="s">
        <v>35</v>
      </c>
      <c r="L919" t="s">
        <v>175</v>
      </c>
      <c r="M919" t="s">
        <v>46</v>
      </c>
      <c r="N919">
        <v>0</v>
      </c>
      <c r="O919">
        <v>0</v>
      </c>
      <c r="P919">
        <v>8</v>
      </c>
      <c r="Q919">
        <v>0</v>
      </c>
      <c r="R919">
        <v>0</v>
      </c>
      <c r="S919" t="str">
        <f t="shared" si="70"/>
        <v>PZ: Alta Crit.</v>
      </c>
      <c r="T919">
        <f t="shared" si="71"/>
        <v>1</v>
      </c>
      <c r="U919">
        <f t="shared" si="72"/>
        <v>0</v>
      </c>
      <c r="V919">
        <f t="shared" si="73"/>
        <v>0</v>
      </c>
      <c r="W919">
        <f t="shared" si="74"/>
        <v>0</v>
      </c>
      <c r="X919">
        <v>1</v>
      </c>
      <c r="Y919" s="2">
        <v>45768</v>
      </c>
      <c r="Z919" s="3" t="s">
        <v>47</v>
      </c>
      <c r="AA919" t="s">
        <v>39</v>
      </c>
      <c r="AB919" t="s">
        <v>49</v>
      </c>
      <c r="AC919" s="5" t="s">
        <v>50</v>
      </c>
      <c r="AD919" t="s">
        <v>391</v>
      </c>
    </row>
    <row r="920" spans="2:30">
      <c r="B920">
        <v>4</v>
      </c>
      <c r="C920">
        <v>1020</v>
      </c>
      <c r="D920" t="s">
        <v>29</v>
      </c>
      <c r="E920">
        <v>10296299</v>
      </c>
      <c r="F920" t="s">
        <v>1016</v>
      </c>
      <c r="G920" t="s">
        <v>31</v>
      </c>
      <c r="H920" t="s">
        <v>32</v>
      </c>
      <c r="I920" t="s">
        <v>588</v>
      </c>
      <c r="J920" t="s">
        <v>45</v>
      </c>
      <c r="K920" t="s">
        <v>35</v>
      </c>
      <c r="L920" t="s">
        <v>36</v>
      </c>
      <c r="M920" t="s">
        <v>88</v>
      </c>
      <c r="N920">
        <v>2</v>
      </c>
      <c r="O920">
        <v>1</v>
      </c>
      <c r="P920">
        <v>0</v>
      </c>
      <c r="Q920">
        <v>2</v>
      </c>
      <c r="R920" s="4">
        <v>9007.75</v>
      </c>
      <c r="S920" t="str">
        <f t="shared" si="70"/>
        <v>PX: Baja Crit.</v>
      </c>
      <c r="T920">
        <f t="shared" si="71"/>
        <v>0</v>
      </c>
      <c r="U920">
        <f t="shared" si="72"/>
        <v>0</v>
      </c>
      <c r="V920">
        <f t="shared" si="73"/>
        <v>1</v>
      </c>
      <c r="W920">
        <f t="shared" si="74"/>
        <v>0</v>
      </c>
      <c r="X920">
        <v>1</v>
      </c>
      <c r="Y920" s="2">
        <v>45768</v>
      </c>
      <c r="Z920" s="3" t="s">
        <v>89</v>
      </c>
      <c r="AA920" t="s">
        <v>39</v>
      </c>
      <c r="AB920" t="s">
        <v>40</v>
      </c>
      <c r="AC920" t="s">
        <v>40</v>
      </c>
      <c r="AD920" t="s">
        <v>589</v>
      </c>
    </row>
    <row r="921" spans="2:30">
      <c r="B921">
        <v>4</v>
      </c>
      <c r="C921">
        <v>1020</v>
      </c>
      <c r="D921" t="s">
        <v>29</v>
      </c>
      <c r="E921">
        <v>10384507</v>
      </c>
      <c r="F921" t="s">
        <v>1017</v>
      </c>
      <c r="G921" t="s">
        <v>52</v>
      </c>
      <c r="H921" t="s">
        <v>32</v>
      </c>
      <c r="I921" t="s">
        <v>588</v>
      </c>
      <c r="J921" t="s">
        <v>45</v>
      </c>
      <c r="K921" t="s">
        <v>35</v>
      </c>
      <c r="L921" t="s">
        <v>36</v>
      </c>
      <c r="M921" t="s">
        <v>46</v>
      </c>
      <c r="N921">
        <v>6</v>
      </c>
      <c r="O921">
        <v>4</v>
      </c>
      <c r="P921">
        <v>1</v>
      </c>
      <c r="Q921">
        <v>6</v>
      </c>
      <c r="R921" s="4">
        <v>4323.1000000000004</v>
      </c>
      <c r="S921" t="str">
        <f t="shared" si="70"/>
        <v>PZ: Alta Crit.</v>
      </c>
      <c r="T921">
        <f t="shared" si="71"/>
        <v>0</v>
      </c>
      <c r="U921">
        <f t="shared" si="72"/>
        <v>0</v>
      </c>
      <c r="V921">
        <f t="shared" si="73"/>
        <v>1</v>
      </c>
      <c r="W921">
        <f t="shared" si="74"/>
        <v>0</v>
      </c>
      <c r="X921">
        <v>1</v>
      </c>
      <c r="Y921" s="2">
        <v>45768</v>
      </c>
      <c r="Z921" s="3" t="s">
        <v>47</v>
      </c>
      <c r="AA921" t="s">
        <v>39</v>
      </c>
      <c r="AB921" t="s">
        <v>76</v>
      </c>
      <c r="AC921" s="5" t="s">
        <v>77</v>
      </c>
      <c r="AD921" t="s">
        <v>589</v>
      </c>
    </row>
    <row r="922" spans="2:30">
      <c r="B922">
        <v>4</v>
      </c>
      <c r="C922">
        <v>1020</v>
      </c>
      <c r="D922" t="s">
        <v>29</v>
      </c>
      <c r="E922">
        <v>10717375</v>
      </c>
      <c r="F922" t="s">
        <v>1018</v>
      </c>
      <c r="G922" t="s">
        <v>52</v>
      </c>
      <c r="H922" t="s">
        <v>44</v>
      </c>
      <c r="I922" t="s">
        <v>588</v>
      </c>
      <c r="J922" t="s">
        <v>45</v>
      </c>
      <c r="K922" t="s">
        <v>35</v>
      </c>
      <c r="L922" t="s">
        <v>36</v>
      </c>
      <c r="M922" t="s">
        <v>117</v>
      </c>
      <c r="N922">
        <v>1</v>
      </c>
      <c r="O922">
        <v>1</v>
      </c>
      <c r="P922">
        <v>1</v>
      </c>
      <c r="Q922">
        <v>1</v>
      </c>
      <c r="R922" s="4">
        <v>5830.32</v>
      </c>
      <c r="S922" t="str">
        <f t="shared" si="70"/>
        <v>PZ: Alta Crit.</v>
      </c>
      <c r="T922">
        <f t="shared" si="71"/>
        <v>0</v>
      </c>
      <c r="U922">
        <f t="shared" si="72"/>
        <v>1</v>
      </c>
      <c r="V922">
        <f t="shared" si="73"/>
        <v>0</v>
      </c>
      <c r="W922">
        <f t="shared" si="74"/>
        <v>0</v>
      </c>
      <c r="X922">
        <v>1</v>
      </c>
      <c r="Y922" s="2">
        <v>45768</v>
      </c>
      <c r="Z922" s="3" t="s">
        <v>118</v>
      </c>
      <c r="AA922" t="s">
        <v>39</v>
      </c>
      <c r="AB922" t="s">
        <v>40</v>
      </c>
      <c r="AC922" t="s">
        <v>40</v>
      </c>
      <c r="AD922" t="s">
        <v>589</v>
      </c>
    </row>
    <row r="923" spans="2:30">
      <c r="B923">
        <v>4</v>
      </c>
      <c r="C923">
        <v>1020</v>
      </c>
      <c r="D923" t="s">
        <v>29</v>
      </c>
      <c r="E923">
        <v>10728163</v>
      </c>
      <c r="F923" t="s">
        <v>1019</v>
      </c>
      <c r="G923" t="s">
        <v>43</v>
      </c>
      <c r="H923" t="s">
        <v>32</v>
      </c>
      <c r="I923" t="s">
        <v>588</v>
      </c>
      <c r="J923" t="s">
        <v>45</v>
      </c>
      <c r="K923" t="s">
        <v>35</v>
      </c>
      <c r="L923" t="s">
        <v>36</v>
      </c>
      <c r="M923" t="s">
        <v>117</v>
      </c>
      <c r="N923">
        <v>1</v>
      </c>
      <c r="O923">
        <v>1</v>
      </c>
      <c r="P923">
        <v>1</v>
      </c>
      <c r="Q923">
        <v>2</v>
      </c>
      <c r="R923">
        <v>473.5</v>
      </c>
      <c r="S923" t="str">
        <f t="shared" si="70"/>
        <v>PY: Media Crit.</v>
      </c>
      <c r="T923">
        <f t="shared" si="71"/>
        <v>0</v>
      </c>
      <c r="U923">
        <f t="shared" si="72"/>
        <v>0</v>
      </c>
      <c r="V923">
        <f t="shared" si="73"/>
        <v>0</v>
      </c>
      <c r="W923">
        <f t="shared" si="74"/>
        <v>1</v>
      </c>
      <c r="X923">
        <v>1</v>
      </c>
      <c r="Y923" s="2">
        <v>45768</v>
      </c>
      <c r="Z923" s="3" t="s">
        <v>118</v>
      </c>
      <c r="AA923" t="s">
        <v>39</v>
      </c>
      <c r="AB923" t="s">
        <v>40</v>
      </c>
      <c r="AC923" t="s">
        <v>40</v>
      </c>
      <c r="AD923" t="s">
        <v>589</v>
      </c>
    </row>
    <row r="924" spans="2:30">
      <c r="B924" s="6">
        <v>4</v>
      </c>
      <c r="C924" s="6">
        <v>1020</v>
      </c>
      <c r="D924" s="6" t="s">
        <v>29</v>
      </c>
      <c r="E924" s="6">
        <v>10050547</v>
      </c>
      <c r="F924" s="6" t="s">
        <v>1020</v>
      </c>
      <c r="G924" s="6" t="s">
        <v>43</v>
      </c>
      <c r="H924" s="6" t="s">
        <v>32</v>
      </c>
      <c r="I924" s="6" t="s">
        <v>588</v>
      </c>
      <c r="J924" s="6" t="s">
        <v>45</v>
      </c>
      <c r="K924" s="6" t="s">
        <v>80</v>
      </c>
      <c r="L924" s="6" t="s">
        <v>36</v>
      </c>
      <c r="M924" s="6" t="s">
        <v>46</v>
      </c>
      <c r="N924" s="6">
        <v>55</v>
      </c>
      <c r="O924" s="6">
        <v>55</v>
      </c>
      <c r="P924" s="6">
        <v>55</v>
      </c>
      <c r="Q924" s="6">
        <v>55</v>
      </c>
      <c r="R924" s="9">
        <v>2540.23</v>
      </c>
      <c r="S924" s="6" t="str">
        <f t="shared" si="70"/>
        <v>PY: Media Crit.</v>
      </c>
      <c r="T924" s="6">
        <f t="shared" si="71"/>
        <v>0</v>
      </c>
      <c r="U924" s="6">
        <f t="shared" si="72"/>
        <v>1</v>
      </c>
      <c r="V924" s="6">
        <f t="shared" si="73"/>
        <v>0</v>
      </c>
      <c r="W924" s="6">
        <f t="shared" si="74"/>
        <v>0</v>
      </c>
      <c r="X924" s="6">
        <v>1</v>
      </c>
      <c r="Y924" s="10">
        <v>45768</v>
      </c>
      <c r="Z924" s="11" t="s">
        <v>47</v>
      </c>
      <c r="AA924" s="6" t="s">
        <v>39</v>
      </c>
      <c r="AB924" s="6" t="s">
        <v>40</v>
      </c>
      <c r="AC924" s="6" t="s">
        <v>40</v>
      </c>
      <c r="AD924" s="6" t="s">
        <v>589</v>
      </c>
    </row>
    <row r="925" spans="2:30">
      <c r="B925">
        <v>4</v>
      </c>
      <c r="C925">
        <v>1020</v>
      </c>
      <c r="D925" t="s">
        <v>388</v>
      </c>
      <c r="E925">
        <v>14032704</v>
      </c>
      <c r="F925" t="s">
        <v>1021</v>
      </c>
      <c r="G925" t="s">
        <v>31</v>
      </c>
      <c r="H925" t="s">
        <v>44</v>
      </c>
      <c r="I925" t="s">
        <v>390</v>
      </c>
      <c r="J925" t="s">
        <v>45</v>
      </c>
      <c r="K925" t="s">
        <v>35</v>
      </c>
      <c r="L925" t="s">
        <v>175</v>
      </c>
      <c r="M925" t="s">
        <v>117</v>
      </c>
      <c r="N925">
        <v>0</v>
      </c>
      <c r="O925">
        <v>0</v>
      </c>
      <c r="P925">
        <v>4</v>
      </c>
      <c r="Q925">
        <v>0</v>
      </c>
      <c r="R925">
        <v>0</v>
      </c>
      <c r="S925" t="str">
        <f t="shared" si="70"/>
        <v>PX: Baja Crit.</v>
      </c>
      <c r="T925">
        <f t="shared" si="71"/>
        <v>1</v>
      </c>
      <c r="U925">
        <f t="shared" si="72"/>
        <v>0</v>
      </c>
      <c r="V925">
        <f t="shared" si="73"/>
        <v>0</v>
      </c>
      <c r="W925">
        <f t="shared" si="74"/>
        <v>0</v>
      </c>
      <c r="X925">
        <v>1</v>
      </c>
      <c r="Y925" s="2">
        <v>45768</v>
      </c>
      <c r="Z925" s="3" t="s">
        <v>118</v>
      </c>
      <c r="AA925" t="s">
        <v>39</v>
      </c>
      <c r="AB925" t="s">
        <v>76</v>
      </c>
      <c r="AC925" s="5" t="s">
        <v>77</v>
      </c>
      <c r="AD925" t="s">
        <v>391</v>
      </c>
    </row>
    <row r="926" spans="2:30">
      <c r="B926">
        <v>4</v>
      </c>
      <c r="C926">
        <v>1020</v>
      </c>
      <c r="D926" t="s">
        <v>388</v>
      </c>
      <c r="E926">
        <v>14059295</v>
      </c>
      <c r="F926" t="s">
        <v>1022</v>
      </c>
      <c r="G926" t="s">
        <v>52</v>
      </c>
      <c r="H926" t="s">
        <v>44</v>
      </c>
      <c r="I926" t="s">
        <v>390</v>
      </c>
      <c r="J926" t="s">
        <v>45</v>
      </c>
      <c r="K926" t="s">
        <v>35</v>
      </c>
      <c r="L926" t="s">
        <v>175</v>
      </c>
      <c r="M926" t="s">
        <v>69</v>
      </c>
      <c r="N926">
        <v>0</v>
      </c>
      <c r="O926">
        <v>0</v>
      </c>
      <c r="P926">
        <v>2</v>
      </c>
      <c r="Q926">
        <v>0</v>
      </c>
      <c r="R926">
        <v>0</v>
      </c>
      <c r="S926" t="str">
        <f t="shared" si="70"/>
        <v>PZ: Alta Crit.</v>
      </c>
      <c r="T926">
        <f t="shared" si="71"/>
        <v>1</v>
      </c>
      <c r="U926">
        <f t="shared" si="72"/>
        <v>0</v>
      </c>
      <c r="V926">
        <f t="shared" si="73"/>
        <v>0</v>
      </c>
      <c r="W926">
        <f t="shared" si="74"/>
        <v>0</v>
      </c>
      <c r="X926">
        <v>1</v>
      </c>
      <c r="Y926" s="2">
        <v>45768</v>
      </c>
      <c r="Z926" s="3" t="s">
        <v>70</v>
      </c>
      <c r="AA926" t="s">
        <v>39</v>
      </c>
      <c r="AB926" t="s">
        <v>76</v>
      </c>
      <c r="AC926" s="5" t="s">
        <v>77</v>
      </c>
      <c r="AD926" t="s">
        <v>391</v>
      </c>
    </row>
    <row r="927" spans="2:30">
      <c r="B927">
        <v>4</v>
      </c>
      <c r="C927">
        <v>1020</v>
      </c>
      <c r="D927" t="s">
        <v>384</v>
      </c>
      <c r="E927">
        <v>14112980</v>
      </c>
      <c r="F927" t="s">
        <v>1023</v>
      </c>
      <c r="G927" t="s">
        <v>43</v>
      </c>
      <c r="H927" t="s">
        <v>32</v>
      </c>
      <c r="I927" t="s">
        <v>386</v>
      </c>
      <c r="J927" t="s">
        <v>45</v>
      </c>
      <c r="K927" t="s">
        <v>35</v>
      </c>
      <c r="L927" t="s">
        <v>175</v>
      </c>
      <c r="M927" t="s">
        <v>69</v>
      </c>
      <c r="N927">
        <v>0</v>
      </c>
      <c r="O927">
        <v>0</v>
      </c>
      <c r="P927">
        <v>0</v>
      </c>
      <c r="Q927">
        <v>0</v>
      </c>
      <c r="R927">
        <v>0</v>
      </c>
      <c r="S927" t="str">
        <f t="shared" si="70"/>
        <v>PY: Media Crit.</v>
      </c>
      <c r="T927">
        <f t="shared" si="71"/>
        <v>1</v>
      </c>
      <c r="U927">
        <f t="shared" si="72"/>
        <v>0</v>
      </c>
      <c r="V927">
        <f t="shared" si="73"/>
        <v>0</v>
      </c>
      <c r="W927">
        <f t="shared" si="74"/>
        <v>0</v>
      </c>
      <c r="X927">
        <v>1</v>
      </c>
      <c r="Y927" s="2">
        <v>45768</v>
      </c>
      <c r="Z927" s="3" t="s">
        <v>70</v>
      </c>
      <c r="AA927" t="s">
        <v>39</v>
      </c>
      <c r="AB927" t="s">
        <v>49</v>
      </c>
      <c r="AC927" s="5" t="s">
        <v>50</v>
      </c>
      <c r="AD927" t="s">
        <v>387</v>
      </c>
    </row>
    <row r="928" spans="2:30">
      <c r="B928">
        <v>4</v>
      </c>
      <c r="C928">
        <v>1020</v>
      </c>
      <c r="D928" t="s">
        <v>388</v>
      </c>
      <c r="E928">
        <v>14114366</v>
      </c>
      <c r="F928" t="s">
        <v>1024</v>
      </c>
      <c r="G928" t="s">
        <v>43</v>
      </c>
      <c r="H928" t="s">
        <v>60</v>
      </c>
      <c r="I928" t="s">
        <v>390</v>
      </c>
      <c r="J928" t="s">
        <v>45</v>
      </c>
      <c r="K928" t="s">
        <v>35</v>
      </c>
      <c r="L928" t="s">
        <v>175</v>
      </c>
      <c r="M928" t="s">
        <v>69</v>
      </c>
      <c r="N928">
        <v>0</v>
      </c>
      <c r="O928">
        <v>0</v>
      </c>
      <c r="P928">
        <v>1</v>
      </c>
      <c r="Q928">
        <v>0</v>
      </c>
      <c r="R928">
        <v>0</v>
      </c>
      <c r="S928" t="str">
        <f t="shared" si="70"/>
        <v>PY: Media Crit.</v>
      </c>
      <c r="T928">
        <f t="shared" si="71"/>
        <v>1</v>
      </c>
      <c r="U928">
        <f t="shared" si="72"/>
        <v>0</v>
      </c>
      <c r="V928">
        <f t="shared" si="73"/>
        <v>0</v>
      </c>
      <c r="W928">
        <f t="shared" si="74"/>
        <v>0</v>
      </c>
      <c r="X928">
        <v>1</v>
      </c>
      <c r="Y928" s="2">
        <v>45768</v>
      </c>
      <c r="Z928" s="3" t="s">
        <v>70</v>
      </c>
      <c r="AA928" t="s">
        <v>39</v>
      </c>
      <c r="AB928" t="s">
        <v>76</v>
      </c>
      <c r="AC928" s="5" t="s">
        <v>77</v>
      </c>
      <c r="AD928" t="s">
        <v>391</v>
      </c>
    </row>
    <row r="929" spans="2:30">
      <c r="B929">
        <v>4</v>
      </c>
      <c r="C929">
        <v>1020</v>
      </c>
      <c r="D929" t="s">
        <v>388</v>
      </c>
      <c r="E929">
        <v>14126067</v>
      </c>
      <c r="F929" t="s">
        <v>1025</v>
      </c>
      <c r="G929" t="s">
        <v>43</v>
      </c>
      <c r="H929" t="s">
        <v>44</v>
      </c>
      <c r="I929" t="s">
        <v>390</v>
      </c>
      <c r="J929" t="s">
        <v>45</v>
      </c>
      <c r="K929" t="s">
        <v>35</v>
      </c>
      <c r="L929" t="s">
        <v>175</v>
      </c>
      <c r="M929" t="s">
        <v>117</v>
      </c>
      <c r="N929">
        <v>0</v>
      </c>
      <c r="O929">
        <v>0</v>
      </c>
      <c r="P929">
        <v>2</v>
      </c>
      <c r="Q929">
        <v>0</v>
      </c>
      <c r="R929">
        <v>0</v>
      </c>
      <c r="S929" t="str">
        <f t="shared" si="70"/>
        <v>PY: Media Crit.</v>
      </c>
      <c r="T929">
        <f t="shared" si="71"/>
        <v>1</v>
      </c>
      <c r="U929">
        <f t="shared" si="72"/>
        <v>0</v>
      </c>
      <c r="V929">
        <f t="shared" si="73"/>
        <v>0</v>
      </c>
      <c r="W929">
        <f t="shared" si="74"/>
        <v>0</v>
      </c>
      <c r="X929">
        <v>1</v>
      </c>
      <c r="Y929" s="2">
        <v>45768</v>
      </c>
      <c r="Z929" s="3" t="s">
        <v>118</v>
      </c>
      <c r="AA929" t="s">
        <v>39</v>
      </c>
      <c r="AB929" t="s">
        <v>49</v>
      </c>
      <c r="AC929" s="5" t="s">
        <v>50</v>
      </c>
      <c r="AD929" t="s">
        <v>391</v>
      </c>
    </row>
    <row r="930" spans="2:30">
      <c r="B930">
        <v>4</v>
      </c>
      <c r="C930">
        <v>1020</v>
      </c>
      <c r="D930" t="s">
        <v>181</v>
      </c>
      <c r="E930">
        <v>14140113</v>
      </c>
      <c r="F930" t="s">
        <v>1026</v>
      </c>
      <c r="G930" t="s">
        <v>52</v>
      </c>
      <c r="H930" t="s">
        <v>44</v>
      </c>
      <c r="I930" t="s">
        <v>183</v>
      </c>
      <c r="J930" t="s">
        <v>45</v>
      </c>
      <c r="K930" t="s">
        <v>35</v>
      </c>
      <c r="L930" t="s">
        <v>36</v>
      </c>
      <c r="M930" t="s">
        <v>69</v>
      </c>
      <c r="N930">
        <v>9</v>
      </c>
      <c r="O930">
        <v>5</v>
      </c>
      <c r="P930">
        <v>0</v>
      </c>
      <c r="Q930">
        <v>7</v>
      </c>
      <c r="R930" s="4">
        <v>2169.61</v>
      </c>
      <c r="S930" t="str">
        <f t="shared" si="70"/>
        <v>PZ: Alta Crit.</v>
      </c>
      <c r="T930">
        <f t="shared" si="71"/>
        <v>0</v>
      </c>
      <c r="U930">
        <f t="shared" si="72"/>
        <v>0</v>
      </c>
      <c r="V930">
        <f t="shared" si="73"/>
        <v>1</v>
      </c>
      <c r="W930">
        <f t="shared" si="74"/>
        <v>0</v>
      </c>
      <c r="X930">
        <v>1</v>
      </c>
      <c r="Y930" s="2">
        <v>45768</v>
      </c>
      <c r="Z930" s="3" t="s">
        <v>70</v>
      </c>
      <c r="AA930" t="s">
        <v>39</v>
      </c>
      <c r="AB930" t="s">
        <v>40</v>
      </c>
      <c r="AC930" t="s">
        <v>40</v>
      </c>
      <c r="AD930" t="s">
        <v>184</v>
      </c>
    </row>
    <row r="931" spans="2:30">
      <c r="B931">
        <v>4</v>
      </c>
      <c r="C931">
        <v>1020</v>
      </c>
      <c r="D931" t="s">
        <v>388</v>
      </c>
      <c r="E931">
        <v>14140704</v>
      </c>
      <c r="F931" t="s">
        <v>1027</v>
      </c>
      <c r="G931" t="s">
        <v>31</v>
      </c>
      <c r="H931" t="s">
        <v>44</v>
      </c>
      <c r="I931" t="s">
        <v>390</v>
      </c>
      <c r="J931" t="s">
        <v>45</v>
      </c>
      <c r="K931" t="s">
        <v>35</v>
      </c>
      <c r="L931" t="s">
        <v>175</v>
      </c>
      <c r="M931" t="s">
        <v>69</v>
      </c>
      <c r="N931">
        <v>0</v>
      </c>
      <c r="O931">
        <v>0</v>
      </c>
      <c r="P931">
        <v>4</v>
      </c>
      <c r="Q931">
        <v>0</v>
      </c>
      <c r="R931">
        <v>0</v>
      </c>
      <c r="S931" t="str">
        <f t="shared" si="70"/>
        <v>PX: Baja Crit.</v>
      </c>
      <c r="T931">
        <f t="shared" si="71"/>
        <v>1</v>
      </c>
      <c r="U931">
        <f t="shared" si="72"/>
        <v>0</v>
      </c>
      <c r="V931">
        <f t="shared" si="73"/>
        <v>0</v>
      </c>
      <c r="W931">
        <f t="shared" si="74"/>
        <v>0</v>
      </c>
      <c r="X931">
        <v>1</v>
      </c>
      <c r="Y931" s="2">
        <v>45768</v>
      </c>
      <c r="Z931" s="3" t="s">
        <v>70</v>
      </c>
      <c r="AA931" t="s">
        <v>39</v>
      </c>
      <c r="AB931" t="s">
        <v>49</v>
      </c>
      <c r="AC931" s="5" t="s">
        <v>50</v>
      </c>
      <c r="AD931" t="s">
        <v>391</v>
      </c>
    </row>
    <row r="932" spans="2:30">
      <c r="B932">
        <v>4</v>
      </c>
      <c r="C932">
        <v>1020</v>
      </c>
      <c r="D932" t="s">
        <v>29</v>
      </c>
      <c r="E932">
        <v>14164234</v>
      </c>
      <c r="F932" t="s">
        <v>1028</v>
      </c>
      <c r="G932" t="s">
        <v>43</v>
      </c>
      <c r="H932" t="s">
        <v>60</v>
      </c>
      <c r="I932" t="s">
        <v>588</v>
      </c>
      <c r="J932" t="s">
        <v>45</v>
      </c>
      <c r="K932" t="s">
        <v>35</v>
      </c>
      <c r="L932" t="s">
        <v>36</v>
      </c>
      <c r="M932" t="s">
        <v>117</v>
      </c>
      <c r="N932">
        <v>12</v>
      </c>
      <c r="O932">
        <v>9</v>
      </c>
      <c r="P932">
        <v>0</v>
      </c>
      <c r="Q932">
        <v>12</v>
      </c>
      <c r="R932" s="4">
        <v>49884.55</v>
      </c>
      <c r="S932" t="str">
        <f t="shared" si="70"/>
        <v>PY: Media Crit.</v>
      </c>
      <c r="T932">
        <f t="shared" si="71"/>
        <v>0</v>
      </c>
      <c r="U932">
        <f t="shared" si="72"/>
        <v>0</v>
      </c>
      <c r="V932">
        <f t="shared" si="73"/>
        <v>1</v>
      </c>
      <c r="W932">
        <f t="shared" si="74"/>
        <v>0</v>
      </c>
      <c r="X932">
        <v>1</v>
      </c>
      <c r="Y932" s="2">
        <v>45768</v>
      </c>
      <c r="Z932" s="3" t="s">
        <v>118</v>
      </c>
      <c r="AA932" t="s">
        <v>39</v>
      </c>
      <c r="AB932" t="s">
        <v>40</v>
      </c>
      <c r="AC932" t="s">
        <v>40</v>
      </c>
      <c r="AD932" t="s">
        <v>589</v>
      </c>
    </row>
    <row r="933" spans="2:30">
      <c r="B933">
        <v>4</v>
      </c>
      <c r="C933">
        <v>1020</v>
      </c>
      <c r="D933" t="s">
        <v>388</v>
      </c>
      <c r="E933">
        <v>14169687</v>
      </c>
      <c r="F933" t="s">
        <v>1029</v>
      </c>
      <c r="G933" t="s">
        <v>52</v>
      </c>
      <c r="H933" t="s">
        <v>44</v>
      </c>
      <c r="I933" t="s">
        <v>390</v>
      </c>
      <c r="J933" t="s">
        <v>45</v>
      </c>
      <c r="K933" t="s">
        <v>35</v>
      </c>
      <c r="L933" t="s">
        <v>175</v>
      </c>
      <c r="M933" t="s">
        <v>69</v>
      </c>
      <c r="N933">
        <v>0</v>
      </c>
      <c r="O933">
        <v>0</v>
      </c>
      <c r="P933">
        <v>30</v>
      </c>
      <c r="Q933">
        <v>30</v>
      </c>
      <c r="R933" s="4">
        <v>1018.59</v>
      </c>
      <c r="S933" t="str">
        <f t="shared" si="70"/>
        <v>PZ: Alta Crit.</v>
      </c>
      <c r="T933">
        <f t="shared" si="71"/>
        <v>0</v>
      </c>
      <c r="U933">
        <f t="shared" si="72"/>
        <v>1</v>
      </c>
      <c r="V933">
        <f t="shared" si="73"/>
        <v>0</v>
      </c>
      <c r="W933">
        <f t="shared" si="74"/>
        <v>1</v>
      </c>
      <c r="X933">
        <v>1</v>
      </c>
      <c r="Y933" s="2">
        <v>45768</v>
      </c>
      <c r="Z933" s="3" t="s">
        <v>70</v>
      </c>
      <c r="AA933" t="s">
        <v>39</v>
      </c>
      <c r="AB933" t="s">
        <v>40</v>
      </c>
      <c r="AC933" t="s">
        <v>40</v>
      </c>
      <c r="AD933" t="s">
        <v>391</v>
      </c>
    </row>
    <row r="934" spans="2:30">
      <c r="B934">
        <v>4</v>
      </c>
      <c r="C934">
        <v>1020</v>
      </c>
      <c r="D934" t="s">
        <v>29</v>
      </c>
      <c r="E934">
        <v>14213976</v>
      </c>
      <c r="F934" t="s">
        <v>1030</v>
      </c>
      <c r="G934" t="s">
        <v>52</v>
      </c>
      <c r="H934" t="s">
        <v>32</v>
      </c>
      <c r="I934" t="s">
        <v>588</v>
      </c>
      <c r="J934" t="s">
        <v>45</v>
      </c>
      <c r="K934" t="s">
        <v>35</v>
      </c>
      <c r="L934" t="s">
        <v>36</v>
      </c>
      <c r="M934" t="s">
        <v>46</v>
      </c>
      <c r="N934">
        <v>2</v>
      </c>
      <c r="O934">
        <v>1</v>
      </c>
      <c r="P934">
        <v>0</v>
      </c>
      <c r="Q934">
        <v>1</v>
      </c>
      <c r="R934">
        <v>196.09</v>
      </c>
      <c r="S934" t="str">
        <f t="shared" si="70"/>
        <v>PZ: Alta Crit.</v>
      </c>
      <c r="T934">
        <f t="shared" si="71"/>
        <v>0</v>
      </c>
      <c r="U934">
        <f t="shared" si="72"/>
        <v>0</v>
      </c>
      <c r="V934">
        <f t="shared" si="73"/>
        <v>1</v>
      </c>
      <c r="W934">
        <f t="shared" si="74"/>
        <v>0</v>
      </c>
      <c r="X934">
        <v>1</v>
      </c>
      <c r="Y934" s="2">
        <v>45768</v>
      </c>
      <c r="Z934" s="3" t="s">
        <v>47</v>
      </c>
      <c r="AA934" t="s">
        <v>39</v>
      </c>
      <c r="AB934" t="s">
        <v>40</v>
      </c>
      <c r="AC934" t="s">
        <v>40</v>
      </c>
      <c r="AD934" t="s">
        <v>589</v>
      </c>
    </row>
    <row r="935" spans="2:30">
      <c r="B935">
        <v>4</v>
      </c>
      <c r="C935">
        <v>1020</v>
      </c>
      <c r="D935" t="s">
        <v>172</v>
      </c>
      <c r="E935">
        <v>14222075</v>
      </c>
      <c r="F935" t="s">
        <v>1031</v>
      </c>
      <c r="G935" t="s">
        <v>52</v>
      </c>
      <c r="H935" t="s">
        <v>32</v>
      </c>
      <c r="I935" t="s">
        <v>584</v>
      </c>
      <c r="J935" t="s">
        <v>45</v>
      </c>
      <c r="K935" t="s">
        <v>35</v>
      </c>
      <c r="L935" t="s">
        <v>175</v>
      </c>
      <c r="M935" t="s">
        <v>117</v>
      </c>
      <c r="N935">
        <v>0</v>
      </c>
      <c r="O935">
        <v>0</v>
      </c>
      <c r="P935">
        <v>0</v>
      </c>
      <c r="Q935">
        <v>14</v>
      </c>
      <c r="R935" s="4">
        <v>130012.98</v>
      </c>
      <c r="S935" t="str">
        <f t="shared" si="70"/>
        <v>PZ: Alta Crit.</v>
      </c>
      <c r="T935">
        <f t="shared" si="71"/>
        <v>0</v>
      </c>
      <c r="U935">
        <f t="shared" si="72"/>
        <v>0</v>
      </c>
      <c r="V935">
        <f t="shared" si="73"/>
        <v>0</v>
      </c>
      <c r="W935">
        <f t="shared" si="74"/>
        <v>1</v>
      </c>
      <c r="X935">
        <v>1</v>
      </c>
      <c r="Y935" s="2">
        <v>45768</v>
      </c>
      <c r="Z935" s="3" t="s">
        <v>118</v>
      </c>
      <c r="AA935" t="s">
        <v>39</v>
      </c>
      <c r="AB935" t="s">
        <v>49</v>
      </c>
      <c r="AC935" s="5" t="s">
        <v>50</v>
      </c>
      <c r="AD935" t="s">
        <v>585</v>
      </c>
    </row>
    <row r="936" spans="2:30">
      <c r="B936">
        <v>4</v>
      </c>
      <c r="C936">
        <v>1020</v>
      </c>
      <c r="D936" t="s">
        <v>388</v>
      </c>
      <c r="E936">
        <v>14227953</v>
      </c>
      <c r="F936" t="s">
        <v>1032</v>
      </c>
      <c r="G936" t="s">
        <v>43</v>
      </c>
      <c r="H936" t="s">
        <v>44</v>
      </c>
      <c r="I936" t="s">
        <v>390</v>
      </c>
      <c r="J936" t="s">
        <v>45</v>
      </c>
      <c r="K936" t="s">
        <v>35</v>
      </c>
      <c r="L936" t="s">
        <v>175</v>
      </c>
      <c r="M936" t="s">
        <v>117</v>
      </c>
      <c r="N936">
        <v>0</v>
      </c>
      <c r="O936">
        <v>0</v>
      </c>
      <c r="P936">
        <v>10</v>
      </c>
      <c r="Q936">
        <v>10</v>
      </c>
      <c r="R936" s="4">
        <v>3500</v>
      </c>
      <c r="S936" t="str">
        <f t="shared" si="70"/>
        <v>PY: Media Crit.</v>
      </c>
      <c r="T936">
        <f t="shared" si="71"/>
        <v>0</v>
      </c>
      <c r="U936">
        <f t="shared" si="72"/>
        <v>1</v>
      </c>
      <c r="V936">
        <f t="shared" si="73"/>
        <v>0</v>
      </c>
      <c r="W936">
        <f t="shared" si="74"/>
        <v>1</v>
      </c>
      <c r="X936">
        <v>1</v>
      </c>
      <c r="Y936" s="2">
        <v>45768</v>
      </c>
      <c r="Z936" s="3" t="s">
        <v>118</v>
      </c>
      <c r="AA936" t="s">
        <v>39</v>
      </c>
      <c r="AB936" t="s">
        <v>40</v>
      </c>
      <c r="AC936" t="s">
        <v>40</v>
      </c>
      <c r="AD936" t="s">
        <v>391</v>
      </c>
    </row>
    <row r="937" spans="2:30">
      <c r="B937">
        <v>4</v>
      </c>
      <c r="C937">
        <v>1020</v>
      </c>
      <c r="D937" t="s">
        <v>388</v>
      </c>
      <c r="E937">
        <v>14230458</v>
      </c>
      <c r="F937" t="s">
        <v>1033</v>
      </c>
      <c r="G937" t="s">
        <v>31</v>
      </c>
      <c r="H937" t="s">
        <v>44</v>
      </c>
      <c r="I937" t="s">
        <v>390</v>
      </c>
      <c r="J937" t="s">
        <v>45</v>
      </c>
      <c r="K937" t="s">
        <v>35</v>
      </c>
      <c r="L937" t="s">
        <v>175</v>
      </c>
      <c r="M937" t="s">
        <v>88</v>
      </c>
      <c r="N937">
        <v>0</v>
      </c>
      <c r="O937">
        <v>0</v>
      </c>
      <c r="P937">
        <v>8</v>
      </c>
      <c r="Q937">
        <v>8</v>
      </c>
      <c r="R937">
        <v>80.81</v>
      </c>
      <c r="S937" t="str">
        <f t="shared" si="70"/>
        <v>PX: Baja Crit.</v>
      </c>
      <c r="T937">
        <f t="shared" si="71"/>
        <v>0</v>
      </c>
      <c r="U937">
        <f t="shared" si="72"/>
        <v>1</v>
      </c>
      <c r="V937">
        <f t="shared" si="73"/>
        <v>0</v>
      </c>
      <c r="W937">
        <f t="shared" si="74"/>
        <v>1</v>
      </c>
      <c r="X937">
        <v>1</v>
      </c>
      <c r="Y937" s="2">
        <v>45768</v>
      </c>
      <c r="Z937" s="3" t="s">
        <v>89</v>
      </c>
      <c r="AA937" t="s">
        <v>39</v>
      </c>
      <c r="AB937" t="s">
        <v>40</v>
      </c>
      <c r="AC937" t="s">
        <v>40</v>
      </c>
      <c r="AD937" t="s">
        <v>391</v>
      </c>
    </row>
    <row r="938" spans="2:30">
      <c r="B938">
        <v>4</v>
      </c>
      <c r="C938">
        <v>1020</v>
      </c>
      <c r="D938" t="s">
        <v>388</v>
      </c>
      <c r="E938">
        <v>14270173</v>
      </c>
      <c r="F938" t="s">
        <v>1034</v>
      </c>
      <c r="G938" t="s">
        <v>52</v>
      </c>
      <c r="H938" t="s">
        <v>44</v>
      </c>
      <c r="I938" t="s">
        <v>390</v>
      </c>
      <c r="J938" t="s">
        <v>45</v>
      </c>
      <c r="K938" t="s">
        <v>35</v>
      </c>
      <c r="L938" t="s">
        <v>175</v>
      </c>
      <c r="M938" t="s">
        <v>69</v>
      </c>
      <c r="N938">
        <v>0</v>
      </c>
      <c r="O938">
        <v>0</v>
      </c>
      <c r="P938">
        <v>1</v>
      </c>
      <c r="Q938">
        <v>16</v>
      </c>
      <c r="R938" s="4">
        <v>41363.03</v>
      </c>
      <c r="S938" t="str">
        <f t="shared" si="70"/>
        <v>PZ: Alta Crit.</v>
      </c>
      <c r="T938">
        <f t="shared" si="71"/>
        <v>0</v>
      </c>
      <c r="U938">
        <f t="shared" si="72"/>
        <v>0</v>
      </c>
      <c r="V938">
        <f t="shared" si="73"/>
        <v>0</v>
      </c>
      <c r="W938">
        <f t="shared" si="74"/>
        <v>1</v>
      </c>
      <c r="X938">
        <v>1</v>
      </c>
      <c r="Y938" s="2">
        <v>45768</v>
      </c>
      <c r="Z938" s="3" t="s">
        <v>70</v>
      </c>
      <c r="AA938" t="s">
        <v>39</v>
      </c>
      <c r="AB938" t="s">
        <v>40</v>
      </c>
      <c r="AC938" t="s">
        <v>40</v>
      </c>
      <c r="AD938" t="s">
        <v>391</v>
      </c>
    </row>
    <row r="939" spans="2:30">
      <c r="B939">
        <v>4</v>
      </c>
      <c r="C939">
        <v>1020</v>
      </c>
      <c r="D939" t="s">
        <v>181</v>
      </c>
      <c r="E939">
        <v>14298985</v>
      </c>
      <c r="F939" t="s">
        <v>1035</v>
      </c>
      <c r="G939" t="s">
        <v>43</v>
      </c>
      <c r="H939" t="s">
        <v>60</v>
      </c>
      <c r="I939" t="s">
        <v>183</v>
      </c>
      <c r="J939" t="s">
        <v>45</v>
      </c>
      <c r="K939" t="s">
        <v>35</v>
      </c>
      <c r="L939" t="s">
        <v>36</v>
      </c>
      <c r="M939" t="s">
        <v>117</v>
      </c>
      <c r="N939">
        <v>12</v>
      </c>
      <c r="O939">
        <v>4</v>
      </c>
      <c r="P939">
        <v>0</v>
      </c>
      <c r="Q939">
        <v>12</v>
      </c>
      <c r="R939" s="4">
        <v>2757.49</v>
      </c>
      <c r="S939" t="str">
        <f t="shared" si="70"/>
        <v>PY: Media Crit.</v>
      </c>
      <c r="T939">
        <f t="shared" si="71"/>
        <v>0</v>
      </c>
      <c r="U939">
        <f t="shared" si="72"/>
        <v>0</v>
      </c>
      <c r="V939">
        <f t="shared" si="73"/>
        <v>1</v>
      </c>
      <c r="W939">
        <f t="shared" si="74"/>
        <v>0</v>
      </c>
      <c r="X939">
        <v>1</v>
      </c>
      <c r="Y939" s="2">
        <v>45768</v>
      </c>
      <c r="Z939" s="3" t="s">
        <v>118</v>
      </c>
      <c r="AA939" t="s">
        <v>39</v>
      </c>
      <c r="AB939" t="s">
        <v>40</v>
      </c>
      <c r="AC939" t="s">
        <v>40</v>
      </c>
      <c r="AD939" t="s">
        <v>184</v>
      </c>
    </row>
    <row r="940" spans="2:30">
      <c r="B940">
        <v>4</v>
      </c>
      <c r="C940">
        <v>1020</v>
      </c>
      <c r="D940" t="s">
        <v>181</v>
      </c>
      <c r="E940">
        <v>14298993</v>
      </c>
      <c r="F940" t="s">
        <v>1036</v>
      </c>
      <c r="G940" t="s">
        <v>43</v>
      </c>
      <c r="H940" t="s">
        <v>60</v>
      </c>
      <c r="I940" t="s">
        <v>183</v>
      </c>
      <c r="J940" t="s">
        <v>45</v>
      </c>
      <c r="K940" t="s">
        <v>35</v>
      </c>
      <c r="L940" t="s">
        <v>36</v>
      </c>
      <c r="M940" t="s">
        <v>117</v>
      </c>
      <c r="N940">
        <v>12</v>
      </c>
      <c r="O940">
        <v>4</v>
      </c>
      <c r="P940">
        <v>0</v>
      </c>
      <c r="Q940">
        <v>10</v>
      </c>
      <c r="R940" s="4">
        <v>3175.01</v>
      </c>
      <c r="S940" t="str">
        <f t="shared" si="70"/>
        <v>PY: Media Crit.</v>
      </c>
      <c r="T940">
        <f t="shared" si="71"/>
        <v>0</v>
      </c>
      <c r="U940">
        <f t="shared" si="72"/>
        <v>0</v>
      </c>
      <c r="V940">
        <f t="shared" si="73"/>
        <v>1</v>
      </c>
      <c r="W940">
        <f t="shared" si="74"/>
        <v>0</v>
      </c>
      <c r="X940">
        <v>1</v>
      </c>
      <c r="Y940" s="2">
        <v>45768</v>
      </c>
      <c r="Z940" s="3" t="s">
        <v>118</v>
      </c>
      <c r="AA940" t="s">
        <v>39</v>
      </c>
      <c r="AB940" t="s">
        <v>40</v>
      </c>
      <c r="AC940" t="s">
        <v>40</v>
      </c>
      <c r="AD940" t="s">
        <v>184</v>
      </c>
    </row>
    <row r="941" spans="2:30">
      <c r="B941">
        <v>4</v>
      </c>
      <c r="C941">
        <v>1020</v>
      </c>
      <c r="D941" t="s">
        <v>181</v>
      </c>
      <c r="E941">
        <v>14298994</v>
      </c>
      <c r="F941" t="s">
        <v>1037</v>
      </c>
      <c r="G941" t="s">
        <v>43</v>
      </c>
      <c r="H941" t="s">
        <v>60</v>
      </c>
      <c r="I941" t="s">
        <v>183</v>
      </c>
      <c r="J941" t="s">
        <v>45</v>
      </c>
      <c r="K941" t="s">
        <v>35</v>
      </c>
      <c r="L941" t="s">
        <v>36</v>
      </c>
      <c r="M941" t="s">
        <v>117</v>
      </c>
      <c r="N941">
        <v>3</v>
      </c>
      <c r="O941">
        <v>1</v>
      </c>
      <c r="P941">
        <v>0</v>
      </c>
      <c r="Q941">
        <v>5</v>
      </c>
      <c r="R941" s="4">
        <v>2168.7399999999998</v>
      </c>
      <c r="S941" t="str">
        <f t="shared" si="70"/>
        <v>PY: Media Crit.</v>
      </c>
      <c r="T941">
        <f t="shared" si="71"/>
        <v>0</v>
      </c>
      <c r="U941">
        <f t="shared" si="72"/>
        <v>0</v>
      </c>
      <c r="V941">
        <f t="shared" si="73"/>
        <v>0</v>
      </c>
      <c r="W941">
        <f t="shared" si="74"/>
        <v>1</v>
      </c>
      <c r="X941">
        <v>1</v>
      </c>
      <c r="Y941" s="2">
        <v>45768</v>
      </c>
      <c r="Z941" s="3" t="s">
        <v>118</v>
      </c>
      <c r="AA941" t="s">
        <v>39</v>
      </c>
      <c r="AB941" t="s">
        <v>40</v>
      </c>
      <c r="AC941" t="s">
        <v>40</v>
      </c>
      <c r="AD941" t="s">
        <v>184</v>
      </c>
    </row>
    <row r="942" spans="2:30">
      <c r="B942">
        <v>4</v>
      </c>
      <c r="C942">
        <v>1020</v>
      </c>
      <c r="D942" t="s">
        <v>29</v>
      </c>
      <c r="E942">
        <v>14304055</v>
      </c>
      <c r="F942" t="s">
        <v>1038</v>
      </c>
      <c r="G942" t="s">
        <v>52</v>
      </c>
      <c r="H942" t="s">
        <v>44</v>
      </c>
      <c r="I942" t="s">
        <v>588</v>
      </c>
      <c r="J942" t="s">
        <v>45</v>
      </c>
      <c r="K942" t="s">
        <v>35</v>
      </c>
      <c r="L942" t="s">
        <v>36</v>
      </c>
      <c r="M942" t="s">
        <v>55</v>
      </c>
      <c r="N942">
        <v>100</v>
      </c>
      <c r="O942">
        <v>51</v>
      </c>
      <c r="P942">
        <v>0</v>
      </c>
      <c r="Q942">
        <v>0</v>
      </c>
      <c r="R942">
        <v>0</v>
      </c>
      <c r="S942" t="str">
        <f t="shared" si="70"/>
        <v>PZ: Alta Crit.</v>
      </c>
      <c r="T942">
        <f t="shared" si="71"/>
        <v>1</v>
      </c>
      <c r="U942">
        <f t="shared" si="72"/>
        <v>0</v>
      </c>
      <c r="V942">
        <f t="shared" si="73"/>
        <v>0</v>
      </c>
      <c r="W942">
        <f t="shared" si="74"/>
        <v>0</v>
      </c>
      <c r="X942">
        <v>1</v>
      </c>
      <c r="Y942" s="2">
        <v>45768</v>
      </c>
      <c r="Z942" s="3" t="s">
        <v>56</v>
      </c>
      <c r="AA942" t="s">
        <v>39</v>
      </c>
      <c r="AB942" t="s">
        <v>76</v>
      </c>
      <c r="AC942" s="5" t="s">
        <v>77</v>
      </c>
      <c r="AD942" t="s">
        <v>589</v>
      </c>
    </row>
    <row r="943" spans="2:30">
      <c r="B943">
        <v>4</v>
      </c>
      <c r="C943">
        <v>1020</v>
      </c>
      <c r="D943" t="s">
        <v>29</v>
      </c>
      <c r="E943">
        <v>14304063</v>
      </c>
      <c r="F943" t="s">
        <v>1039</v>
      </c>
      <c r="G943" t="s">
        <v>43</v>
      </c>
      <c r="H943" t="s">
        <v>32</v>
      </c>
      <c r="I943" t="s">
        <v>588</v>
      </c>
      <c r="J943" t="s">
        <v>45</v>
      </c>
      <c r="K943" t="s">
        <v>35</v>
      </c>
      <c r="L943" t="s">
        <v>36</v>
      </c>
      <c r="M943" t="s">
        <v>37</v>
      </c>
      <c r="N943">
        <v>100</v>
      </c>
      <c r="O943">
        <v>51</v>
      </c>
      <c r="P943">
        <v>0</v>
      </c>
      <c r="Q943">
        <v>50</v>
      </c>
      <c r="R943">
        <v>108.5</v>
      </c>
      <c r="S943" t="str">
        <f t="shared" si="70"/>
        <v>PY: Media Crit.</v>
      </c>
      <c r="T943">
        <f t="shared" si="71"/>
        <v>0</v>
      </c>
      <c r="U943">
        <f t="shared" si="72"/>
        <v>0</v>
      </c>
      <c r="V943">
        <f t="shared" si="73"/>
        <v>1</v>
      </c>
      <c r="W943">
        <f t="shared" si="74"/>
        <v>0</v>
      </c>
      <c r="X943">
        <v>1</v>
      </c>
      <c r="Y943" s="2">
        <v>45768</v>
      </c>
      <c r="Z943" s="3" t="s">
        <v>38</v>
      </c>
      <c r="AA943" t="s">
        <v>39</v>
      </c>
      <c r="AB943" t="s">
        <v>49</v>
      </c>
      <c r="AC943" s="5" t="s">
        <v>50</v>
      </c>
      <c r="AD943" t="s">
        <v>589</v>
      </c>
    </row>
    <row r="944" spans="2:30">
      <c r="B944">
        <v>4</v>
      </c>
      <c r="C944">
        <v>1020</v>
      </c>
      <c r="D944" t="s">
        <v>29</v>
      </c>
      <c r="E944">
        <v>14320782</v>
      </c>
      <c r="F944" t="s">
        <v>1040</v>
      </c>
      <c r="G944" t="s">
        <v>43</v>
      </c>
      <c r="H944" t="s">
        <v>44</v>
      </c>
      <c r="I944" t="s">
        <v>588</v>
      </c>
      <c r="J944" t="s">
        <v>45</v>
      </c>
      <c r="K944" t="s">
        <v>35</v>
      </c>
      <c r="L944" t="s">
        <v>36</v>
      </c>
      <c r="M944" t="s">
        <v>46</v>
      </c>
      <c r="N944">
        <v>3</v>
      </c>
      <c r="O944">
        <v>2</v>
      </c>
      <c r="P944">
        <v>0</v>
      </c>
      <c r="Q944">
        <v>0</v>
      </c>
      <c r="R944">
        <v>0</v>
      </c>
      <c r="S944" t="str">
        <f t="shared" si="70"/>
        <v>PY: Media Crit.</v>
      </c>
      <c r="T944">
        <f t="shared" si="71"/>
        <v>1</v>
      </c>
      <c r="U944">
        <f t="shared" si="72"/>
        <v>0</v>
      </c>
      <c r="V944">
        <f t="shared" si="73"/>
        <v>0</v>
      </c>
      <c r="W944">
        <f t="shared" si="74"/>
        <v>0</v>
      </c>
      <c r="X944">
        <v>1</v>
      </c>
      <c r="Y944" s="2">
        <v>45768</v>
      </c>
      <c r="Z944" s="3" t="s">
        <v>47</v>
      </c>
      <c r="AA944" t="s">
        <v>39</v>
      </c>
      <c r="AB944" t="s">
        <v>76</v>
      </c>
      <c r="AC944" s="5" t="s">
        <v>77</v>
      </c>
      <c r="AD944" t="s">
        <v>589</v>
      </c>
    </row>
    <row r="945" spans="2:30">
      <c r="B945">
        <v>3</v>
      </c>
      <c r="C945">
        <v>1020</v>
      </c>
      <c r="D945" t="s">
        <v>181</v>
      </c>
      <c r="E945">
        <v>10021098</v>
      </c>
      <c r="F945" t="s">
        <v>1041</v>
      </c>
      <c r="G945" t="s">
        <v>43</v>
      </c>
      <c r="H945" t="s">
        <v>32</v>
      </c>
      <c r="I945" t="s">
        <v>183</v>
      </c>
      <c r="J945" t="s">
        <v>45</v>
      </c>
      <c r="K945" t="s">
        <v>35</v>
      </c>
      <c r="L945" t="s">
        <v>36</v>
      </c>
      <c r="M945" t="s">
        <v>46</v>
      </c>
      <c r="N945">
        <v>15</v>
      </c>
      <c r="O945">
        <v>11</v>
      </c>
      <c r="P945">
        <v>2</v>
      </c>
      <c r="Q945">
        <v>5</v>
      </c>
      <c r="R945">
        <v>83.96</v>
      </c>
      <c r="S945" t="str">
        <f t="shared" si="70"/>
        <v>PY: Media Crit.</v>
      </c>
      <c r="T945">
        <f t="shared" si="71"/>
        <v>0</v>
      </c>
      <c r="U945">
        <f t="shared" si="72"/>
        <v>0</v>
      </c>
      <c r="V945">
        <f t="shared" si="73"/>
        <v>1</v>
      </c>
      <c r="W945">
        <f t="shared" si="74"/>
        <v>0</v>
      </c>
      <c r="X945">
        <v>1</v>
      </c>
      <c r="Y945" s="2">
        <v>45768</v>
      </c>
      <c r="Z945" s="3" t="s">
        <v>47</v>
      </c>
      <c r="AA945" t="s">
        <v>39</v>
      </c>
      <c r="AB945" t="s">
        <v>49</v>
      </c>
      <c r="AC945" s="5" t="s">
        <v>50</v>
      </c>
      <c r="AD945" t="s">
        <v>184</v>
      </c>
    </row>
    <row r="946" spans="2:30">
      <c r="B946">
        <v>3</v>
      </c>
      <c r="C946">
        <v>1020</v>
      </c>
      <c r="D946" t="s">
        <v>181</v>
      </c>
      <c r="E946">
        <v>10023487</v>
      </c>
      <c r="F946" t="s">
        <v>1042</v>
      </c>
      <c r="G946" t="s">
        <v>52</v>
      </c>
      <c r="H946" t="s">
        <v>44</v>
      </c>
      <c r="I946" t="s">
        <v>183</v>
      </c>
      <c r="J946" t="s">
        <v>34</v>
      </c>
      <c r="K946" t="s">
        <v>80</v>
      </c>
      <c r="L946" t="s">
        <v>36</v>
      </c>
      <c r="M946" t="s">
        <v>46</v>
      </c>
      <c r="N946">
        <v>55</v>
      </c>
      <c r="O946">
        <v>55</v>
      </c>
      <c r="P946">
        <v>55</v>
      </c>
      <c r="Q946">
        <v>55</v>
      </c>
      <c r="R946" s="4">
        <v>2991.77</v>
      </c>
      <c r="S946" t="str">
        <f t="shared" si="70"/>
        <v>PZ: Alta Crit.</v>
      </c>
      <c r="T946">
        <f t="shared" si="71"/>
        <v>0</v>
      </c>
      <c r="U946">
        <f t="shared" si="72"/>
        <v>1</v>
      </c>
      <c r="V946">
        <f t="shared" si="73"/>
        <v>0</v>
      </c>
      <c r="W946">
        <f t="shared" si="74"/>
        <v>0</v>
      </c>
      <c r="X946">
        <v>1</v>
      </c>
      <c r="Y946" s="2">
        <v>45768</v>
      </c>
      <c r="Z946" s="3" t="s">
        <v>47</v>
      </c>
      <c r="AA946" t="s">
        <v>39</v>
      </c>
      <c r="AB946" t="s">
        <v>40</v>
      </c>
      <c r="AC946" t="s">
        <v>40</v>
      </c>
      <c r="AD946" t="s">
        <v>184</v>
      </c>
    </row>
    <row r="947" spans="2:30">
      <c r="B947">
        <v>3</v>
      </c>
      <c r="C947">
        <v>1020</v>
      </c>
      <c r="D947" t="s">
        <v>693</v>
      </c>
      <c r="E947">
        <v>10024135</v>
      </c>
      <c r="F947" t="s">
        <v>1043</v>
      </c>
      <c r="G947" t="s">
        <v>43</v>
      </c>
      <c r="H947" t="s">
        <v>32</v>
      </c>
      <c r="I947" t="s">
        <v>695</v>
      </c>
      <c r="J947" t="s">
        <v>45</v>
      </c>
      <c r="K947" t="s">
        <v>35</v>
      </c>
      <c r="L947" t="s">
        <v>175</v>
      </c>
      <c r="M947" t="s">
        <v>88</v>
      </c>
      <c r="N947">
        <v>0</v>
      </c>
      <c r="O947">
        <v>0</v>
      </c>
      <c r="P947">
        <v>0</v>
      </c>
      <c r="Q947">
        <v>0</v>
      </c>
      <c r="R947">
        <v>0</v>
      </c>
      <c r="S947" t="str">
        <f t="shared" si="70"/>
        <v>PY: Media Crit.</v>
      </c>
      <c r="T947">
        <f t="shared" si="71"/>
        <v>1</v>
      </c>
      <c r="U947">
        <f t="shared" si="72"/>
        <v>0</v>
      </c>
      <c r="V947">
        <f t="shared" si="73"/>
        <v>0</v>
      </c>
      <c r="W947">
        <f t="shared" si="74"/>
        <v>0</v>
      </c>
      <c r="X947">
        <v>1</v>
      </c>
      <c r="Y947" s="2">
        <v>45768</v>
      </c>
      <c r="Z947" s="3" t="s">
        <v>89</v>
      </c>
      <c r="AA947" t="s">
        <v>39</v>
      </c>
      <c r="AB947" t="s">
        <v>40</v>
      </c>
      <c r="AC947" t="s">
        <v>40</v>
      </c>
      <c r="AD947" t="s">
        <v>696</v>
      </c>
    </row>
    <row r="948" spans="2:30">
      <c r="B948">
        <v>3</v>
      </c>
      <c r="C948">
        <v>1020</v>
      </c>
      <c r="D948" t="s">
        <v>181</v>
      </c>
      <c r="E948">
        <v>10040662</v>
      </c>
      <c r="F948" t="s">
        <v>1044</v>
      </c>
      <c r="G948" t="s">
        <v>31</v>
      </c>
      <c r="H948" t="s">
        <v>32</v>
      </c>
      <c r="I948" t="s">
        <v>183</v>
      </c>
      <c r="J948" t="s">
        <v>45</v>
      </c>
      <c r="K948" t="s">
        <v>35</v>
      </c>
      <c r="L948" t="s">
        <v>36</v>
      </c>
      <c r="M948" t="s">
        <v>37</v>
      </c>
      <c r="N948">
        <v>6</v>
      </c>
      <c r="O948">
        <v>5</v>
      </c>
      <c r="P948">
        <v>1</v>
      </c>
      <c r="Q948">
        <v>6</v>
      </c>
      <c r="R948">
        <v>108.72</v>
      </c>
      <c r="S948" t="str">
        <f t="shared" si="70"/>
        <v>PX: Baja Crit.</v>
      </c>
      <c r="T948">
        <f t="shared" si="71"/>
        <v>0</v>
      </c>
      <c r="U948">
        <f t="shared" si="72"/>
        <v>0</v>
      </c>
      <c r="V948">
        <f t="shared" si="73"/>
        <v>1</v>
      </c>
      <c r="W948">
        <f t="shared" si="74"/>
        <v>0</v>
      </c>
      <c r="X948">
        <v>1</v>
      </c>
      <c r="Y948" s="2">
        <v>45768</v>
      </c>
      <c r="Z948" s="3" t="s">
        <v>38</v>
      </c>
      <c r="AA948" t="s">
        <v>39</v>
      </c>
      <c r="AB948" t="s">
        <v>40</v>
      </c>
      <c r="AC948" t="s">
        <v>40</v>
      </c>
      <c r="AD948" t="s">
        <v>184</v>
      </c>
    </row>
    <row r="949" spans="2:30">
      <c r="B949">
        <v>3</v>
      </c>
      <c r="C949">
        <v>1020</v>
      </c>
      <c r="D949" t="s">
        <v>384</v>
      </c>
      <c r="E949">
        <v>10040977</v>
      </c>
      <c r="F949" t="s">
        <v>1045</v>
      </c>
      <c r="G949" t="s">
        <v>43</v>
      </c>
      <c r="H949" t="s">
        <v>32</v>
      </c>
      <c r="I949" t="s">
        <v>386</v>
      </c>
      <c r="J949" t="s">
        <v>45</v>
      </c>
      <c r="K949" t="s">
        <v>35</v>
      </c>
      <c r="L949" t="s">
        <v>175</v>
      </c>
      <c r="M949" t="s">
        <v>69</v>
      </c>
      <c r="N949">
        <v>0</v>
      </c>
      <c r="O949">
        <v>0</v>
      </c>
      <c r="P949">
        <v>0</v>
      </c>
      <c r="Q949">
        <v>2</v>
      </c>
      <c r="R949">
        <v>379.54</v>
      </c>
      <c r="S949" t="str">
        <f t="shared" si="70"/>
        <v>PY: Media Crit.</v>
      </c>
      <c r="T949">
        <f t="shared" si="71"/>
        <v>0</v>
      </c>
      <c r="U949">
        <f t="shared" si="72"/>
        <v>0</v>
      </c>
      <c r="V949">
        <f t="shared" si="73"/>
        <v>0</v>
      </c>
      <c r="W949">
        <f t="shared" si="74"/>
        <v>1</v>
      </c>
      <c r="X949">
        <v>1</v>
      </c>
      <c r="Y949" s="2">
        <v>45768</v>
      </c>
      <c r="Z949" s="3" t="s">
        <v>70</v>
      </c>
      <c r="AA949" t="s">
        <v>39</v>
      </c>
      <c r="AB949" t="s">
        <v>40</v>
      </c>
      <c r="AC949" t="s">
        <v>40</v>
      </c>
      <c r="AD949" t="s">
        <v>387</v>
      </c>
    </row>
    <row r="950" spans="2:30">
      <c r="B950">
        <v>3</v>
      </c>
      <c r="C950">
        <v>1020</v>
      </c>
      <c r="D950" t="s">
        <v>181</v>
      </c>
      <c r="E950">
        <v>10041033</v>
      </c>
      <c r="F950" t="s">
        <v>1046</v>
      </c>
      <c r="G950" t="s">
        <v>43</v>
      </c>
      <c r="H950" t="s">
        <v>32</v>
      </c>
      <c r="I950" t="s">
        <v>183</v>
      </c>
      <c r="J950" t="s">
        <v>45</v>
      </c>
      <c r="K950" t="s">
        <v>35</v>
      </c>
      <c r="L950" t="s">
        <v>36</v>
      </c>
      <c r="M950" t="s">
        <v>69</v>
      </c>
      <c r="N950">
        <v>7</v>
      </c>
      <c r="O950">
        <v>5</v>
      </c>
      <c r="P950">
        <v>2</v>
      </c>
      <c r="Q950">
        <v>1</v>
      </c>
      <c r="R950">
        <v>513.6</v>
      </c>
      <c r="S950" t="str">
        <f t="shared" si="70"/>
        <v>PY: Media Crit.</v>
      </c>
      <c r="T950">
        <f t="shared" si="71"/>
        <v>0</v>
      </c>
      <c r="U950">
        <f t="shared" si="72"/>
        <v>1</v>
      </c>
      <c r="V950">
        <f t="shared" si="73"/>
        <v>0</v>
      </c>
      <c r="W950">
        <f t="shared" si="74"/>
        <v>0</v>
      </c>
      <c r="X950">
        <v>1</v>
      </c>
      <c r="Y950" s="2">
        <v>45768</v>
      </c>
      <c r="Z950" s="3" t="s">
        <v>70</v>
      </c>
      <c r="AA950" t="s">
        <v>39</v>
      </c>
      <c r="AB950" t="s">
        <v>49</v>
      </c>
      <c r="AC950" s="5" t="s">
        <v>50</v>
      </c>
      <c r="AD950" t="s">
        <v>184</v>
      </c>
    </row>
    <row r="951" spans="2:30">
      <c r="B951">
        <v>3</v>
      </c>
      <c r="C951">
        <v>1020</v>
      </c>
      <c r="D951" t="s">
        <v>181</v>
      </c>
      <c r="E951">
        <v>10041110</v>
      </c>
      <c r="F951" t="s">
        <v>1047</v>
      </c>
      <c r="G951" t="s">
        <v>52</v>
      </c>
      <c r="H951" t="s">
        <v>44</v>
      </c>
      <c r="I951" t="s">
        <v>183</v>
      </c>
      <c r="J951" t="s">
        <v>45</v>
      </c>
      <c r="K951" t="s">
        <v>252</v>
      </c>
      <c r="L951" t="s">
        <v>36</v>
      </c>
      <c r="M951" t="s">
        <v>37</v>
      </c>
      <c r="N951">
        <v>384</v>
      </c>
      <c r="O951">
        <v>193</v>
      </c>
      <c r="P951">
        <v>96</v>
      </c>
      <c r="Q951">
        <v>384</v>
      </c>
      <c r="R951" s="4">
        <v>6105.7</v>
      </c>
      <c r="S951" t="str">
        <f t="shared" si="70"/>
        <v>PZ: Alta Crit.</v>
      </c>
      <c r="T951">
        <f t="shared" si="71"/>
        <v>0</v>
      </c>
      <c r="U951">
        <f t="shared" si="72"/>
        <v>0</v>
      </c>
      <c r="V951">
        <f t="shared" si="73"/>
        <v>1</v>
      </c>
      <c r="W951">
        <f t="shared" si="74"/>
        <v>0</v>
      </c>
      <c r="X951">
        <v>1</v>
      </c>
      <c r="Y951" s="2">
        <v>45768</v>
      </c>
      <c r="Z951" s="3" t="s">
        <v>38</v>
      </c>
      <c r="AA951" t="s">
        <v>39</v>
      </c>
      <c r="AB951" t="s">
        <v>40</v>
      </c>
      <c r="AC951" t="s">
        <v>40</v>
      </c>
      <c r="AD951" t="s">
        <v>184</v>
      </c>
    </row>
    <row r="952" spans="2:30">
      <c r="B952">
        <v>3</v>
      </c>
      <c r="C952">
        <v>1020</v>
      </c>
      <c r="D952" t="s">
        <v>181</v>
      </c>
      <c r="E952">
        <v>10041708</v>
      </c>
      <c r="F952" t="s">
        <v>1048</v>
      </c>
      <c r="G952" t="s">
        <v>43</v>
      </c>
      <c r="H952" t="s">
        <v>32</v>
      </c>
      <c r="I952" t="s">
        <v>183</v>
      </c>
      <c r="J952" t="s">
        <v>45</v>
      </c>
      <c r="K952" t="s">
        <v>35</v>
      </c>
      <c r="L952" t="s">
        <v>36</v>
      </c>
      <c r="M952" t="s">
        <v>37</v>
      </c>
      <c r="N952">
        <v>3</v>
      </c>
      <c r="O952">
        <v>1</v>
      </c>
      <c r="P952">
        <v>1</v>
      </c>
      <c r="Q952">
        <v>1</v>
      </c>
      <c r="R952">
        <v>157.54</v>
      </c>
      <c r="S952" t="str">
        <f t="shared" si="70"/>
        <v>PY: Media Crit.</v>
      </c>
      <c r="T952">
        <f t="shared" si="71"/>
        <v>0</v>
      </c>
      <c r="U952">
        <f t="shared" si="72"/>
        <v>1</v>
      </c>
      <c r="V952">
        <f t="shared" si="73"/>
        <v>0</v>
      </c>
      <c r="W952">
        <f t="shared" si="74"/>
        <v>0</v>
      </c>
      <c r="X952">
        <v>1</v>
      </c>
      <c r="Y952" s="2">
        <v>45768</v>
      </c>
      <c r="Z952" s="3" t="s">
        <v>38</v>
      </c>
      <c r="AA952" t="s">
        <v>39</v>
      </c>
      <c r="AB952" t="s">
        <v>40</v>
      </c>
      <c r="AC952" t="s">
        <v>40</v>
      </c>
      <c r="AD952" t="s">
        <v>184</v>
      </c>
    </row>
    <row r="953" spans="2:30">
      <c r="B953">
        <v>3</v>
      </c>
      <c r="C953">
        <v>1020</v>
      </c>
      <c r="D953" t="s">
        <v>181</v>
      </c>
      <c r="E953">
        <v>10041773</v>
      </c>
      <c r="F953" t="s">
        <v>1049</v>
      </c>
      <c r="G953" t="s">
        <v>31</v>
      </c>
      <c r="H953" t="s">
        <v>32</v>
      </c>
      <c r="I953" t="s">
        <v>183</v>
      </c>
      <c r="J953" t="s">
        <v>45</v>
      </c>
      <c r="K953" t="s">
        <v>35</v>
      </c>
      <c r="L953" t="s">
        <v>36</v>
      </c>
      <c r="M953" t="s">
        <v>69</v>
      </c>
      <c r="N953">
        <v>8</v>
      </c>
      <c r="O953">
        <v>6</v>
      </c>
      <c r="P953">
        <v>0</v>
      </c>
      <c r="Q953">
        <v>5</v>
      </c>
      <c r="R953">
        <v>192.13</v>
      </c>
      <c r="S953" t="str">
        <f t="shared" si="70"/>
        <v>PX: Baja Crit.</v>
      </c>
      <c r="T953">
        <f t="shared" si="71"/>
        <v>0</v>
      </c>
      <c r="U953">
        <f t="shared" si="72"/>
        <v>0</v>
      </c>
      <c r="V953">
        <f t="shared" si="73"/>
        <v>1</v>
      </c>
      <c r="W953">
        <f t="shared" si="74"/>
        <v>0</v>
      </c>
      <c r="X953">
        <v>1</v>
      </c>
      <c r="Y953" s="2">
        <v>45768</v>
      </c>
      <c r="Z953" s="3" t="s">
        <v>70</v>
      </c>
      <c r="AA953" t="s">
        <v>39</v>
      </c>
      <c r="AB953" t="s">
        <v>76</v>
      </c>
      <c r="AC953" s="5" t="s">
        <v>77</v>
      </c>
      <c r="AD953" t="s">
        <v>184</v>
      </c>
    </row>
    <row r="954" spans="2:30">
      <c r="B954">
        <v>3</v>
      </c>
      <c r="C954">
        <v>1020</v>
      </c>
      <c r="D954" t="s">
        <v>181</v>
      </c>
      <c r="E954">
        <v>10042131</v>
      </c>
      <c r="F954" t="s">
        <v>1050</v>
      </c>
      <c r="G954" t="s">
        <v>31</v>
      </c>
      <c r="H954" t="s">
        <v>32</v>
      </c>
      <c r="I954" t="s">
        <v>183</v>
      </c>
      <c r="J954" t="s">
        <v>45</v>
      </c>
      <c r="K954" t="s">
        <v>35</v>
      </c>
      <c r="L954" t="s">
        <v>36</v>
      </c>
      <c r="M954" t="s">
        <v>117</v>
      </c>
      <c r="N954">
        <v>5</v>
      </c>
      <c r="O954">
        <v>3</v>
      </c>
      <c r="P954">
        <v>2</v>
      </c>
      <c r="Q954">
        <v>5</v>
      </c>
      <c r="R954">
        <v>150.22</v>
      </c>
      <c r="S954" t="str">
        <f t="shared" si="70"/>
        <v>PX: Baja Crit.</v>
      </c>
      <c r="T954">
        <f t="shared" si="71"/>
        <v>0</v>
      </c>
      <c r="U954">
        <f t="shared" si="72"/>
        <v>0</v>
      </c>
      <c r="V954">
        <f t="shared" si="73"/>
        <v>1</v>
      </c>
      <c r="W954">
        <f t="shared" si="74"/>
        <v>0</v>
      </c>
      <c r="X954">
        <v>1</v>
      </c>
      <c r="Y954" s="2">
        <v>45768</v>
      </c>
      <c r="Z954" s="3" t="s">
        <v>118</v>
      </c>
      <c r="AA954" t="s">
        <v>39</v>
      </c>
      <c r="AB954" t="s">
        <v>40</v>
      </c>
      <c r="AC954" t="s">
        <v>40</v>
      </c>
      <c r="AD954" t="s">
        <v>184</v>
      </c>
    </row>
    <row r="955" spans="2:30">
      <c r="B955">
        <v>3</v>
      </c>
      <c r="C955">
        <v>1020</v>
      </c>
      <c r="D955" t="s">
        <v>181</v>
      </c>
      <c r="E955">
        <v>10042133</v>
      </c>
      <c r="F955" t="s">
        <v>1051</v>
      </c>
      <c r="G955" t="s">
        <v>31</v>
      </c>
      <c r="H955" t="s">
        <v>32</v>
      </c>
      <c r="I955" t="s">
        <v>183</v>
      </c>
      <c r="J955" t="s">
        <v>45</v>
      </c>
      <c r="K955" t="s">
        <v>35</v>
      </c>
      <c r="L955" t="s">
        <v>36</v>
      </c>
      <c r="M955" t="s">
        <v>117</v>
      </c>
      <c r="N955">
        <v>5</v>
      </c>
      <c r="O955">
        <v>3</v>
      </c>
      <c r="P955">
        <v>1</v>
      </c>
      <c r="Q955">
        <v>5</v>
      </c>
      <c r="R955">
        <v>209.51</v>
      </c>
      <c r="S955" t="str">
        <f t="shared" si="70"/>
        <v>PX: Baja Crit.</v>
      </c>
      <c r="T955">
        <f t="shared" si="71"/>
        <v>0</v>
      </c>
      <c r="U955">
        <f t="shared" si="72"/>
        <v>0</v>
      </c>
      <c r="V955">
        <f t="shared" si="73"/>
        <v>1</v>
      </c>
      <c r="W955">
        <f t="shared" si="74"/>
        <v>0</v>
      </c>
      <c r="X955">
        <v>1</v>
      </c>
      <c r="Y955" s="2">
        <v>45768</v>
      </c>
      <c r="Z955" s="3" t="s">
        <v>118</v>
      </c>
      <c r="AA955" t="s">
        <v>39</v>
      </c>
      <c r="AB955" t="s">
        <v>40</v>
      </c>
      <c r="AC955" t="s">
        <v>40</v>
      </c>
      <c r="AD955" t="s">
        <v>184</v>
      </c>
    </row>
    <row r="956" spans="2:30">
      <c r="B956">
        <v>3</v>
      </c>
      <c r="C956">
        <v>1020</v>
      </c>
      <c r="D956" t="s">
        <v>181</v>
      </c>
      <c r="E956">
        <v>10042138</v>
      </c>
      <c r="F956" t="s">
        <v>1052</v>
      </c>
      <c r="G956" t="s">
        <v>31</v>
      </c>
      <c r="H956" t="s">
        <v>32</v>
      </c>
      <c r="I956" t="s">
        <v>183</v>
      </c>
      <c r="J956" t="s">
        <v>45</v>
      </c>
      <c r="K956" t="s">
        <v>35</v>
      </c>
      <c r="L956" t="s">
        <v>36</v>
      </c>
      <c r="M956" t="s">
        <v>117</v>
      </c>
      <c r="N956">
        <v>6</v>
      </c>
      <c r="O956">
        <v>3</v>
      </c>
      <c r="P956">
        <v>1</v>
      </c>
      <c r="Q956">
        <v>4</v>
      </c>
      <c r="R956">
        <v>287.66000000000003</v>
      </c>
      <c r="S956" t="str">
        <f t="shared" si="70"/>
        <v>PX: Baja Crit.</v>
      </c>
      <c r="T956">
        <f t="shared" si="71"/>
        <v>0</v>
      </c>
      <c r="U956">
        <f t="shared" si="72"/>
        <v>0</v>
      </c>
      <c r="V956">
        <f t="shared" si="73"/>
        <v>1</v>
      </c>
      <c r="W956">
        <f t="shared" si="74"/>
        <v>0</v>
      </c>
      <c r="X956">
        <v>1</v>
      </c>
      <c r="Y956" s="2">
        <v>45768</v>
      </c>
      <c r="Z956" s="3" t="s">
        <v>118</v>
      </c>
      <c r="AA956" t="s">
        <v>39</v>
      </c>
      <c r="AB956" t="s">
        <v>40</v>
      </c>
      <c r="AC956" t="s">
        <v>40</v>
      </c>
      <c r="AD956" t="s">
        <v>184</v>
      </c>
    </row>
    <row r="957" spans="2:30">
      <c r="B957">
        <v>3</v>
      </c>
      <c r="C957">
        <v>1020</v>
      </c>
      <c r="D957" t="s">
        <v>181</v>
      </c>
      <c r="E957">
        <v>10042139</v>
      </c>
      <c r="F957" t="s">
        <v>1053</v>
      </c>
      <c r="G957" t="s">
        <v>31</v>
      </c>
      <c r="H957" t="s">
        <v>32</v>
      </c>
      <c r="I957" t="s">
        <v>183</v>
      </c>
      <c r="J957" t="s">
        <v>45</v>
      </c>
      <c r="K957" t="s">
        <v>35</v>
      </c>
      <c r="L957" t="s">
        <v>36</v>
      </c>
      <c r="M957" t="s">
        <v>117</v>
      </c>
      <c r="N957">
        <v>5</v>
      </c>
      <c r="O957">
        <v>4</v>
      </c>
      <c r="P957">
        <v>2</v>
      </c>
      <c r="Q957">
        <v>5</v>
      </c>
      <c r="R957">
        <v>289.73</v>
      </c>
      <c r="S957" t="str">
        <f t="shared" si="70"/>
        <v>PX: Baja Crit.</v>
      </c>
      <c r="T957">
        <f t="shared" si="71"/>
        <v>0</v>
      </c>
      <c r="U957">
        <f t="shared" si="72"/>
        <v>0</v>
      </c>
      <c r="V957">
        <f t="shared" si="73"/>
        <v>1</v>
      </c>
      <c r="W957">
        <f t="shared" si="74"/>
        <v>0</v>
      </c>
      <c r="X957">
        <v>1</v>
      </c>
      <c r="Y957" s="2">
        <v>45768</v>
      </c>
      <c r="Z957" s="3" t="s">
        <v>118</v>
      </c>
      <c r="AA957" t="s">
        <v>39</v>
      </c>
      <c r="AB957" t="s">
        <v>40</v>
      </c>
      <c r="AC957" t="s">
        <v>40</v>
      </c>
      <c r="AD957" t="s">
        <v>184</v>
      </c>
    </row>
    <row r="958" spans="2:30">
      <c r="B958">
        <v>3</v>
      </c>
      <c r="C958">
        <v>1020</v>
      </c>
      <c r="D958" t="s">
        <v>181</v>
      </c>
      <c r="E958">
        <v>10042808</v>
      </c>
      <c r="F958" t="s">
        <v>1054</v>
      </c>
      <c r="G958" t="s">
        <v>52</v>
      </c>
      <c r="H958" t="s">
        <v>32</v>
      </c>
      <c r="I958" t="s">
        <v>183</v>
      </c>
      <c r="J958" t="s">
        <v>45</v>
      </c>
      <c r="K958" t="s">
        <v>35</v>
      </c>
      <c r="L958" t="s">
        <v>36</v>
      </c>
      <c r="M958" t="s">
        <v>117</v>
      </c>
      <c r="N958">
        <v>13</v>
      </c>
      <c r="O958">
        <v>5</v>
      </c>
      <c r="P958">
        <v>1</v>
      </c>
      <c r="Q958">
        <v>13</v>
      </c>
      <c r="R958" s="4">
        <v>10049</v>
      </c>
      <c r="S958" t="str">
        <f t="shared" si="70"/>
        <v>PZ: Alta Crit.</v>
      </c>
      <c r="T958">
        <f t="shared" si="71"/>
        <v>0</v>
      </c>
      <c r="U958">
        <f t="shared" si="72"/>
        <v>0</v>
      </c>
      <c r="V958">
        <f t="shared" si="73"/>
        <v>1</v>
      </c>
      <c r="W958">
        <f t="shared" si="74"/>
        <v>0</v>
      </c>
      <c r="X958">
        <v>1</v>
      </c>
      <c r="Y958" s="2">
        <v>45768</v>
      </c>
      <c r="Z958" s="3" t="s">
        <v>118</v>
      </c>
      <c r="AA958" t="s">
        <v>39</v>
      </c>
      <c r="AB958" t="s">
        <v>40</v>
      </c>
      <c r="AC958" t="s">
        <v>40</v>
      </c>
      <c r="AD958" t="s">
        <v>184</v>
      </c>
    </row>
    <row r="959" spans="2:30">
      <c r="B959">
        <v>3</v>
      </c>
      <c r="C959">
        <v>1020</v>
      </c>
      <c r="D959" t="s">
        <v>172</v>
      </c>
      <c r="E959">
        <v>10042984</v>
      </c>
      <c r="F959" t="s">
        <v>1055</v>
      </c>
      <c r="G959" t="s">
        <v>52</v>
      </c>
      <c r="H959" t="s">
        <v>32</v>
      </c>
      <c r="I959" t="s">
        <v>584</v>
      </c>
      <c r="J959" t="s">
        <v>45</v>
      </c>
      <c r="K959" t="s">
        <v>35</v>
      </c>
      <c r="L959" t="s">
        <v>175</v>
      </c>
      <c r="M959" t="s">
        <v>117</v>
      </c>
      <c r="N959">
        <v>0</v>
      </c>
      <c r="O959">
        <v>0</v>
      </c>
      <c r="P959">
        <v>0</v>
      </c>
      <c r="Q959">
        <v>10</v>
      </c>
      <c r="R959" s="4">
        <v>380945.25</v>
      </c>
      <c r="S959" t="str">
        <f t="shared" si="70"/>
        <v>PZ: Alta Crit.</v>
      </c>
      <c r="T959">
        <f t="shared" si="71"/>
        <v>0</v>
      </c>
      <c r="U959">
        <f t="shared" si="72"/>
        <v>0</v>
      </c>
      <c r="V959">
        <f t="shared" si="73"/>
        <v>0</v>
      </c>
      <c r="W959">
        <f t="shared" si="74"/>
        <v>1</v>
      </c>
      <c r="X959">
        <v>1</v>
      </c>
      <c r="Y959" s="2">
        <v>45768</v>
      </c>
      <c r="Z959" s="3" t="s">
        <v>118</v>
      </c>
      <c r="AA959" t="s">
        <v>39</v>
      </c>
      <c r="AB959" t="s">
        <v>40</v>
      </c>
      <c r="AC959" t="s">
        <v>40</v>
      </c>
      <c r="AD959" t="s">
        <v>585</v>
      </c>
    </row>
    <row r="960" spans="2:30">
      <c r="B960">
        <v>3</v>
      </c>
      <c r="C960">
        <v>1020</v>
      </c>
      <c r="D960" t="s">
        <v>388</v>
      </c>
      <c r="E960">
        <v>10043096</v>
      </c>
      <c r="F960" t="s">
        <v>1056</v>
      </c>
      <c r="G960" t="s">
        <v>43</v>
      </c>
      <c r="H960" t="s">
        <v>32</v>
      </c>
      <c r="I960" t="s">
        <v>1002</v>
      </c>
      <c r="J960" t="s">
        <v>45</v>
      </c>
      <c r="K960" t="s">
        <v>35</v>
      </c>
      <c r="L960" t="s">
        <v>175</v>
      </c>
      <c r="M960" t="s">
        <v>69</v>
      </c>
      <c r="N960">
        <v>0</v>
      </c>
      <c r="O960">
        <v>0</v>
      </c>
      <c r="P960">
        <v>2</v>
      </c>
      <c r="Q960">
        <v>2</v>
      </c>
      <c r="R960" s="4">
        <v>246370.56</v>
      </c>
      <c r="S960" t="str">
        <f t="shared" si="70"/>
        <v>PY: Media Crit.</v>
      </c>
      <c r="T960">
        <f t="shared" si="71"/>
        <v>0</v>
      </c>
      <c r="U960">
        <f t="shared" si="72"/>
        <v>1</v>
      </c>
      <c r="V960">
        <f t="shared" si="73"/>
        <v>0</v>
      </c>
      <c r="W960">
        <f t="shared" si="74"/>
        <v>1</v>
      </c>
      <c r="X960">
        <v>1</v>
      </c>
      <c r="Y960" s="2">
        <v>45768</v>
      </c>
      <c r="Z960" s="3" t="s">
        <v>70</v>
      </c>
      <c r="AA960" t="s">
        <v>39</v>
      </c>
      <c r="AB960" t="s">
        <v>40</v>
      </c>
      <c r="AC960" t="s">
        <v>40</v>
      </c>
      <c r="AD960" t="s">
        <v>391</v>
      </c>
    </row>
    <row r="961" spans="2:30">
      <c r="B961">
        <v>3</v>
      </c>
      <c r="C961">
        <v>1020</v>
      </c>
      <c r="D961" t="s">
        <v>181</v>
      </c>
      <c r="E961">
        <v>10043350</v>
      </c>
      <c r="F961" t="s">
        <v>1057</v>
      </c>
      <c r="G961" t="s">
        <v>43</v>
      </c>
      <c r="H961" t="s">
        <v>32</v>
      </c>
      <c r="I961" t="s">
        <v>183</v>
      </c>
      <c r="J961" t="s">
        <v>45</v>
      </c>
      <c r="K961" t="s">
        <v>65</v>
      </c>
      <c r="L961" t="s">
        <v>36</v>
      </c>
      <c r="M961" t="s">
        <v>37</v>
      </c>
      <c r="N961">
        <v>50</v>
      </c>
      <c r="O961">
        <v>26</v>
      </c>
      <c r="P961">
        <v>10</v>
      </c>
      <c r="Q961">
        <v>30</v>
      </c>
      <c r="R961">
        <v>468.19</v>
      </c>
      <c r="S961" t="str">
        <f t="shared" si="70"/>
        <v>PY: Media Crit.</v>
      </c>
      <c r="T961">
        <f t="shared" si="71"/>
        <v>0</v>
      </c>
      <c r="U961">
        <f t="shared" si="72"/>
        <v>0</v>
      </c>
      <c r="V961">
        <f t="shared" si="73"/>
        <v>1</v>
      </c>
      <c r="W961">
        <f t="shared" si="74"/>
        <v>0</v>
      </c>
      <c r="X961">
        <v>1</v>
      </c>
      <c r="Y961" s="2">
        <v>45768</v>
      </c>
      <c r="Z961" s="3" t="s">
        <v>38</v>
      </c>
      <c r="AA961" t="s">
        <v>39</v>
      </c>
      <c r="AB961" t="s">
        <v>40</v>
      </c>
      <c r="AC961" t="s">
        <v>40</v>
      </c>
      <c r="AD961" t="s">
        <v>184</v>
      </c>
    </row>
    <row r="962" spans="2:30">
      <c r="B962">
        <v>3</v>
      </c>
      <c r="C962">
        <v>1020</v>
      </c>
      <c r="D962" t="s">
        <v>181</v>
      </c>
      <c r="E962">
        <v>10043373</v>
      </c>
      <c r="F962" t="s">
        <v>1058</v>
      </c>
      <c r="G962" t="s">
        <v>43</v>
      </c>
      <c r="H962" t="s">
        <v>32</v>
      </c>
      <c r="I962" t="s">
        <v>183</v>
      </c>
      <c r="J962" t="s">
        <v>34</v>
      </c>
      <c r="K962" t="s">
        <v>65</v>
      </c>
      <c r="L962" t="s">
        <v>36</v>
      </c>
      <c r="M962" t="s">
        <v>37</v>
      </c>
      <c r="N962">
        <v>40</v>
      </c>
      <c r="O962">
        <v>21</v>
      </c>
      <c r="P962">
        <v>10</v>
      </c>
      <c r="Q962">
        <v>40</v>
      </c>
      <c r="R962">
        <v>729.47</v>
      </c>
      <c r="S962" t="str">
        <f t="shared" ref="S962:S1025" si="75">+IF(G962="PZ", "PZ: Alta Crit.",IF(G962="PY","PY: Media Crit.", "PX: Baja Crit."))</f>
        <v>PY: Media Crit.</v>
      </c>
      <c r="T962">
        <f t="shared" ref="T962:T1025" si="76">+IF(Q962=0,1,0)</f>
        <v>0</v>
      </c>
      <c r="U962">
        <f t="shared" ref="U962:U1025" si="77">+IF(AND(Q962&lt;=P962,Q962&gt;0),1,0)</f>
        <v>0</v>
      </c>
      <c r="V962">
        <f t="shared" ref="V962:V1025" si="78">+IF(AND(Q962&gt;P962,Q962&lt;=N962),1,0)</f>
        <v>1</v>
      </c>
      <c r="W962">
        <f t="shared" ref="W962:W1025" si="79">+IF(Q962&gt;N962,1,0)</f>
        <v>0</v>
      </c>
      <c r="X962">
        <v>1</v>
      </c>
      <c r="Y962" s="2">
        <v>45768</v>
      </c>
      <c r="Z962" s="3" t="s">
        <v>38</v>
      </c>
      <c r="AA962" t="s">
        <v>39</v>
      </c>
      <c r="AB962" t="s">
        <v>40</v>
      </c>
      <c r="AC962" t="s">
        <v>40</v>
      </c>
      <c r="AD962" t="s">
        <v>184</v>
      </c>
    </row>
    <row r="963" spans="2:30">
      <c r="B963">
        <v>3</v>
      </c>
      <c r="C963">
        <v>1020</v>
      </c>
      <c r="D963" t="s">
        <v>693</v>
      </c>
      <c r="E963">
        <v>10043454</v>
      </c>
      <c r="F963" t="s">
        <v>1059</v>
      </c>
      <c r="G963" t="s">
        <v>43</v>
      </c>
      <c r="H963" t="s">
        <v>44</v>
      </c>
      <c r="I963" t="s">
        <v>695</v>
      </c>
      <c r="J963" t="s">
        <v>45</v>
      </c>
      <c r="K963" t="s">
        <v>35</v>
      </c>
      <c r="L963" t="s">
        <v>175</v>
      </c>
      <c r="M963" t="s">
        <v>46</v>
      </c>
      <c r="N963">
        <v>0</v>
      </c>
      <c r="O963">
        <v>0</v>
      </c>
      <c r="P963">
        <v>0</v>
      </c>
      <c r="Q963">
        <v>17</v>
      </c>
      <c r="R963">
        <v>0</v>
      </c>
      <c r="S963" t="str">
        <f t="shared" si="75"/>
        <v>PY: Media Crit.</v>
      </c>
      <c r="T963">
        <f t="shared" si="76"/>
        <v>0</v>
      </c>
      <c r="U963">
        <f t="shared" si="77"/>
        <v>0</v>
      </c>
      <c r="V963">
        <f t="shared" si="78"/>
        <v>0</v>
      </c>
      <c r="W963">
        <f t="shared" si="79"/>
        <v>1</v>
      </c>
      <c r="X963">
        <v>1</v>
      </c>
      <c r="Y963" s="2">
        <v>45768</v>
      </c>
      <c r="Z963" s="3" t="s">
        <v>47</v>
      </c>
      <c r="AA963" t="s">
        <v>39</v>
      </c>
      <c r="AB963" t="s">
        <v>40</v>
      </c>
      <c r="AC963" t="s">
        <v>40</v>
      </c>
      <c r="AD963" t="s">
        <v>696</v>
      </c>
    </row>
    <row r="964" spans="2:30">
      <c r="B964">
        <v>3</v>
      </c>
      <c r="C964">
        <v>1020</v>
      </c>
      <c r="D964" t="s">
        <v>181</v>
      </c>
      <c r="E964">
        <v>10043707</v>
      </c>
      <c r="F964" t="s">
        <v>1060</v>
      </c>
      <c r="G964" t="s">
        <v>31</v>
      </c>
      <c r="H964" t="s">
        <v>32</v>
      </c>
      <c r="I964" t="s">
        <v>183</v>
      </c>
      <c r="J964" t="s">
        <v>45</v>
      </c>
      <c r="K964" t="s">
        <v>35</v>
      </c>
      <c r="L964" t="s">
        <v>36</v>
      </c>
      <c r="M964" t="s">
        <v>46</v>
      </c>
      <c r="N964">
        <v>6</v>
      </c>
      <c r="O964">
        <v>3</v>
      </c>
      <c r="P964">
        <v>1</v>
      </c>
      <c r="Q964">
        <v>6</v>
      </c>
      <c r="R964">
        <v>412.28</v>
      </c>
      <c r="S964" t="str">
        <f t="shared" si="75"/>
        <v>PX: Baja Crit.</v>
      </c>
      <c r="T964">
        <f t="shared" si="76"/>
        <v>0</v>
      </c>
      <c r="U964">
        <f t="shared" si="77"/>
        <v>0</v>
      </c>
      <c r="V964">
        <f t="shared" si="78"/>
        <v>1</v>
      </c>
      <c r="W964">
        <f t="shared" si="79"/>
        <v>0</v>
      </c>
      <c r="X964">
        <v>1</v>
      </c>
      <c r="Y964" s="2">
        <v>45768</v>
      </c>
      <c r="Z964" s="3" t="s">
        <v>47</v>
      </c>
      <c r="AA964" t="s">
        <v>39</v>
      </c>
      <c r="AB964" t="s">
        <v>40</v>
      </c>
      <c r="AC964" t="s">
        <v>40</v>
      </c>
      <c r="AD964" t="s">
        <v>184</v>
      </c>
    </row>
    <row r="965" spans="2:30">
      <c r="B965">
        <v>3</v>
      </c>
      <c r="C965">
        <v>1020</v>
      </c>
      <c r="D965" t="s">
        <v>181</v>
      </c>
      <c r="E965">
        <v>10043708</v>
      </c>
      <c r="F965" t="s">
        <v>1061</v>
      </c>
      <c r="G965" t="s">
        <v>31</v>
      </c>
      <c r="H965" t="s">
        <v>32</v>
      </c>
      <c r="I965" t="s">
        <v>183</v>
      </c>
      <c r="J965" t="s">
        <v>45</v>
      </c>
      <c r="K965" t="s">
        <v>35</v>
      </c>
      <c r="L965" t="s">
        <v>36</v>
      </c>
      <c r="M965" t="s">
        <v>46</v>
      </c>
      <c r="N965">
        <v>6</v>
      </c>
      <c r="O965">
        <v>3</v>
      </c>
      <c r="P965">
        <v>1</v>
      </c>
      <c r="Q965">
        <v>6</v>
      </c>
      <c r="R965">
        <v>356.36</v>
      </c>
      <c r="S965" t="str">
        <f t="shared" si="75"/>
        <v>PX: Baja Crit.</v>
      </c>
      <c r="T965">
        <f t="shared" si="76"/>
        <v>0</v>
      </c>
      <c r="U965">
        <f t="shared" si="77"/>
        <v>0</v>
      </c>
      <c r="V965">
        <f t="shared" si="78"/>
        <v>1</v>
      </c>
      <c r="W965">
        <f t="shared" si="79"/>
        <v>0</v>
      </c>
      <c r="X965">
        <v>1</v>
      </c>
      <c r="Y965" s="2">
        <v>45768</v>
      </c>
      <c r="Z965" s="3" t="s">
        <v>47</v>
      </c>
      <c r="AA965" t="s">
        <v>39</v>
      </c>
      <c r="AB965" t="s">
        <v>40</v>
      </c>
      <c r="AC965" t="s">
        <v>40</v>
      </c>
      <c r="AD965" t="s">
        <v>184</v>
      </c>
    </row>
    <row r="966" spans="2:30">
      <c r="B966">
        <v>3</v>
      </c>
      <c r="C966">
        <v>1020</v>
      </c>
      <c r="D966" t="s">
        <v>181</v>
      </c>
      <c r="E966">
        <v>10043890</v>
      </c>
      <c r="F966" t="s">
        <v>1062</v>
      </c>
      <c r="G966" t="s">
        <v>31</v>
      </c>
      <c r="H966" t="s">
        <v>60</v>
      </c>
      <c r="I966" t="s">
        <v>183</v>
      </c>
      <c r="J966" t="s">
        <v>45</v>
      </c>
      <c r="K966" t="s">
        <v>35</v>
      </c>
      <c r="L966" t="s">
        <v>36</v>
      </c>
      <c r="M966" t="s">
        <v>69</v>
      </c>
      <c r="N966">
        <v>100</v>
      </c>
      <c r="O966">
        <v>80</v>
      </c>
      <c r="P966">
        <v>0</v>
      </c>
      <c r="Q966">
        <v>100</v>
      </c>
      <c r="R966">
        <v>258.39</v>
      </c>
      <c r="S966" t="str">
        <f t="shared" si="75"/>
        <v>PX: Baja Crit.</v>
      </c>
      <c r="T966">
        <f t="shared" si="76"/>
        <v>0</v>
      </c>
      <c r="U966">
        <f t="shared" si="77"/>
        <v>0</v>
      </c>
      <c r="V966">
        <f t="shared" si="78"/>
        <v>1</v>
      </c>
      <c r="W966">
        <f t="shared" si="79"/>
        <v>0</v>
      </c>
      <c r="X966">
        <v>1</v>
      </c>
      <c r="Y966" s="2">
        <v>45768</v>
      </c>
      <c r="Z966" s="3" t="s">
        <v>70</v>
      </c>
      <c r="AA966" t="s">
        <v>39</v>
      </c>
      <c r="AB966" t="s">
        <v>40</v>
      </c>
      <c r="AC966" t="s">
        <v>40</v>
      </c>
      <c r="AD966" t="s">
        <v>184</v>
      </c>
    </row>
    <row r="967" spans="2:30">
      <c r="B967">
        <v>3</v>
      </c>
      <c r="C967">
        <v>1020</v>
      </c>
      <c r="D967" t="s">
        <v>181</v>
      </c>
      <c r="E967">
        <v>10043892</v>
      </c>
      <c r="F967" t="s">
        <v>1063</v>
      </c>
      <c r="G967" t="s">
        <v>31</v>
      </c>
      <c r="H967" t="s">
        <v>60</v>
      </c>
      <c r="I967" t="s">
        <v>183</v>
      </c>
      <c r="J967" t="s">
        <v>45</v>
      </c>
      <c r="K967" t="s">
        <v>35</v>
      </c>
      <c r="L967" t="s">
        <v>36</v>
      </c>
      <c r="M967" t="s">
        <v>69</v>
      </c>
      <c r="N967">
        <v>100</v>
      </c>
      <c r="O967">
        <v>100</v>
      </c>
      <c r="P967">
        <v>0</v>
      </c>
      <c r="Q967">
        <v>100</v>
      </c>
      <c r="R967">
        <v>318.57</v>
      </c>
      <c r="S967" t="str">
        <f t="shared" si="75"/>
        <v>PX: Baja Crit.</v>
      </c>
      <c r="T967">
        <f t="shared" si="76"/>
        <v>0</v>
      </c>
      <c r="U967">
        <f t="shared" si="77"/>
        <v>0</v>
      </c>
      <c r="V967">
        <f t="shared" si="78"/>
        <v>1</v>
      </c>
      <c r="W967">
        <f t="shared" si="79"/>
        <v>0</v>
      </c>
      <c r="X967">
        <v>1</v>
      </c>
      <c r="Y967" s="2">
        <v>45768</v>
      </c>
      <c r="Z967" s="3" t="s">
        <v>70</v>
      </c>
      <c r="AA967" t="s">
        <v>39</v>
      </c>
      <c r="AB967" t="s">
        <v>40</v>
      </c>
      <c r="AC967" t="s">
        <v>40</v>
      </c>
      <c r="AD967" t="s">
        <v>184</v>
      </c>
    </row>
    <row r="968" spans="2:30">
      <c r="B968">
        <v>3</v>
      </c>
      <c r="C968">
        <v>1020</v>
      </c>
      <c r="D968" t="s">
        <v>181</v>
      </c>
      <c r="E968">
        <v>10043897</v>
      </c>
      <c r="F968" t="s">
        <v>1064</v>
      </c>
      <c r="G968" t="s">
        <v>43</v>
      </c>
      <c r="H968" t="s">
        <v>60</v>
      </c>
      <c r="I968" t="s">
        <v>183</v>
      </c>
      <c r="J968" t="s">
        <v>45</v>
      </c>
      <c r="K968" t="s">
        <v>35</v>
      </c>
      <c r="L968" t="s">
        <v>36</v>
      </c>
      <c r="M968" t="s">
        <v>69</v>
      </c>
      <c r="N968">
        <v>100</v>
      </c>
      <c r="O968">
        <v>100</v>
      </c>
      <c r="P968">
        <v>0</v>
      </c>
      <c r="Q968">
        <v>100</v>
      </c>
      <c r="R968">
        <v>339.98</v>
      </c>
      <c r="S968" t="str">
        <f t="shared" si="75"/>
        <v>PY: Media Crit.</v>
      </c>
      <c r="T968">
        <f t="shared" si="76"/>
        <v>0</v>
      </c>
      <c r="U968">
        <f t="shared" si="77"/>
        <v>0</v>
      </c>
      <c r="V968">
        <f t="shared" si="78"/>
        <v>1</v>
      </c>
      <c r="W968">
        <f t="shared" si="79"/>
        <v>0</v>
      </c>
      <c r="X968">
        <v>1</v>
      </c>
      <c r="Y968" s="2">
        <v>45768</v>
      </c>
      <c r="Z968" s="3" t="s">
        <v>70</v>
      </c>
      <c r="AA968" t="s">
        <v>39</v>
      </c>
      <c r="AB968" t="s">
        <v>40</v>
      </c>
      <c r="AC968" t="s">
        <v>40</v>
      </c>
      <c r="AD968" t="s">
        <v>184</v>
      </c>
    </row>
    <row r="969" spans="2:30">
      <c r="B969">
        <v>3</v>
      </c>
      <c r="C969">
        <v>1020</v>
      </c>
      <c r="D969" t="s">
        <v>181</v>
      </c>
      <c r="E969">
        <v>10043930</v>
      </c>
      <c r="F969" t="s">
        <v>1065</v>
      </c>
      <c r="G969" t="s">
        <v>31</v>
      </c>
      <c r="H969" t="s">
        <v>32</v>
      </c>
      <c r="I969" t="s">
        <v>183</v>
      </c>
      <c r="J969" t="s">
        <v>45</v>
      </c>
      <c r="K969" t="s">
        <v>35</v>
      </c>
      <c r="L969" t="s">
        <v>36</v>
      </c>
      <c r="M969" t="s">
        <v>37</v>
      </c>
      <c r="N969">
        <v>70</v>
      </c>
      <c r="O969">
        <v>41</v>
      </c>
      <c r="P969">
        <v>10</v>
      </c>
      <c r="Q969">
        <v>58</v>
      </c>
      <c r="R969">
        <v>219.56</v>
      </c>
      <c r="S969" t="str">
        <f t="shared" si="75"/>
        <v>PX: Baja Crit.</v>
      </c>
      <c r="T969">
        <f t="shared" si="76"/>
        <v>0</v>
      </c>
      <c r="U969">
        <f t="shared" si="77"/>
        <v>0</v>
      </c>
      <c r="V969">
        <f t="shared" si="78"/>
        <v>1</v>
      </c>
      <c r="W969">
        <f t="shared" si="79"/>
        <v>0</v>
      </c>
      <c r="X969">
        <v>1</v>
      </c>
      <c r="Y969" s="2">
        <v>45768</v>
      </c>
      <c r="Z969" s="3" t="s">
        <v>38</v>
      </c>
      <c r="AA969" t="s">
        <v>39</v>
      </c>
      <c r="AB969" t="s">
        <v>40</v>
      </c>
      <c r="AC969" t="s">
        <v>40</v>
      </c>
      <c r="AD969" t="s">
        <v>184</v>
      </c>
    </row>
    <row r="970" spans="2:30">
      <c r="B970">
        <v>3</v>
      </c>
      <c r="C970">
        <v>1020</v>
      </c>
      <c r="D970" t="s">
        <v>388</v>
      </c>
      <c r="E970">
        <v>10043971</v>
      </c>
      <c r="F970" t="s">
        <v>1066</v>
      </c>
      <c r="G970" t="s">
        <v>43</v>
      </c>
      <c r="H970" t="s">
        <v>32</v>
      </c>
      <c r="I970" t="s">
        <v>390</v>
      </c>
      <c r="J970" t="s">
        <v>45</v>
      </c>
      <c r="K970" t="s">
        <v>35</v>
      </c>
      <c r="L970" t="s">
        <v>175</v>
      </c>
      <c r="M970" t="s">
        <v>117</v>
      </c>
      <c r="N970">
        <v>0</v>
      </c>
      <c r="O970">
        <v>0</v>
      </c>
      <c r="P970">
        <v>20</v>
      </c>
      <c r="Q970">
        <v>13</v>
      </c>
      <c r="R970" s="4">
        <v>28647.14</v>
      </c>
      <c r="S970" t="str">
        <f t="shared" si="75"/>
        <v>PY: Media Crit.</v>
      </c>
      <c r="T970">
        <f t="shared" si="76"/>
        <v>0</v>
      </c>
      <c r="U970">
        <f t="shared" si="77"/>
        <v>1</v>
      </c>
      <c r="V970">
        <f t="shared" si="78"/>
        <v>0</v>
      </c>
      <c r="W970">
        <f t="shared" si="79"/>
        <v>1</v>
      </c>
      <c r="X970">
        <v>1</v>
      </c>
      <c r="Y970" s="2">
        <v>45768</v>
      </c>
      <c r="Z970" s="3" t="s">
        <v>118</v>
      </c>
      <c r="AA970" t="s">
        <v>39</v>
      </c>
      <c r="AB970" t="s">
        <v>49</v>
      </c>
      <c r="AC970" s="5" t="s">
        <v>50</v>
      </c>
      <c r="AD970" t="s">
        <v>391</v>
      </c>
    </row>
    <row r="971" spans="2:30">
      <c r="B971">
        <v>3</v>
      </c>
      <c r="C971">
        <v>1020</v>
      </c>
      <c r="D971" t="s">
        <v>181</v>
      </c>
      <c r="E971">
        <v>10044347</v>
      </c>
      <c r="F971" t="s">
        <v>1067</v>
      </c>
      <c r="G971" t="s">
        <v>52</v>
      </c>
      <c r="H971" t="s">
        <v>60</v>
      </c>
      <c r="I971" t="s">
        <v>183</v>
      </c>
      <c r="J971" t="s">
        <v>45</v>
      </c>
      <c r="K971" t="s">
        <v>35</v>
      </c>
      <c r="L971" t="s">
        <v>36</v>
      </c>
      <c r="M971" t="s">
        <v>46</v>
      </c>
      <c r="N971">
        <v>8</v>
      </c>
      <c r="O971">
        <v>6</v>
      </c>
      <c r="P971">
        <v>1</v>
      </c>
      <c r="Q971">
        <v>20</v>
      </c>
      <c r="R971" s="4">
        <v>2100.34</v>
      </c>
      <c r="S971" t="str">
        <f t="shared" si="75"/>
        <v>PZ: Alta Crit.</v>
      </c>
      <c r="T971">
        <f t="shared" si="76"/>
        <v>0</v>
      </c>
      <c r="U971">
        <f t="shared" si="77"/>
        <v>0</v>
      </c>
      <c r="V971">
        <f t="shared" si="78"/>
        <v>0</v>
      </c>
      <c r="W971">
        <f t="shared" si="79"/>
        <v>1</v>
      </c>
      <c r="X971">
        <v>1</v>
      </c>
      <c r="Y971" s="2">
        <v>45768</v>
      </c>
      <c r="Z971" s="3" t="s">
        <v>47</v>
      </c>
      <c r="AA971" t="s">
        <v>39</v>
      </c>
      <c r="AB971" t="s">
        <v>40</v>
      </c>
      <c r="AC971" t="s">
        <v>40</v>
      </c>
      <c r="AD971" t="s">
        <v>184</v>
      </c>
    </row>
    <row r="972" spans="2:30">
      <c r="B972">
        <v>3</v>
      </c>
      <c r="C972">
        <v>1020</v>
      </c>
      <c r="D972" t="s">
        <v>181</v>
      </c>
      <c r="E972">
        <v>10044356</v>
      </c>
      <c r="F972" t="s">
        <v>1068</v>
      </c>
      <c r="G972" t="s">
        <v>43</v>
      </c>
      <c r="H972" t="s">
        <v>32</v>
      </c>
      <c r="I972" t="s">
        <v>183</v>
      </c>
      <c r="J972" t="s">
        <v>45</v>
      </c>
      <c r="K972" t="s">
        <v>35</v>
      </c>
      <c r="L972" t="s">
        <v>36</v>
      </c>
      <c r="M972" t="s">
        <v>46</v>
      </c>
      <c r="N972">
        <v>10</v>
      </c>
      <c r="O972">
        <v>7</v>
      </c>
      <c r="P972">
        <v>2</v>
      </c>
      <c r="Q972">
        <v>10</v>
      </c>
      <c r="R972" s="4">
        <v>1868.75</v>
      </c>
      <c r="S972" t="str">
        <f t="shared" si="75"/>
        <v>PY: Media Crit.</v>
      </c>
      <c r="T972">
        <f t="shared" si="76"/>
        <v>0</v>
      </c>
      <c r="U972">
        <f t="shared" si="77"/>
        <v>0</v>
      </c>
      <c r="V972">
        <f t="shared" si="78"/>
        <v>1</v>
      </c>
      <c r="W972">
        <f t="shared" si="79"/>
        <v>0</v>
      </c>
      <c r="X972">
        <v>1</v>
      </c>
      <c r="Y972" s="2">
        <v>45768</v>
      </c>
      <c r="Z972" s="3" t="s">
        <v>47</v>
      </c>
      <c r="AA972" t="s">
        <v>39</v>
      </c>
      <c r="AB972" t="s">
        <v>40</v>
      </c>
      <c r="AC972" t="s">
        <v>40</v>
      </c>
      <c r="AD972" t="s">
        <v>184</v>
      </c>
    </row>
    <row r="973" spans="2:30">
      <c r="B973">
        <v>3</v>
      </c>
      <c r="C973">
        <v>1020</v>
      </c>
      <c r="D973" t="s">
        <v>181</v>
      </c>
      <c r="E973">
        <v>10044386</v>
      </c>
      <c r="F973" t="s">
        <v>1069</v>
      </c>
      <c r="G973" t="s">
        <v>43</v>
      </c>
      <c r="H973" t="s">
        <v>60</v>
      </c>
      <c r="I973" t="s">
        <v>183</v>
      </c>
      <c r="J973" t="s">
        <v>45</v>
      </c>
      <c r="K973" t="s">
        <v>35</v>
      </c>
      <c r="L973" t="s">
        <v>36</v>
      </c>
      <c r="M973" t="s">
        <v>55</v>
      </c>
      <c r="N973">
        <v>2</v>
      </c>
      <c r="O973">
        <v>1</v>
      </c>
      <c r="P973">
        <v>0</v>
      </c>
      <c r="Q973">
        <v>3</v>
      </c>
      <c r="R973" s="4">
        <v>1069.96</v>
      </c>
      <c r="S973" t="str">
        <f t="shared" si="75"/>
        <v>PY: Media Crit.</v>
      </c>
      <c r="T973">
        <f t="shared" si="76"/>
        <v>0</v>
      </c>
      <c r="U973">
        <f t="shared" si="77"/>
        <v>0</v>
      </c>
      <c r="V973">
        <f t="shared" si="78"/>
        <v>0</v>
      </c>
      <c r="W973">
        <f t="shared" si="79"/>
        <v>1</v>
      </c>
      <c r="X973">
        <v>1</v>
      </c>
      <c r="Y973" s="2">
        <v>45768</v>
      </c>
      <c r="Z973" s="3" t="s">
        <v>56</v>
      </c>
      <c r="AA973" t="s">
        <v>39</v>
      </c>
      <c r="AB973" t="s">
        <v>40</v>
      </c>
      <c r="AC973" t="s">
        <v>40</v>
      </c>
      <c r="AD973" t="s">
        <v>184</v>
      </c>
    </row>
    <row r="974" spans="2:30">
      <c r="B974">
        <v>3</v>
      </c>
      <c r="C974">
        <v>1020</v>
      </c>
      <c r="D974" t="s">
        <v>181</v>
      </c>
      <c r="E974">
        <v>10044387</v>
      </c>
      <c r="F974" t="s">
        <v>1070</v>
      </c>
      <c r="G974" t="s">
        <v>31</v>
      </c>
      <c r="H974" t="s">
        <v>32</v>
      </c>
      <c r="I974" t="s">
        <v>183</v>
      </c>
      <c r="J974" t="s">
        <v>45</v>
      </c>
      <c r="K974" t="s">
        <v>35</v>
      </c>
      <c r="L974" t="s">
        <v>36</v>
      </c>
      <c r="M974" t="s">
        <v>46</v>
      </c>
      <c r="N974">
        <v>2</v>
      </c>
      <c r="O974">
        <v>2</v>
      </c>
      <c r="P974">
        <v>1</v>
      </c>
      <c r="Q974">
        <v>2</v>
      </c>
      <c r="R974">
        <v>989.83</v>
      </c>
      <c r="S974" t="str">
        <f t="shared" si="75"/>
        <v>PX: Baja Crit.</v>
      </c>
      <c r="T974">
        <f t="shared" si="76"/>
        <v>0</v>
      </c>
      <c r="U974">
        <f t="shared" si="77"/>
        <v>0</v>
      </c>
      <c r="V974">
        <f t="shared" si="78"/>
        <v>1</v>
      </c>
      <c r="W974">
        <f t="shared" si="79"/>
        <v>0</v>
      </c>
      <c r="X974">
        <v>1</v>
      </c>
      <c r="Y974" s="2">
        <v>45768</v>
      </c>
      <c r="Z974" s="3" t="s">
        <v>47</v>
      </c>
      <c r="AA974" t="s">
        <v>39</v>
      </c>
      <c r="AB974" t="s">
        <v>40</v>
      </c>
      <c r="AC974" t="s">
        <v>40</v>
      </c>
      <c r="AD974" t="s">
        <v>184</v>
      </c>
    </row>
    <row r="975" spans="2:30">
      <c r="B975">
        <v>3</v>
      </c>
      <c r="C975">
        <v>1020</v>
      </c>
      <c r="D975" t="s">
        <v>181</v>
      </c>
      <c r="E975">
        <v>10044389</v>
      </c>
      <c r="F975" t="s">
        <v>1071</v>
      </c>
      <c r="G975" t="s">
        <v>31</v>
      </c>
      <c r="H975" t="s">
        <v>60</v>
      </c>
      <c r="I975" t="s">
        <v>183</v>
      </c>
      <c r="J975" t="s">
        <v>45</v>
      </c>
      <c r="K975" t="s">
        <v>35</v>
      </c>
      <c r="L975" t="s">
        <v>36</v>
      </c>
      <c r="M975" t="s">
        <v>46</v>
      </c>
      <c r="N975">
        <v>2</v>
      </c>
      <c r="O975">
        <v>1</v>
      </c>
      <c r="P975">
        <v>0</v>
      </c>
      <c r="Q975">
        <v>1</v>
      </c>
      <c r="R975">
        <v>287.95999999999998</v>
      </c>
      <c r="S975" t="str">
        <f t="shared" si="75"/>
        <v>PX: Baja Crit.</v>
      </c>
      <c r="T975">
        <f t="shared" si="76"/>
        <v>0</v>
      </c>
      <c r="U975">
        <f t="shared" si="77"/>
        <v>0</v>
      </c>
      <c r="V975">
        <f t="shared" si="78"/>
        <v>1</v>
      </c>
      <c r="W975">
        <f t="shared" si="79"/>
        <v>0</v>
      </c>
      <c r="X975">
        <v>1</v>
      </c>
      <c r="Y975" s="2">
        <v>45768</v>
      </c>
      <c r="Z975" s="3" t="s">
        <v>47</v>
      </c>
      <c r="AA975" t="s">
        <v>39</v>
      </c>
      <c r="AB975" t="s">
        <v>40</v>
      </c>
      <c r="AC975" t="s">
        <v>40</v>
      </c>
      <c r="AD975" t="s">
        <v>184</v>
      </c>
    </row>
    <row r="976" spans="2:30">
      <c r="B976">
        <v>3</v>
      </c>
      <c r="C976">
        <v>1020</v>
      </c>
      <c r="D976" t="s">
        <v>384</v>
      </c>
      <c r="E976">
        <v>10044790</v>
      </c>
      <c r="F976" t="s">
        <v>1072</v>
      </c>
      <c r="G976" t="s">
        <v>43</v>
      </c>
      <c r="H976" t="s">
        <v>32</v>
      </c>
      <c r="I976" t="s">
        <v>386</v>
      </c>
      <c r="J976" t="s">
        <v>45</v>
      </c>
      <c r="K976" t="s">
        <v>35</v>
      </c>
      <c r="L976" t="s">
        <v>175</v>
      </c>
      <c r="M976" t="s">
        <v>117</v>
      </c>
      <c r="N976">
        <v>0</v>
      </c>
      <c r="O976">
        <v>0</v>
      </c>
      <c r="P976">
        <v>0</v>
      </c>
      <c r="Q976">
        <v>4</v>
      </c>
      <c r="R976" s="4">
        <v>1451.56</v>
      </c>
      <c r="S976" t="str">
        <f t="shared" si="75"/>
        <v>PY: Media Crit.</v>
      </c>
      <c r="T976">
        <f t="shared" si="76"/>
        <v>0</v>
      </c>
      <c r="U976">
        <f t="shared" si="77"/>
        <v>0</v>
      </c>
      <c r="V976">
        <f t="shared" si="78"/>
        <v>0</v>
      </c>
      <c r="W976">
        <f t="shared" si="79"/>
        <v>1</v>
      </c>
      <c r="X976">
        <v>1</v>
      </c>
      <c r="Y976" s="2">
        <v>45768</v>
      </c>
      <c r="Z976" s="3" t="s">
        <v>118</v>
      </c>
      <c r="AA976" t="s">
        <v>39</v>
      </c>
      <c r="AB976" t="s">
        <v>40</v>
      </c>
      <c r="AC976" t="s">
        <v>40</v>
      </c>
      <c r="AD976" t="s">
        <v>387</v>
      </c>
    </row>
    <row r="977" spans="2:30">
      <c r="B977">
        <v>3</v>
      </c>
      <c r="C977">
        <v>1020</v>
      </c>
      <c r="D977" t="s">
        <v>181</v>
      </c>
      <c r="E977">
        <v>10044810</v>
      </c>
      <c r="F977" t="s">
        <v>1073</v>
      </c>
      <c r="G977" t="s">
        <v>43</v>
      </c>
      <c r="H977" t="s">
        <v>60</v>
      </c>
      <c r="I977" t="s">
        <v>183</v>
      </c>
      <c r="J977" t="s">
        <v>34</v>
      </c>
      <c r="K977" t="s">
        <v>35</v>
      </c>
      <c r="L977" t="s">
        <v>36</v>
      </c>
      <c r="M977" t="s">
        <v>117</v>
      </c>
      <c r="N977">
        <v>20</v>
      </c>
      <c r="O977">
        <v>11</v>
      </c>
      <c r="P977">
        <v>5</v>
      </c>
      <c r="Q977">
        <v>96</v>
      </c>
      <c r="R977" s="4">
        <v>6226.44</v>
      </c>
      <c r="S977" t="str">
        <f t="shared" si="75"/>
        <v>PY: Media Crit.</v>
      </c>
      <c r="T977">
        <f t="shared" si="76"/>
        <v>0</v>
      </c>
      <c r="U977">
        <f t="shared" si="77"/>
        <v>0</v>
      </c>
      <c r="V977">
        <f t="shared" si="78"/>
        <v>0</v>
      </c>
      <c r="W977">
        <f t="shared" si="79"/>
        <v>1</v>
      </c>
      <c r="X977">
        <v>1</v>
      </c>
      <c r="Y977" s="2">
        <v>45768</v>
      </c>
      <c r="Z977" s="3" t="s">
        <v>118</v>
      </c>
      <c r="AA977" t="s">
        <v>39</v>
      </c>
      <c r="AB977" t="s">
        <v>40</v>
      </c>
      <c r="AC977" t="s">
        <v>40</v>
      </c>
      <c r="AD977" t="s">
        <v>184</v>
      </c>
    </row>
    <row r="978" spans="2:30">
      <c r="B978">
        <v>3</v>
      </c>
      <c r="C978">
        <v>1020</v>
      </c>
      <c r="D978" t="s">
        <v>388</v>
      </c>
      <c r="E978">
        <v>10044903</v>
      </c>
      <c r="F978" t="s">
        <v>1074</v>
      </c>
      <c r="G978" t="s">
        <v>52</v>
      </c>
      <c r="H978" t="s">
        <v>32</v>
      </c>
      <c r="I978" t="s">
        <v>1002</v>
      </c>
      <c r="J978" t="s">
        <v>45</v>
      </c>
      <c r="K978" t="s">
        <v>35</v>
      </c>
      <c r="L978" t="s">
        <v>175</v>
      </c>
      <c r="M978" t="s">
        <v>117</v>
      </c>
      <c r="N978">
        <v>0</v>
      </c>
      <c r="O978">
        <v>0</v>
      </c>
      <c r="P978">
        <v>2</v>
      </c>
      <c r="Q978">
        <v>0</v>
      </c>
      <c r="R978">
        <v>0</v>
      </c>
      <c r="S978" t="str">
        <f t="shared" si="75"/>
        <v>PZ: Alta Crit.</v>
      </c>
      <c r="T978">
        <f t="shared" si="76"/>
        <v>1</v>
      </c>
      <c r="U978">
        <f t="shared" si="77"/>
        <v>0</v>
      </c>
      <c r="V978">
        <f t="shared" si="78"/>
        <v>0</v>
      </c>
      <c r="W978">
        <f t="shared" si="79"/>
        <v>0</v>
      </c>
      <c r="X978">
        <v>1</v>
      </c>
      <c r="Y978" s="2">
        <v>45768</v>
      </c>
      <c r="Z978" s="3" t="s">
        <v>118</v>
      </c>
      <c r="AA978" t="s">
        <v>39</v>
      </c>
      <c r="AB978" t="s">
        <v>49</v>
      </c>
      <c r="AC978" s="5" t="s">
        <v>50</v>
      </c>
      <c r="AD978" t="s">
        <v>391</v>
      </c>
    </row>
    <row r="979" spans="2:30">
      <c r="B979">
        <v>3</v>
      </c>
      <c r="C979">
        <v>1020</v>
      </c>
      <c r="D979" t="s">
        <v>181</v>
      </c>
      <c r="E979">
        <v>10045351</v>
      </c>
      <c r="F979" t="s">
        <v>1075</v>
      </c>
      <c r="G979" t="s">
        <v>43</v>
      </c>
      <c r="H979" t="s">
        <v>32</v>
      </c>
      <c r="I979" t="s">
        <v>183</v>
      </c>
      <c r="J979" t="s">
        <v>45</v>
      </c>
      <c r="K979" t="s">
        <v>35</v>
      </c>
      <c r="L979" t="s">
        <v>36</v>
      </c>
      <c r="M979" t="s">
        <v>55</v>
      </c>
      <c r="N979">
        <v>30</v>
      </c>
      <c r="O979">
        <v>16</v>
      </c>
      <c r="P979">
        <v>5</v>
      </c>
      <c r="Q979">
        <v>30</v>
      </c>
      <c r="R979">
        <v>265.94</v>
      </c>
      <c r="S979" t="str">
        <f t="shared" si="75"/>
        <v>PY: Media Crit.</v>
      </c>
      <c r="T979">
        <f t="shared" si="76"/>
        <v>0</v>
      </c>
      <c r="U979">
        <f t="shared" si="77"/>
        <v>0</v>
      </c>
      <c r="V979">
        <f t="shared" si="78"/>
        <v>1</v>
      </c>
      <c r="W979">
        <f t="shared" si="79"/>
        <v>0</v>
      </c>
      <c r="X979">
        <v>1</v>
      </c>
      <c r="Y979" s="2">
        <v>45768</v>
      </c>
      <c r="Z979" s="3" t="s">
        <v>56</v>
      </c>
      <c r="AA979" t="s">
        <v>39</v>
      </c>
      <c r="AB979" t="s">
        <v>40</v>
      </c>
      <c r="AC979" t="s">
        <v>40</v>
      </c>
      <c r="AD979" t="s">
        <v>184</v>
      </c>
    </row>
    <row r="980" spans="2:30">
      <c r="B980">
        <v>3</v>
      </c>
      <c r="C980">
        <v>1020</v>
      </c>
      <c r="D980" t="s">
        <v>693</v>
      </c>
      <c r="E980">
        <v>10045389</v>
      </c>
      <c r="F980" t="s">
        <v>1076</v>
      </c>
      <c r="G980" t="s">
        <v>31</v>
      </c>
      <c r="H980" t="s">
        <v>32</v>
      </c>
      <c r="I980" t="s">
        <v>695</v>
      </c>
      <c r="J980" t="s">
        <v>45</v>
      </c>
      <c r="K980" t="s">
        <v>35</v>
      </c>
      <c r="L980" t="s">
        <v>175</v>
      </c>
      <c r="M980" t="s">
        <v>55</v>
      </c>
      <c r="N980">
        <v>0</v>
      </c>
      <c r="O980">
        <v>0</v>
      </c>
      <c r="P980">
        <v>0</v>
      </c>
      <c r="Q980">
        <v>0</v>
      </c>
      <c r="R980">
        <v>0</v>
      </c>
      <c r="S980" t="str">
        <f t="shared" si="75"/>
        <v>PX: Baja Crit.</v>
      </c>
      <c r="T980">
        <f t="shared" si="76"/>
        <v>1</v>
      </c>
      <c r="U980">
        <f t="shared" si="77"/>
        <v>0</v>
      </c>
      <c r="V980">
        <f t="shared" si="78"/>
        <v>0</v>
      </c>
      <c r="W980">
        <f t="shared" si="79"/>
        <v>0</v>
      </c>
      <c r="X980">
        <v>1</v>
      </c>
      <c r="Y980" s="2">
        <v>45768</v>
      </c>
      <c r="Z980" s="3" t="s">
        <v>56</v>
      </c>
      <c r="AA980" t="s">
        <v>39</v>
      </c>
      <c r="AB980" t="s">
        <v>40</v>
      </c>
      <c r="AC980" t="s">
        <v>40</v>
      </c>
      <c r="AD980" t="s">
        <v>696</v>
      </c>
    </row>
    <row r="981" spans="2:30">
      <c r="B981">
        <v>3</v>
      </c>
      <c r="C981">
        <v>1020</v>
      </c>
      <c r="D981" t="s">
        <v>181</v>
      </c>
      <c r="E981">
        <v>10045393</v>
      </c>
      <c r="F981" t="s">
        <v>1077</v>
      </c>
      <c r="G981" t="s">
        <v>31</v>
      </c>
      <c r="H981" t="s">
        <v>32</v>
      </c>
      <c r="I981" t="s">
        <v>183</v>
      </c>
      <c r="J981" t="s">
        <v>45</v>
      </c>
      <c r="K981" t="s">
        <v>35</v>
      </c>
      <c r="L981" t="s">
        <v>36</v>
      </c>
      <c r="M981" t="s">
        <v>117</v>
      </c>
      <c r="N981">
        <v>8</v>
      </c>
      <c r="O981">
        <v>4</v>
      </c>
      <c r="P981">
        <v>0</v>
      </c>
      <c r="Q981">
        <v>8</v>
      </c>
      <c r="R981">
        <v>542.15</v>
      </c>
      <c r="S981" t="str">
        <f t="shared" si="75"/>
        <v>PX: Baja Crit.</v>
      </c>
      <c r="T981">
        <f t="shared" si="76"/>
        <v>0</v>
      </c>
      <c r="U981">
        <f t="shared" si="77"/>
        <v>0</v>
      </c>
      <c r="V981">
        <f t="shared" si="78"/>
        <v>1</v>
      </c>
      <c r="W981">
        <f t="shared" si="79"/>
        <v>0</v>
      </c>
      <c r="X981">
        <v>1</v>
      </c>
      <c r="Y981" s="2">
        <v>45768</v>
      </c>
      <c r="Z981" s="3" t="s">
        <v>118</v>
      </c>
      <c r="AA981" t="s">
        <v>39</v>
      </c>
      <c r="AB981" t="s">
        <v>40</v>
      </c>
      <c r="AC981" t="s">
        <v>40</v>
      </c>
      <c r="AD981" t="s">
        <v>184</v>
      </c>
    </row>
    <row r="982" spans="2:30">
      <c r="B982">
        <v>3</v>
      </c>
      <c r="C982">
        <v>1020</v>
      </c>
      <c r="D982" t="s">
        <v>181</v>
      </c>
      <c r="E982">
        <v>10045656</v>
      </c>
      <c r="F982" t="s">
        <v>1078</v>
      </c>
      <c r="G982" t="s">
        <v>43</v>
      </c>
      <c r="H982" t="s">
        <v>60</v>
      </c>
      <c r="I982" t="s">
        <v>183</v>
      </c>
      <c r="J982" t="s">
        <v>45</v>
      </c>
      <c r="K982" t="s">
        <v>35</v>
      </c>
      <c r="L982" t="s">
        <v>36</v>
      </c>
      <c r="M982" t="s">
        <v>88</v>
      </c>
      <c r="N982">
        <v>4</v>
      </c>
      <c r="O982">
        <v>3</v>
      </c>
      <c r="P982">
        <v>0</v>
      </c>
      <c r="Q982">
        <v>4</v>
      </c>
      <c r="R982">
        <v>10.77</v>
      </c>
      <c r="S982" t="str">
        <f t="shared" si="75"/>
        <v>PY: Media Crit.</v>
      </c>
      <c r="T982">
        <f t="shared" si="76"/>
        <v>0</v>
      </c>
      <c r="U982">
        <f t="shared" si="77"/>
        <v>0</v>
      </c>
      <c r="V982">
        <f t="shared" si="78"/>
        <v>1</v>
      </c>
      <c r="W982">
        <f t="shared" si="79"/>
        <v>0</v>
      </c>
      <c r="X982">
        <v>1</v>
      </c>
      <c r="Y982" s="2">
        <v>45768</v>
      </c>
      <c r="Z982" s="3" t="s">
        <v>89</v>
      </c>
      <c r="AA982" t="s">
        <v>39</v>
      </c>
      <c r="AB982" t="s">
        <v>40</v>
      </c>
      <c r="AC982" t="s">
        <v>40</v>
      </c>
      <c r="AD982" t="s">
        <v>184</v>
      </c>
    </row>
    <row r="983" spans="2:30">
      <c r="B983">
        <v>3</v>
      </c>
      <c r="C983">
        <v>1020</v>
      </c>
      <c r="D983" t="s">
        <v>181</v>
      </c>
      <c r="E983">
        <v>10045742</v>
      </c>
      <c r="F983" t="s">
        <v>1079</v>
      </c>
      <c r="G983" t="s">
        <v>31</v>
      </c>
      <c r="H983" t="s">
        <v>32</v>
      </c>
      <c r="I983" t="s">
        <v>183</v>
      </c>
      <c r="J983" t="s">
        <v>45</v>
      </c>
      <c r="K983" t="s">
        <v>35</v>
      </c>
      <c r="L983" t="s">
        <v>36</v>
      </c>
      <c r="M983" t="s">
        <v>55</v>
      </c>
      <c r="N983">
        <v>30</v>
      </c>
      <c r="O983">
        <v>11</v>
      </c>
      <c r="P983">
        <v>4</v>
      </c>
      <c r="Q983">
        <v>35</v>
      </c>
      <c r="R983">
        <v>327.75</v>
      </c>
      <c r="S983" t="str">
        <f t="shared" si="75"/>
        <v>PX: Baja Crit.</v>
      </c>
      <c r="T983">
        <f t="shared" si="76"/>
        <v>0</v>
      </c>
      <c r="U983">
        <f t="shared" si="77"/>
        <v>0</v>
      </c>
      <c r="V983">
        <f t="shared" si="78"/>
        <v>0</v>
      </c>
      <c r="W983">
        <f t="shared" si="79"/>
        <v>1</v>
      </c>
      <c r="X983">
        <v>1</v>
      </c>
      <c r="Y983" s="2">
        <v>45768</v>
      </c>
      <c r="Z983" s="3" t="s">
        <v>56</v>
      </c>
      <c r="AA983" t="s">
        <v>39</v>
      </c>
      <c r="AB983" t="s">
        <v>40</v>
      </c>
      <c r="AC983" t="s">
        <v>40</v>
      </c>
      <c r="AD983" t="s">
        <v>184</v>
      </c>
    </row>
    <row r="984" spans="2:30">
      <c r="B984">
        <v>3</v>
      </c>
      <c r="C984">
        <v>1020</v>
      </c>
      <c r="D984" t="s">
        <v>388</v>
      </c>
      <c r="E984">
        <v>10046531</v>
      </c>
      <c r="F984" t="s">
        <v>1080</v>
      </c>
      <c r="G984" t="s">
        <v>52</v>
      </c>
      <c r="H984" t="s">
        <v>60</v>
      </c>
      <c r="I984" t="s">
        <v>1002</v>
      </c>
      <c r="J984" t="s">
        <v>45</v>
      </c>
      <c r="K984" t="s">
        <v>35</v>
      </c>
      <c r="L984" t="s">
        <v>175</v>
      </c>
      <c r="M984" t="s">
        <v>117</v>
      </c>
      <c r="N984">
        <v>0</v>
      </c>
      <c r="O984">
        <v>0</v>
      </c>
      <c r="P984">
        <v>2</v>
      </c>
      <c r="Q984">
        <v>1</v>
      </c>
      <c r="R984" s="4">
        <v>36019</v>
      </c>
      <c r="S984" t="str">
        <f t="shared" si="75"/>
        <v>PZ: Alta Crit.</v>
      </c>
      <c r="T984">
        <f t="shared" si="76"/>
        <v>0</v>
      </c>
      <c r="U984">
        <f t="shared" si="77"/>
        <v>1</v>
      </c>
      <c r="V984">
        <f t="shared" si="78"/>
        <v>0</v>
      </c>
      <c r="W984">
        <f t="shared" si="79"/>
        <v>1</v>
      </c>
      <c r="X984">
        <v>1</v>
      </c>
      <c r="Y984" s="2">
        <v>45768</v>
      </c>
      <c r="Z984" s="3" t="s">
        <v>118</v>
      </c>
      <c r="AA984" t="s">
        <v>39</v>
      </c>
      <c r="AB984" t="s">
        <v>40</v>
      </c>
      <c r="AC984" t="s">
        <v>40</v>
      </c>
      <c r="AD984" t="s">
        <v>391</v>
      </c>
    </row>
    <row r="985" spans="2:30">
      <c r="B985">
        <v>3</v>
      </c>
      <c r="C985">
        <v>1020</v>
      </c>
      <c r="D985" t="s">
        <v>181</v>
      </c>
      <c r="E985">
        <v>10046572</v>
      </c>
      <c r="F985" t="s">
        <v>1081</v>
      </c>
      <c r="G985" t="s">
        <v>52</v>
      </c>
      <c r="H985" t="s">
        <v>44</v>
      </c>
      <c r="I985" t="s">
        <v>183</v>
      </c>
      <c r="J985" t="s">
        <v>45</v>
      </c>
      <c r="K985" t="s">
        <v>35</v>
      </c>
      <c r="L985" t="s">
        <v>36</v>
      </c>
      <c r="M985" t="s">
        <v>46</v>
      </c>
      <c r="N985">
        <v>6</v>
      </c>
      <c r="O985">
        <v>5</v>
      </c>
      <c r="P985">
        <v>2</v>
      </c>
      <c r="Q985">
        <v>2</v>
      </c>
      <c r="R985">
        <v>611.51</v>
      </c>
      <c r="S985" t="str">
        <f t="shared" si="75"/>
        <v>PZ: Alta Crit.</v>
      </c>
      <c r="T985">
        <f t="shared" si="76"/>
        <v>0</v>
      </c>
      <c r="U985">
        <f t="shared" si="77"/>
        <v>1</v>
      </c>
      <c r="V985">
        <f t="shared" si="78"/>
        <v>0</v>
      </c>
      <c r="W985">
        <f t="shared" si="79"/>
        <v>0</v>
      </c>
      <c r="X985">
        <v>1</v>
      </c>
      <c r="Y985" s="2">
        <v>45768</v>
      </c>
      <c r="Z985" s="3" t="s">
        <v>47</v>
      </c>
      <c r="AA985" t="s">
        <v>39</v>
      </c>
      <c r="AB985" t="s">
        <v>49</v>
      </c>
      <c r="AC985" s="5" t="s">
        <v>50</v>
      </c>
      <c r="AD985" t="s">
        <v>184</v>
      </c>
    </row>
    <row r="986" spans="2:30">
      <c r="B986">
        <v>3</v>
      </c>
      <c r="C986">
        <v>1020</v>
      </c>
      <c r="D986" t="s">
        <v>388</v>
      </c>
      <c r="E986">
        <v>10047074</v>
      </c>
      <c r="F986" t="s">
        <v>1082</v>
      </c>
      <c r="G986" t="s">
        <v>52</v>
      </c>
      <c r="H986" t="s">
        <v>32</v>
      </c>
      <c r="I986" t="s">
        <v>390</v>
      </c>
      <c r="J986" t="s">
        <v>45</v>
      </c>
      <c r="K986" t="s">
        <v>35</v>
      </c>
      <c r="L986" t="s">
        <v>175</v>
      </c>
      <c r="M986" t="s">
        <v>117</v>
      </c>
      <c r="N986">
        <v>0</v>
      </c>
      <c r="O986">
        <v>0</v>
      </c>
      <c r="P986">
        <v>1</v>
      </c>
      <c r="Q986">
        <v>0</v>
      </c>
      <c r="R986">
        <v>0</v>
      </c>
      <c r="S986" t="str">
        <f t="shared" si="75"/>
        <v>PZ: Alta Crit.</v>
      </c>
      <c r="T986">
        <f t="shared" si="76"/>
        <v>1</v>
      </c>
      <c r="U986">
        <f t="shared" si="77"/>
        <v>0</v>
      </c>
      <c r="V986">
        <f t="shared" si="78"/>
        <v>0</v>
      </c>
      <c r="W986">
        <f t="shared" si="79"/>
        <v>0</v>
      </c>
      <c r="X986">
        <v>1</v>
      </c>
      <c r="Y986" s="2">
        <v>45768</v>
      </c>
      <c r="Z986" s="3" t="s">
        <v>118</v>
      </c>
      <c r="AA986" t="s">
        <v>39</v>
      </c>
      <c r="AB986" t="s">
        <v>76</v>
      </c>
      <c r="AC986" s="5" t="s">
        <v>77</v>
      </c>
      <c r="AD986" t="s">
        <v>391</v>
      </c>
    </row>
    <row r="987" spans="2:30">
      <c r="B987">
        <v>3</v>
      </c>
      <c r="C987">
        <v>1020</v>
      </c>
      <c r="D987" t="s">
        <v>181</v>
      </c>
      <c r="E987">
        <v>10047230</v>
      </c>
      <c r="F987" t="s">
        <v>1083</v>
      </c>
      <c r="G987" t="s">
        <v>43</v>
      </c>
      <c r="H987" t="s">
        <v>32</v>
      </c>
      <c r="I987" t="s">
        <v>183</v>
      </c>
      <c r="J987" t="s">
        <v>45</v>
      </c>
      <c r="K987" t="s">
        <v>260</v>
      </c>
      <c r="L987" t="s">
        <v>36</v>
      </c>
      <c r="M987" t="s">
        <v>46</v>
      </c>
      <c r="N987">
        <v>1</v>
      </c>
      <c r="O987">
        <v>1</v>
      </c>
      <c r="P987">
        <v>0</v>
      </c>
      <c r="Q987">
        <v>1</v>
      </c>
      <c r="R987" s="4">
        <v>5939.22</v>
      </c>
      <c r="S987" t="str">
        <f t="shared" si="75"/>
        <v>PY: Media Crit.</v>
      </c>
      <c r="T987">
        <f t="shared" si="76"/>
        <v>0</v>
      </c>
      <c r="U987">
        <f t="shared" si="77"/>
        <v>0</v>
      </c>
      <c r="V987">
        <f t="shared" si="78"/>
        <v>1</v>
      </c>
      <c r="W987">
        <f t="shared" si="79"/>
        <v>0</v>
      </c>
      <c r="X987">
        <v>1</v>
      </c>
      <c r="Y987" s="2">
        <v>45768</v>
      </c>
      <c r="Z987" s="3" t="s">
        <v>47</v>
      </c>
      <c r="AA987" t="s">
        <v>39</v>
      </c>
      <c r="AB987" t="s">
        <v>40</v>
      </c>
      <c r="AC987" t="s">
        <v>40</v>
      </c>
      <c r="AD987" t="s">
        <v>184</v>
      </c>
    </row>
    <row r="988" spans="2:30">
      <c r="B988">
        <v>3</v>
      </c>
      <c r="C988">
        <v>1020</v>
      </c>
      <c r="D988" t="s">
        <v>181</v>
      </c>
      <c r="E988">
        <v>10047412</v>
      </c>
      <c r="F988" t="s">
        <v>1084</v>
      </c>
      <c r="G988" t="s">
        <v>43</v>
      </c>
      <c r="H988" t="s">
        <v>32</v>
      </c>
      <c r="I988" t="s">
        <v>183</v>
      </c>
      <c r="J988" t="s">
        <v>45</v>
      </c>
      <c r="K988" t="s">
        <v>35</v>
      </c>
      <c r="L988" t="s">
        <v>36</v>
      </c>
      <c r="M988" t="s">
        <v>37</v>
      </c>
      <c r="N988">
        <v>6</v>
      </c>
      <c r="O988">
        <v>5</v>
      </c>
      <c r="P988">
        <v>2</v>
      </c>
      <c r="Q988">
        <v>6</v>
      </c>
      <c r="R988" s="4">
        <v>1137.1400000000001</v>
      </c>
      <c r="S988" t="str">
        <f t="shared" si="75"/>
        <v>PY: Media Crit.</v>
      </c>
      <c r="T988">
        <f t="shared" si="76"/>
        <v>0</v>
      </c>
      <c r="U988">
        <f t="shared" si="77"/>
        <v>0</v>
      </c>
      <c r="V988">
        <f t="shared" si="78"/>
        <v>1</v>
      </c>
      <c r="W988">
        <f t="shared" si="79"/>
        <v>0</v>
      </c>
      <c r="X988">
        <v>1</v>
      </c>
      <c r="Y988" s="2">
        <v>45768</v>
      </c>
      <c r="Z988" s="3" t="s">
        <v>38</v>
      </c>
      <c r="AA988" t="s">
        <v>39</v>
      </c>
      <c r="AB988" t="s">
        <v>40</v>
      </c>
      <c r="AC988" t="s">
        <v>40</v>
      </c>
      <c r="AD988" t="s">
        <v>184</v>
      </c>
    </row>
    <row r="989" spans="2:30">
      <c r="B989">
        <v>3</v>
      </c>
      <c r="C989">
        <v>1020</v>
      </c>
      <c r="D989" t="s">
        <v>181</v>
      </c>
      <c r="E989">
        <v>10047469</v>
      </c>
      <c r="F989" t="s">
        <v>1085</v>
      </c>
      <c r="G989" t="s">
        <v>43</v>
      </c>
      <c r="H989" t="s">
        <v>32</v>
      </c>
      <c r="I989" t="s">
        <v>183</v>
      </c>
      <c r="J989" t="s">
        <v>45</v>
      </c>
      <c r="K989" t="s">
        <v>35</v>
      </c>
      <c r="L989" t="s">
        <v>36</v>
      </c>
      <c r="M989" t="s">
        <v>37</v>
      </c>
      <c r="N989">
        <v>10</v>
      </c>
      <c r="O989">
        <v>6</v>
      </c>
      <c r="P989">
        <v>5</v>
      </c>
      <c r="Q989">
        <v>10</v>
      </c>
      <c r="R989">
        <v>113.01</v>
      </c>
      <c r="S989" t="str">
        <f t="shared" si="75"/>
        <v>PY: Media Crit.</v>
      </c>
      <c r="T989">
        <f t="shared" si="76"/>
        <v>0</v>
      </c>
      <c r="U989">
        <f t="shared" si="77"/>
        <v>0</v>
      </c>
      <c r="V989">
        <f t="shared" si="78"/>
        <v>1</v>
      </c>
      <c r="W989">
        <f t="shared" si="79"/>
        <v>0</v>
      </c>
      <c r="X989">
        <v>1</v>
      </c>
      <c r="Y989" s="2">
        <v>45768</v>
      </c>
      <c r="Z989" s="3" t="s">
        <v>38</v>
      </c>
      <c r="AA989" t="s">
        <v>39</v>
      </c>
      <c r="AB989" t="s">
        <v>40</v>
      </c>
      <c r="AC989" t="s">
        <v>40</v>
      </c>
      <c r="AD989" t="s">
        <v>184</v>
      </c>
    </row>
    <row r="990" spans="2:30">
      <c r="B990">
        <v>3</v>
      </c>
      <c r="C990">
        <v>1020</v>
      </c>
      <c r="D990" t="s">
        <v>693</v>
      </c>
      <c r="E990">
        <v>10047783</v>
      </c>
      <c r="F990" t="s">
        <v>1086</v>
      </c>
      <c r="G990" t="s">
        <v>43</v>
      </c>
      <c r="H990" t="s">
        <v>32</v>
      </c>
      <c r="I990" t="s">
        <v>695</v>
      </c>
      <c r="J990" t="s">
        <v>45</v>
      </c>
      <c r="K990" t="s">
        <v>35</v>
      </c>
      <c r="L990" t="s">
        <v>175</v>
      </c>
      <c r="M990" t="s">
        <v>46</v>
      </c>
      <c r="N990">
        <v>0</v>
      </c>
      <c r="O990">
        <v>0</v>
      </c>
      <c r="P990">
        <v>0</v>
      </c>
      <c r="Q990">
        <v>0</v>
      </c>
      <c r="R990">
        <v>0</v>
      </c>
      <c r="S990" t="str">
        <f t="shared" si="75"/>
        <v>PY: Media Crit.</v>
      </c>
      <c r="T990">
        <f t="shared" si="76"/>
        <v>1</v>
      </c>
      <c r="U990">
        <f t="shared" si="77"/>
        <v>0</v>
      </c>
      <c r="V990">
        <f t="shared" si="78"/>
        <v>0</v>
      </c>
      <c r="W990">
        <f t="shared" si="79"/>
        <v>0</v>
      </c>
      <c r="X990">
        <v>1</v>
      </c>
      <c r="Y990" s="2">
        <v>45768</v>
      </c>
      <c r="Z990" s="3" t="s">
        <v>47</v>
      </c>
      <c r="AA990" t="s">
        <v>39</v>
      </c>
      <c r="AB990" t="s">
        <v>40</v>
      </c>
      <c r="AC990" t="s">
        <v>40</v>
      </c>
      <c r="AD990" t="s">
        <v>696</v>
      </c>
    </row>
    <row r="991" spans="2:30">
      <c r="B991">
        <v>3</v>
      </c>
      <c r="C991">
        <v>1020</v>
      </c>
      <c r="D991" t="s">
        <v>181</v>
      </c>
      <c r="E991">
        <v>10047818</v>
      </c>
      <c r="F991" t="s">
        <v>1087</v>
      </c>
      <c r="G991" t="s">
        <v>52</v>
      </c>
      <c r="H991" t="s">
        <v>32</v>
      </c>
      <c r="I991" t="s">
        <v>183</v>
      </c>
      <c r="J991" t="s">
        <v>45</v>
      </c>
      <c r="K991" t="s">
        <v>35</v>
      </c>
      <c r="L991" t="s">
        <v>36</v>
      </c>
      <c r="M991" t="s">
        <v>46</v>
      </c>
      <c r="N991">
        <v>2</v>
      </c>
      <c r="O991">
        <v>2</v>
      </c>
      <c r="P991">
        <v>1</v>
      </c>
      <c r="Q991">
        <v>1</v>
      </c>
      <c r="R991">
        <v>469.85</v>
      </c>
      <c r="S991" t="str">
        <f t="shared" si="75"/>
        <v>PZ: Alta Crit.</v>
      </c>
      <c r="T991">
        <f t="shared" si="76"/>
        <v>0</v>
      </c>
      <c r="U991">
        <f t="shared" si="77"/>
        <v>1</v>
      </c>
      <c r="V991">
        <f t="shared" si="78"/>
        <v>0</v>
      </c>
      <c r="W991">
        <f t="shared" si="79"/>
        <v>0</v>
      </c>
      <c r="X991">
        <v>1</v>
      </c>
      <c r="Y991" s="2">
        <v>45768</v>
      </c>
      <c r="Z991" s="3" t="s">
        <v>47</v>
      </c>
      <c r="AA991" t="s">
        <v>39</v>
      </c>
      <c r="AB991" t="s">
        <v>49</v>
      </c>
      <c r="AC991" s="5" t="s">
        <v>50</v>
      </c>
      <c r="AD991" t="s">
        <v>184</v>
      </c>
    </row>
    <row r="992" spans="2:30">
      <c r="B992">
        <v>3</v>
      </c>
      <c r="C992">
        <v>1020</v>
      </c>
      <c r="D992" t="s">
        <v>181</v>
      </c>
      <c r="E992">
        <v>10047825</v>
      </c>
      <c r="F992" t="s">
        <v>1088</v>
      </c>
      <c r="G992" t="s">
        <v>43</v>
      </c>
      <c r="H992" t="s">
        <v>32</v>
      </c>
      <c r="I992" t="s">
        <v>183</v>
      </c>
      <c r="J992" t="s">
        <v>45</v>
      </c>
      <c r="K992" t="s">
        <v>35</v>
      </c>
      <c r="L992" t="s">
        <v>36</v>
      </c>
      <c r="M992" t="s">
        <v>46</v>
      </c>
      <c r="N992">
        <v>2</v>
      </c>
      <c r="O992">
        <v>1</v>
      </c>
      <c r="P992">
        <v>1</v>
      </c>
      <c r="Q992">
        <v>1</v>
      </c>
      <c r="R992">
        <v>163.63</v>
      </c>
      <c r="S992" t="str">
        <f t="shared" si="75"/>
        <v>PY: Media Crit.</v>
      </c>
      <c r="T992">
        <f t="shared" si="76"/>
        <v>0</v>
      </c>
      <c r="U992">
        <f t="shared" si="77"/>
        <v>1</v>
      </c>
      <c r="V992">
        <f t="shared" si="78"/>
        <v>0</v>
      </c>
      <c r="W992">
        <f t="shared" si="79"/>
        <v>0</v>
      </c>
      <c r="X992">
        <v>1</v>
      </c>
      <c r="Y992" s="2">
        <v>45768</v>
      </c>
      <c r="Z992" s="3" t="s">
        <v>47</v>
      </c>
      <c r="AA992" t="s">
        <v>39</v>
      </c>
      <c r="AB992" t="s">
        <v>40</v>
      </c>
      <c r="AC992" t="s">
        <v>40</v>
      </c>
      <c r="AD992" t="s">
        <v>184</v>
      </c>
    </row>
    <row r="993" spans="2:30">
      <c r="B993">
        <v>3</v>
      </c>
      <c r="C993">
        <v>1020</v>
      </c>
      <c r="D993" t="s">
        <v>181</v>
      </c>
      <c r="E993">
        <v>10047878</v>
      </c>
      <c r="F993" t="s">
        <v>1089</v>
      </c>
      <c r="G993" t="s">
        <v>43</v>
      </c>
      <c r="H993" t="s">
        <v>44</v>
      </c>
      <c r="I993" t="s">
        <v>183</v>
      </c>
      <c r="J993" t="s">
        <v>45</v>
      </c>
      <c r="K993" t="s">
        <v>35</v>
      </c>
      <c r="L993" t="s">
        <v>36</v>
      </c>
      <c r="M993" t="s">
        <v>46</v>
      </c>
      <c r="N993">
        <v>10</v>
      </c>
      <c r="O993">
        <v>5</v>
      </c>
      <c r="P993">
        <v>0</v>
      </c>
      <c r="Q993">
        <v>10</v>
      </c>
      <c r="R993" s="4">
        <v>2348.6</v>
      </c>
      <c r="S993" t="str">
        <f t="shared" si="75"/>
        <v>PY: Media Crit.</v>
      </c>
      <c r="T993">
        <f t="shared" si="76"/>
        <v>0</v>
      </c>
      <c r="U993">
        <f t="shared" si="77"/>
        <v>0</v>
      </c>
      <c r="V993">
        <f t="shared" si="78"/>
        <v>1</v>
      </c>
      <c r="W993">
        <f t="shared" si="79"/>
        <v>0</v>
      </c>
      <c r="X993">
        <v>1</v>
      </c>
      <c r="Y993" s="2">
        <v>45768</v>
      </c>
      <c r="Z993" s="3" t="s">
        <v>47</v>
      </c>
      <c r="AA993" t="s">
        <v>39</v>
      </c>
      <c r="AB993" t="s">
        <v>40</v>
      </c>
      <c r="AC993" t="s">
        <v>40</v>
      </c>
      <c r="AD993" t="s">
        <v>184</v>
      </c>
    </row>
    <row r="994" spans="2:30">
      <c r="B994">
        <v>3</v>
      </c>
      <c r="C994">
        <v>1020</v>
      </c>
      <c r="D994" t="s">
        <v>181</v>
      </c>
      <c r="E994">
        <v>10047896</v>
      </c>
      <c r="F994" t="s">
        <v>1090</v>
      </c>
      <c r="G994" t="s">
        <v>43</v>
      </c>
      <c r="H994" t="s">
        <v>32</v>
      </c>
      <c r="I994" t="s">
        <v>183</v>
      </c>
      <c r="J994" t="s">
        <v>45</v>
      </c>
      <c r="K994" t="s">
        <v>35</v>
      </c>
      <c r="L994" t="s">
        <v>36</v>
      </c>
      <c r="M994" t="s">
        <v>46</v>
      </c>
      <c r="N994">
        <v>4</v>
      </c>
      <c r="O994">
        <v>3</v>
      </c>
      <c r="P994">
        <v>1</v>
      </c>
      <c r="Q994">
        <v>3</v>
      </c>
      <c r="R994">
        <v>163.72</v>
      </c>
      <c r="S994" t="str">
        <f t="shared" si="75"/>
        <v>PY: Media Crit.</v>
      </c>
      <c r="T994">
        <f t="shared" si="76"/>
        <v>0</v>
      </c>
      <c r="U994">
        <f t="shared" si="77"/>
        <v>0</v>
      </c>
      <c r="V994">
        <f t="shared" si="78"/>
        <v>1</v>
      </c>
      <c r="W994">
        <f t="shared" si="79"/>
        <v>0</v>
      </c>
      <c r="X994">
        <v>1</v>
      </c>
      <c r="Y994" s="2">
        <v>45768</v>
      </c>
      <c r="Z994" s="3" t="s">
        <v>47</v>
      </c>
      <c r="AA994" t="s">
        <v>39</v>
      </c>
      <c r="AB994" t="s">
        <v>40</v>
      </c>
      <c r="AC994" t="s">
        <v>40</v>
      </c>
      <c r="AD994" t="s">
        <v>184</v>
      </c>
    </row>
    <row r="995" spans="2:30">
      <c r="B995">
        <v>3</v>
      </c>
      <c r="C995">
        <v>1020</v>
      </c>
      <c r="D995" t="s">
        <v>388</v>
      </c>
      <c r="E995">
        <v>10048071</v>
      </c>
      <c r="F995" t="s">
        <v>1091</v>
      </c>
      <c r="G995" t="s">
        <v>52</v>
      </c>
      <c r="H995" t="s">
        <v>32</v>
      </c>
      <c r="I995" t="s">
        <v>390</v>
      </c>
      <c r="J995" t="s">
        <v>45</v>
      </c>
      <c r="K995" t="s">
        <v>35</v>
      </c>
      <c r="L995" t="s">
        <v>175</v>
      </c>
      <c r="M995" t="s">
        <v>46</v>
      </c>
      <c r="N995">
        <v>0</v>
      </c>
      <c r="O995">
        <v>0</v>
      </c>
      <c r="P995">
        <v>1</v>
      </c>
      <c r="Q995">
        <v>2</v>
      </c>
      <c r="R995" s="4">
        <v>13296.25</v>
      </c>
      <c r="S995" t="str">
        <f t="shared" si="75"/>
        <v>PZ: Alta Crit.</v>
      </c>
      <c r="T995">
        <f t="shared" si="76"/>
        <v>0</v>
      </c>
      <c r="U995">
        <f t="shared" si="77"/>
        <v>0</v>
      </c>
      <c r="V995">
        <f t="shared" si="78"/>
        <v>0</v>
      </c>
      <c r="W995">
        <f t="shared" si="79"/>
        <v>1</v>
      </c>
      <c r="X995">
        <v>1</v>
      </c>
      <c r="Y995" s="2">
        <v>45768</v>
      </c>
      <c r="Z995" s="3" t="s">
        <v>47</v>
      </c>
      <c r="AA995" t="s">
        <v>39</v>
      </c>
      <c r="AB995" t="s">
        <v>40</v>
      </c>
      <c r="AC995" t="s">
        <v>40</v>
      </c>
      <c r="AD995" t="s">
        <v>391</v>
      </c>
    </row>
    <row r="996" spans="2:30">
      <c r="B996">
        <v>3</v>
      </c>
      <c r="C996">
        <v>1020</v>
      </c>
      <c r="D996" t="s">
        <v>181</v>
      </c>
      <c r="E996">
        <v>10048111</v>
      </c>
      <c r="F996" t="s">
        <v>1092</v>
      </c>
      <c r="G996" t="s">
        <v>52</v>
      </c>
      <c r="H996" t="s">
        <v>32</v>
      </c>
      <c r="I996" t="s">
        <v>183</v>
      </c>
      <c r="J996" t="s">
        <v>45</v>
      </c>
      <c r="K996" t="s">
        <v>35</v>
      </c>
      <c r="L996" t="s">
        <v>36</v>
      </c>
      <c r="M996" t="s">
        <v>46</v>
      </c>
      <c r="N996">
        <v>20</v>
      </c>
      <c r="O996">
        <v>11</v>
      </c>
      <c r="P996">
        <v>5</v>
      </c>
      <c r="Q996">
        <v>26</v>
      </c>
      <c r="R996">
        <v>795.61</v>
      </c>
      <c r="S996" t="str">
        <f t="shared" si="75"/>
        <v>PZ: Alta Crit.</v>
      </c>
      <c r="T996">
        <f t="shared" si="76"/>
        <v>0</v>
      </c>
      <c r="U996">
        <f t="shared" si="77"/>
        <v>0</v>
      </c>
      <c r="V996">
        <f t="shared" si="78"/>
        <v>0</v>
      </c>
      <c r="W996">
        <f t="shared" si="79"/>
        <v>1</v>
      </c>
      <c r="X996">
        <v>1</v>
      </c>
      <c r="Y996" s="2">
        <v>45768</v>
      </c>
      <c r="Z996" s="3" t="s">
        <v>47</v>
      </c>
      <c r="AA996" t="s">
        <v>39</v>
      </c>
      <c r="AB996" t="s">
        <v>40</v>
      </c>
      <c r="AC996" t="s">
        <v>40</v>
      </c>
      <c r="AD996" t="s">
        <v>184</v>
      </c>
    </row>
    <row r="997" spans="2:30">
      <c r="B997">
        <v>3</v>
      </c>
      <c r="C997">
        <v>1020</v>
      </c>
      <c r="D997" t="s">
        <v>384</v>
      </c>
      <c r="E997">
        <v>10048276</v>
      </c>
      <c r="F997" t="s">
        <v>1093</v>
      </c>
      <c r="G997" t="s">
        <v>52</v>
      </c>
      <c r="H997" t="s">
        <v>32</v>
      </c>
      <c r="I997" t="s">
        <v>386</v>
      </c>
      <c r="J997" t="s">
        <v>45</v>
      </c>
      <c r="K997" t="s">
        <v>35</v>
      </c>
      <c r="L997" t="s">
        <v>175</v>
      </c>
      <c r="M997" t="s">
        <v>46</v>
      </c>
      <c r="N997">
        <v>0</v>
      </c>
      <c r="O997">
        <v>0</v>
      </c>
      <c r="P997">
        <v>0</v>
      </c>
      <c r="Q997">
        <v>0</v>
      </c>
      <c r="R997">
        <v>0</v>
      </c>
      <c r="S997" t="str">
        <f t="shared" si="75"/>
        <v>PZ: Alta Crit.</v>
      </c>
      <c r="T997">
        <f t="shared" si="76"/>
        <v>1</v>
      </c>
      <c r="U997">
        <f t="shared" si="77"/>
        <v>0</v>
      </c>
      <c r="V997">
        <f t="shared" si="78"/>
        <v>0</v>
      </c>
      <c r="W997">
        <f t="shared" si="79"/>
        <v>0</v>
      </c>
      <c r="X997">
        <v>1</v>
      </c>
      <c r="Y997" s="2">
        <v>45768</v>
      </c>
      <c r="Z997" s="3" t="s">
        <v>47</v>
      </c>
      <c r="AA997" t="s">
        <v>39</v>
      </c>
      <c r="AB997" t="s">
        <v>49</v>
      </c>
      <c r="AC997" s="5" t="s">
        <v>50</v>
      </c>
      <c r="AD997" t="s">
        <v>387</v>
      </c>
    </row>
    <row r="998" spans="2:30">
      <c r="B998">
        <v>3</v>
      </c>
      <c r="C998">
        <v>1020</v>
      </c>
      <c r="D998" t="s">
        <v>181</v>
      </c>
      <c r="E998">
        <v>10048280</v>
      </c>
      <c r="F998" t="s">
        <v>1094</v>
      </c>
      <c r="G998" t="s">
        <v>52</v>
      </c>
      <c r="H998" t="s">
        <v>32</v>
      </c>
      <c r="I998" t="s">
        <v>183</v>
      </c>
      <c r="J998" t="s">
        <v>45</v>
      </c>
      <c r="K998" t="s">
        <v>35</v>
      </c>
      <c r="L998" t="s">
        <v>36</v>
      </c>
      <c r="M998" t="s">
        <v>46</v>
      </c>
      <c r="N998">
        <v>6</v>
      </c>
      <c r="O998">
        <v>4</v>
      </c>
      <c r="P998">
        <v>1</v>
      </c>
      <c r="Q998">
        <v>2</v>
      </c>
      <c r="R998">
        <v>864.98</v>
      </c>
      <c r="S998" t="str">
        <f t="shared" si="75"/>
        <v>PZ: Alta Crit.</v>
      </c>
      <c r="T998">
        <f t="shared" si="76"/>
        <v>0</v>
      </c>
      <c r="U998">
        <f t="shared" si="77"/>
        <v>0</v>
      </c>
      <c r="V998">
        <f t="shared" si="78"/>
        <v>1</v>
      </c>
      <c r="W998">
        <f t="shared" si="79"/>
        <v>0</v>
      </c>
      <c r="X998">
        <v>1</v>
      </c>
      <c r="Y998" s="2">
        <v>45768</v>
      </c>
      <c r="Z998" s="3" t="s">
        <v>47</v>
      </c>
      <c r="AA998" t="s">
        <v>39</v>
      </c>
      <c r="AB998" t="s">
        <v>76</v>
      </c>
      <c r="AC998" s="5" t="s">
        <v>77</v>
      </c>
      <c r="AD998" t="s">
        <v>184</v>
      </c>
    </row>
    <row r="999" spans="2:30">
      <c r="B999">
        <v>3</v>
      </c>
      <c r="C999">
        <v>1020</v>
      </c>
      <c r="D999" t="s">
        <v>181</v>
      </c>
      <c r="E999">
        <v>10048486</v>
      </c>
      <c r="F999" t="s">
        <v>1095</v>
      </c>
      <c r="G999" t="s">
        <v>52</v>
      </c>
      <c r="H999" t="s">
        <v>32</v>
      </c>
      <c r="I999" t="s">
        <v>183</v>
      </c>
      <c r="J999" t="s">
        <v>45</v>
      </c>
      <c r="K999" t="s">
        <v>62</v>
      </c>
      <c r="L999" t="s">
        <v>36</v>
      </c>
      <c r="M999" t="s">
        <v>46</v>
      </c>
      <c r="N999">
        <v>2</v>
      </c>
      <c r="O999">
        <v>2</v>
      </c>
      <c r="P999">
        <v>1</v>
      </c>
      <c r="Q999">
        <v>4</v>
      </c>
      <c r="R999">
        <v>392.88</v>
      </c>
      <c r="S999" t="str">
        <f t="shared" si="75"/>
        <v>PZ: Alta Crit.</v>
      </c>
      <c r="T999">
        <f t="shared" si="76"/>
        <v>0</v>
      </c>
      <c r="U999">
        <f t="shared" si="77"/>
        <v>0</v>
      </c>
      <c r="V999">
        <f t="shared" si="78"/>
        <v>0</v>
      </c>
      <c r="W999">
        <f t="shared" si="79"/>
        <v>1</v>
      </c>
      <c r="X999">
        <v>1</v>
      </c>
      <c r="Y999" s="2">
        <v>45768</v>
      </c>
      <c r="Z999" s="3" t="s">
        <v>47</v>
      </c>
      <c r="AA999" t="s">
        <v>39</v>
      </c>
      <c r="AB999" t="s">
        <v>40</v>
      </c>
      <c r="AC999" t="s">
        <v>40</v>
      </c>
      <c r="AD999" t="s">
        <v>184</v>
      </c>
    </row>
    <row r="1000" spans="2:30">
      <c r="B1000">
        <v>3</v>
      </c>
      <c r="C1000">
        <v>1020</v>
      </c>
      <c r="D1000" t="s">
        <v>181</v>
      </c>
      <c r="E1000">
        <v>10049286</v>
      </c>
      <c r="F1000" t="s">
        <v>1096</v>
      </c>
      <c r="G1000" t="s">
        <v>31</v>
      </c>
      <c r="H1000" t="s">
        <v>32</v>
      </c>
      <c r="I1000" t="s">
        <v>183</v>
      </c>
      <c r="J1000" t="s">
        <v>34</v>
      </c>
      <c r="K1000" t="s">
        <v>35</v>
      </c>
      <c r="L1000" t="s">
        <v>36</v>
      </c>
      <c r="M1000" t="s">
        <v>88</v>
      </c>
      <c r="N1000">
        <v>30</v>
      </c>
      <c r="O1000">
        <v>21</v>
      </c>
      <c r="P1000">
        <v>3</v>
      </c>
      <c r="Q1000">
        <v>26</v>
      </c>
      <c r="R1000">
        <v>361.28</v>
      </c>
      <c r="S1000" t="str">
        <f t="shared" si="75"/>
        <v>PX: Baja Crit.</v>
      </c>
      <c r="T1000">
        <f t="shared" si="76"/>
        <v>0</v>
      </c>
      <c r="U1000">
        <f t="shared" si="77"/>
        <v>0</v>
      </c>
      <c r="V1000">
        <f t="shared" si="78"/>
        <v>1</v>
      </c>
      <c r="W1000">
        <f t="shared" si="79"/>
        <v>0</v>
      </c>
      <c r="X1000">
        <v>1</v>
      </c>
      <c r="Y1000" s="2">
        <v>45768</v>
      </c>
      <c r="Z1000" s="3" t="s">
        <v>89</v>
      </c>
      <c r="AA1000" t="s">
        <v>39</v>
      </c>
      <c r="AB1000" t="s">
        <v>40</v>
      </c>
      <c r="AC1000" t="s">
        <v>40</v>
      </c>
      <c r="AD1000" t="s">
        <v>184</v>
      </c>
    </row>
    <row r="1001" spans="2:30">
      <c r="B1001">
        <v>3</v>
      </c>
      <c r="C1001">
        <v>1020</v>
      </c>
      <c r="D1001" t="s">
        <v>181</v>
      </c>
      <c r="E1001">
        <v>10049397</v>
      </c>
      <c r="F1001" t="s">
        <v>1097</v>
      </c>
      <c r="G1001" t="s">
        <v>31</v>
      </c>
      <c r="H1001" t="s">
        <v>32</v>
      </c>
      <c r="I1001" t="s">
        <v>183</v>
      </c>
      <c r="J1001" t="s">
        <v>45</v>
      </c>
      <c r="K1001" t="s">
        <v>35</v>
      </c>
      <c r="L1001" t="s">
        <v>36</v>
      </c>
      <c r="M1001" t="s">
        <v>88</v>
      </c>
      <c r="N1001">
        <v>6</v>
      </c>
      <c r="O1001">
        <v>4</v>
      </c>
      <c r="P1001">
        <v>1</v>
      </c>
      <c r="Q1001">
        <v>6</v>
      </c>
      <c r="R1001">
        <v>665.89</v>
      </c>
      <c r="S1001" t="str">
        <f t="shared" si="75"/>
        <v>PX: Baja Crit.</v>
      </c>
      <c r="T1001">
        <f t="shared" si="76"/>
        <v>0</v>
      </c>
      <c r="U1001">
        <f t="shared" si="77"/>
        <v>0</v>
      </c>
      <c r="V1001">
        <f t="shared" si="78"/>
        <v>1</v>
      </c>
      <c r="W1001">
        <f t="shared" si="79"/>
        <v>0</v>
      </c>
      <c r="X1001">
        <v>1</v>
      </c>
      <c r="Y1001" s="2">
        <v>45768</v>
      </c>
      <c r="Z1001" s="3" t="s">
        <v>89</v>
      </c>
      <c r="AA1001" t="s">
        <v>39</v>
      </c>
      <c r="AB1001" t="s">
        <v>40</v>
      </c>
      <c r="AC1001" t="s">
        <v>40</v>
      </c>
      <c r="AD1001" t="s">
        <v>184</v>
      </c>
    </row>
    <row r="1002" spans="2:30">
      <c r="B1002">
        <v>3</v>
      </c>
      <c r="C1002">
        <v>1020</v>
      </c>
      <c r="D1002" t="s">
        <v>181</v>
      </c>
      <c r="E1002">
        <v>10049477</v>
      </c>
      <c r="F1002" t="s">
        <v>1098</v>
      </c>
      <c r="G1002" t="s">
        <v>31</v>
      </c>
      <c r="H1002" t="s">
        <v>32</v>
      </c>
      <c r="I1002" t="s">
        <v>183</v>
      </c>
      <c r="J1002" t="s">
        <v>45</v>
      </c>
      <c r="K1002" t="s">
        <v>35</v>
      </c>
      <c r="L1002" t="s">
        <v>36</v>
      </c>
      <c r="M1002" t="s">
        <v>46</v>
      </c>
      <c r="N1002">
        <v>2</v>
      </c>
      <c r="O1002">
        <v>1</v>
      </c>
      <c r="P1002">
        <v>1</v>
      </c>
      <c r="Q1002">
        <v>1</v>
      </c>
      <c r="R1002">
        <v>56.38</v>
      </c>
      <c r="S1002" t="str">
        <f t="shared" si="75"/>
        <v>PX: Baja Crit.</v>
      </c>
      <c r="T1002">
        <f t="shared" si="76"/>
        <v>0</v>
      </c>
      <c r="U1002">
        <f t="shared" si="77"/>
        <v>1</v>
      </c>
      <c r="V1002">
        <f t="shared" si="78"/>
        <v>0</v>
      </c>
      <c r="W1002">
        <f t="shared" si="79"/>
        <v>0</v>
      </c>
      <c r="X1002">
        <v>1</v>
      </c>
      <c r="Y1002" s="2">
        <v>45768</v>
      </c>
      <c r="Z1002" s="3" t="s">
        <v>47</v>
      </c>
      <c r="AA1002" t="s">
        <v>39</v>
      </c>
      <c r="AB1002" t="s">
        <v>40</v>
      </c>
      <c r="AC1002" t="s">
        <v>40</v>
      </c>
      <c r="AD1002" t="s">
        <v>184</v>
      </c>
    </row>
    <row r="1003" spans="2:30">
      <c r="B1003">
        <v>3</v>
      </c>
      <c r="C1003">
        <v>1020</v>
      </c>
      <c r="D1003" t="s">
        <v>181</v>
      </c>
      <c r="E1003">
        <v>10050555</v>
      </c>
      <c r="F1003" t="s">
        <v>1099</v>
      </c>
      <c r="G1003" t="s">
        <v>31</v>
      </c>
      <c r="H1003" t="s">
        <v>32</v>
      </c>
      <c r="I1003" t="s">
        <v>183</v>
      </c>
      <c r="J1003" t="s">
        <v>45</v>
      </c>
      <c r="K1003" t="s">
        <v>35</v>
      </c>
      <c r="L1003" t="s">
        <v>36</v>
      </c>
      <c r="M1003" t="s">
        <v>55</v>
      </c>
      <c r="N1003">
        <v>60</v>
      </c>
      <c r="O1003">
        <v>41</v>
      </c>
      <c r="P1003">
        <v>5</v>
      </c>
      <c r="Q1003">
        <v>87</v>
      </c>
      <c r="R1003">
        <v>354.73</v>
      </c>
      <c r="S1003" t="str">
        <f t="shared" si="75"/>
        <v>PX: Baja Crit.</v>
      </c>
      <c r="T1003">
        <f t="shared" si="76"/>
        <v>0</v>
      </c>
      <c r="U1003">
        <f t="shared" si="77"/>
        <v>0</v>
      </c>
      <c r="V1003">
        <f t="shared" si="78"/>
        <v>0</v>
      </c>
      <c r="W1003">
        <f t="shared" si="79"/>
        <v>1</v>
      </c>
      <c r="X1003">
        <v>1</v>
      </c>
      <c r="Y1003" s="2">
        <v>45768</v>
      </c>
      <c r="Z1003" s="3" t="s">
        <v>56</v>
      </c>
      <c r="AA1003" t="s">
        <v>39</v>
      </c>
      <c r="AB1003" t="s">
        <v>40</v>
      </c>
      <c r="AC1003" t="s">
        <v>40</v>
      </c>
      <c r="AD1003" t="s">
        <v>184</v>
      </c>
    </row>
    <row r="1004" spans="2:30">
      <c r="B1004">
        <v>3</v>
      </c>
      <c r="C1004">
        <v>1020</v>
      </c>
      <c r="D1004" t="s">
        <v>181</v>
      </c>
      <c r="E1004">
        <v>10050563</v>
      </c>
      <c r="F1004" t="s">
        <v>1100</v>
      </c>
      <c r="G1004" t="s">
        <v>31</v>
      </c>
      <c r="H1004" t="s">
        <v>32</v>
      </c>
      <c r="I1004" t="s">
        <v>183</v>
      </c>
      <c r="J1004" t="s">
        <v>45</v>
      </c>
      <c r="K1004" t="s">
        <v>35</v>
      </c>
      <c r="L1004" t="s">
        <v>36</v>
      </c>
      <c r="M1004" t="s">
        <v>55</v>
      </c>
      <c r="N1004">
        <v>50</v>
      </c>
      <c r="O1004">
        <v>31</v>
      </c>
      <c r="P1004">
        <v>20</v>
      </c>
      <c r="Q1004">
        <v>49</v>
      </c>
      <c r="R1004">
        <v>79.94</v>
      </c>
      <c r="S1004" t="str">
        <f t="shared" si="75"/>
        <v>PX: Baja Crit.</v>
      </c>
      <c r="T1004">
        <f t="shared" si="76"/>
        <v>0</v>
      </c>
      <c r="U1004">
        <f t="shared" si="77"/>
        <v>0</v>
      </c>
      <c r="V1004">
        <f t="shared" si="78"/>
        <v>1</v>
      </c>
      <c r="W1004">
        <f t="shared" si="79"/>
        <v>0</v>
      </c>
      <c r="X1004">
        <v>1</v>
      </c>
      <c r="Y1004" s="2">
        <v>45768</v>
      </c>
      <c r="Z1004" s="3" t="s">
        <v>56</v>
      </c>
      <c r="AA1004" t="s">
        <v>39</v>
      </c>
      <c r="AB1004" t="s">
        <v>40</v>
      </c>
      <c r="AC1004" t="s">
        <v>40</v>
      </c>
      <c r="AD1004" t="s">
        <v>184</v>
      </c>
    </row>
    <row r="1005" spans="2:30">
      <c r="B1005">
        <v>3</v>
      </c>
      <c r="C1005">
        <v>1020</v>
      </c>
      <c r="D1005" t="s">
        <v>181</v>
      </c>
      <c r="E1005">
        <v>10050565</v>
      </c>
      <c r="F1005" t="s">
        <v>1101</v>
      </c>
      <c r="G1005" t="s">
        <v>31</v>
      </c>
      <c r="H1005" t="s">
        <v>32</v>
      </c>
      <c r="I1005" t="s">
        <v>183</v>
      </c>
      <c r="J1005" t="s">
        <v>45</v>
      </c>
      <c r="K1005" t="s">
        <v>35</v>
      </c>
      <c r="L1005" t="s">
        <v>36</v>
      </c>
      <c r="M1005" t="s">
        <v>55</v>
      </c>
      <c r="N1005">
        <v>80</v>
      </c>
      <c r="O1005">
        <v>51</v>
      </c>
      <c r="P1005">
        <v>10</v>
      </c>
      <c r="Q1005">
        <v>0</v>
      </c>
      <c r="R1005">
        <v>0</v>
      </c>
      <c r="S1005" t="str">
        <f t="shared" si="75"/>
        <v>PX: Baja Crit.</v>
      </c>
      <c r="T1005">
        <f t="shared" si="76"/>
        <v>1</v>
      </c>
      <c r="U1005">
        <f t="shared" si="77"/>
        <v>0</v>
      </c>
      <c r="V1005">
        <f t="shared" si="78"/>
        <v>0</v>
      </c>
      <c r="W1005">
        <f t="shared" si="79"/>
        <v>0</v>
      </c>
      <c r="X1005">
        <v>1</v>
      </c>
      <c r="Y1005" s="2">
        <v>45768</v>
      </c>
      <c r="Z1005" s="3" t="s">
        <v>56</v>
      </c>
      <c r="AA1005" t="s">
        <v>39</v>
      </c>
      <c r="AB1005" t="s">
        <v>49</v>
      </c>
      <c r="AC1005" s="5" t="s">
        <v>50</v>
      </c>
      <c r="AD1005" t="s">
        <v>184</v>
      </c>
    </row>
    <row r="1006" spans="2:30">
      <c r="B1006">
        <v>3</v>
      </c>
      <c r="C1006">
        <v>1020</v>
      </c>
      <c r="D1006" t="s">
        <v>181</v>
      </c>
      <c r="E1006">
        <v>10050580</v>
      </c>
      <c r="F1006" t="s">
        <v>1102</v>
      </c>
      <c r="G1006" t="s">
        <v>43</v>
      </c>
      <c r="H1006" t="s">
        <v>32</v>
      </c>
      <c r="I1006" t="s">
        <v>183</v>
      </c>
      <c r="J1006" t="s">
        <v>45</v>
      </c>
      <c r="K1006" t="s">
        <v>35</v>
      </c>
      <c r="L1006" t="s">
        <v>36</v>
      </c>
      <c r="M1006" t="s">
        <v>55</v>
      </c>
      <c r="N1006">
        <v>60</v>
      </c>
      <c r="O1006">
        <v>31</v>
      </c>
      <c r="P1006">
        <v>10</v>
      </c>
      <c r="Q1006">
        <v>35</v>
      </c>
      <c r="R1006">
        <v>24.82</v>
      </c>
      <c r="S1006" t="str">
        <f t="shared" si="75"/>
        <v>PY: Media Crit.</v>
      </c>
      <c r="T1006">
        <f t="shared" si="76"/>
        <v>0</v>
      </c>
      <c r="U1006">
        <f t="shared" si="77"/>
        <v>0</v>
      </c>
      <c r="V1006">
        <f t="shared" si="78"/>
        <v>1</v>
      </c>
      <c r="W1006">
        <f t="shared" si="79"/>
        <v>0</v>
      </c>
      <c r="X1006">
        <v>1</v>
      </c>
      <c r="Y1006" s="2">
        <v>45768</v>
      </c>
      <c r="Z1006" s="3" t="s">
        <v>56</v>
      </c>
      <c r="AA1006" t="s">
        <v>39</v>
      </c>
      <c r="AB1006" t="s">
        <v>40</v>
      </c>
      <c r="AC1006" t="s">
        <v>40</v>
      </c>
      <c r="AD1006" t="s">
        <v>184</v>
      </c>
    </row>
    <row r="1007" spans="2:30">
      <c r="B1007">
        <v>3</v>
      </c>
      <c r="C1007">
        <v>1020</v>
      </c>
      <c r="D1007" t="s">
        <v>181</v>
      </c>
      <c r="E1007">
        <v>10050591</v>
      </c>
      <c r="F1007" t="s">
        <v>1103</v>
      </c>
      <c r="G1007" t="s">
        <v>31</v>
      </c>
      <c r="H1007" t="s">
        <v>32</v>
      </c>
      <c r="I1007" t="s">
        <v>183</v>
      </c>
      <c r="J1007" t="s">
        <v>45</v>
      </c>
      <c r="K1007" t="s">
        <v>35</v>
      </c>
      <c r="L1007" t="s">
        <v>36</v>
      </c>
      <c r="M1007" t="s">
        <v>55</v>
      </c>
      <c r="N1007">
        <v>35</v>
      </c>
      <c r="O1007">
        <v>21</v>
      </c>
      <c r="P1007">
        <v>10</v>
      </c>
      <c r="Q1007">
        <v>35</v>
      </c>
      <c r="R1007">
        <v>7.93</v>
      </c>
      <c r="S1007" t="str">
        <f t="shared" si="75"/>
        <v>PX: Baja Crit.</v>
      </c>
      <c r="T1007">
        <f t="shared" si="76"/>
        <v>0</v>
      </c>
      <c r="U1007">
        <f t="shared" si="77"/>
        <v>0</v>
      </c>
      <c r="V1007">
        <f t="shared" si="78"/>
        <v>1</v>
      </c>
      <c r="W1007">
        <f t="shared" si="79"/>
        <v>0</v>
      </c>
      <c r="X1007">
        <v>1</v>
      </c>
      <c r="Y1007" s="2">
        <v>45768</v>
      </c>
      <c r="Z1007" s="3" t="s">
        <v>56</v>
      </c>
      <c r="AA1007" t="s">
        <v>39</v>
      </c>
      <c r="AB1007" t="s">
        <v>40</v>
      </c>
      <c r="AC1007" t="s">
        <v>40</v>
      </c>
      <c r="AD1007" t="s">
        <v>184</v>
      </c>
    </row>
    <row r="1008" spans="2:30">
      <c r="B1008">
        <v>3</v>
      </c>
      <c r="C1008">
        <v>1020</v>
      </c>
      <c r="D1008" t="s">
        <v>181</v>
      </c>
      <c r="E1008">
        <v>10050685</v>
      </c>
      <c r="F1008" t="s">
        <v>1104</v>
      </c>
      <c r="G1008" t="s">
        <v>31</v>
      </c>
      <c r="H1008" t="s">
        <v>32</v>
      </c>
      <c r="I1008" t="s">
        <v>183</v>
      </c>
      <c r="J1008" t="s">
        <v>45</v>
      </c>
      <c r="K1008" t="s">
        <v>35</v>
      </c>
      <c r="L1008" t="s">
        <v>36</v>
      </c>
      <c r="M1008" t="s">
        <v>55</v>
      </c>
      <c r="N1008">
        <v>50</v>
      </c>
      <c r="O1008">
        <v>21</v>
      </c>
      <c r="P1008">
        <v>8</v>
      </c>
      <c r="Q1008">
        <v>50</v>
      </c>
      <c r="R1008">
        <v>76.36</v>
      </c>
      <c r="S1008" t="str">
        <f t="shared" si="75"/>
        <v>PX: Baja Crit.</v>
      </c>
      <c r="T1008">
        <f t="shared" si="76"/>
        <v>0</v>
      </c>
      <c r="U1008">
        <f t="shared" si="77"/>
        <v>0</v>
      </c>
      <c r="V1008">
        <f t="shared" si="78"/>
        <v>1</v>
      </c>
      <c r="W1008">
        <f t="shared" si="79"/>
        <v>0</v>
      </c>
      <c r="X1008">
        <v>1</v>
      </c>
      <c r="Y1008" s="2">
        <v>45768</v>
      </c>
      <c r="Z1008" s="3" t="s">
        <v>56</v>
      </c>
      <c r="AA1008" t="s">
        <v>39</v>
      </c>
      <c r="AB1008" t="s">
        <v>40</v>
      </c>
      <c r="AC1008" t="s">
        <v>40</v>
      </c>
      <c r="AD1008" t="s">
        <v>184</v>
      </c>
    </row>
    <row r="1009" spans="2:30">
      <c r="B1009">
        <v>3</v>
      </c>
      <c r="C1009">
        <v>1020</v>
      </c>
      <c r="D1009" t="s">
        <v>181</v>
      </c>
      <c r="E1009">
        <v>10051734</v>
      </c>
      <c r="F1009" t="s">
        <v>1105</v>
      </c>
      <c r="G1009" t="s">
        <v>43</v>
      </c>
      <c r="H1009" t="s">
        <v>32</v>
      </c>
      <c r="I1009" t="s">
        <v>183</v>
      </c>
      <c r="J1009" t="s">
        <v>45</v>
      </c>
      <c r="K1009" t="s">
        <v>35</v>
      </c>
      <c r="L1009" t="s">
        <v>36</v>
      </c>
      <c r="M1009" t="s">
        <v>46</v>
      </c>
      <c r="N1009">
        <v>4</v>
      </c>
      <c r="O1009">
        <v>3</v>
      </c>
      <c r="P1009">
        <v>1</v>
      </c>
      <c r="Q1009">
        <v>3</v>
      </c>
      <c r="R1009">
        <v>271.22000000000003</v>
      </c>
      <c r="S1009" t="str">
        <f t="shared" si="75"/>
        <v>PY: Media Crit.</v>
      </c>
      <c r="T1009">
        <f t="shared" si="76"/>
        <v>0</v>
      </c>
      <c r="U1009">
        <f t="shared" si="77"/>
        <v>0</v>
      </c>
      <c r="V1009">
        <f t="shared" si="78"/>
        <v>1</v>
      </c>
      <c r="W1009">
        <f t="shared" si="79"/>
        <v>0</v>
      </c>
      <c r="X1009">
        <v>1</v>
      </c>
      <c r="Y1009" s="2">
        <v>45768</v>
      </c>
      <c r="Z1009" s="3" t="s">
        <v>47</v>
      </c>
      <c r="AA1009" t="s">
        <v>39</v>
      </c>
      <c r="AB1009" t="s">
        <v>40</v>
      </c>
      <c r="AC1009" t="s">
        <v>40</v>
      </c>
      <c r="AD1009" t="s">
        <v>184</v>
      </c>
    </row>
    <row r="1010" spans="2:30">
      <c r="B1010">
        <v>3</v>
      </c>
      <c r="C1010">
        <v>1020</v>
      </c>
      <c r="D1010" t="s">
        <v>384</v>
      </c>
      <c r="E1010">
        <v>10053509</v>
      </c>
      <c r="F1010" t="s">
        <v>1106</v>
      </c>
      <c r="G1010" t="s">
        <v>43</v>
      </c>
      <c r="H1010" t="s">
        <v>60</v>
      </c>
      <c r="I1010" t="s">
        <v>386</v>
      </c>
      <c r="J1010" t="s">
        <v>45</v>
      </c>
      <c r="K1010" t="s">
        <v>35</v>
      </c>
      <c r="L1010" t="s">
        <v>175</v>
      </c>
      <c r="M1010" t="s">
        <v>117</v>
      </c>
      <c r="N1010">
        <v>0</v>
      </c>
      <c r="O1010">
        <v>0</v>
      </c>
      <c r="P1010">
        <v>9</v>
      </c>
      <c r="Q1010">
        <v>54</v>
      </c>
      <c r="R1010" s="4">
        <v>7185.86</v>
      </c>
      <c r="S1010" t="str">
        <f t="shared" si="75"/>
        <v>PY: Media Crit.</v>
      </c>
      <c r="T1010">
        <f t="shared" si="76"/>
        <v>0</v>
      </c>
      <c r="U1010">
        <f t="shared" si="77"/>
        <v>0</v>
      </c>
      <c r="V1010">
        <f t="shared" si="78"/>
        <v>0</v>
      </c>
      <c r="W1010">
        <f t="shared" si="79"/>
        <v>1</v>
      </c>
      <c r="X1010">
        <v>1</v>
      </c>
      <c r="Y1010" s="2">
        <v>45768</v>
      </c>
      <c r="Z1010" s="3" t="s">
        <v>118</v>
      </c>
      <c r="AA1010" t="s">
        <v>39</v>
      </c>
      <c r="AB1010" t="s">
        <v>40</v>
      </c>
      <c r="AC1010" t="s">
        <v>40</v>
      </c>
      <c r="AD1010" t="s">
        <v>387</v>
      </c>
    </row>
    <row r="1011" spans="2:30">
      <c r="B1011">
        <v>3</v>
      </c>
      <c r="C1011">
        <v>1020</v>
      </c>
      <c r="D1011" t="s">
        <v>181</v>
      </c>
      <c r="E1011">
        <v>10054028</v>
      </c>
      <c r="F1011" t="s">
        <v>1107</v>
      </c>
      <c r="G1011" t="s">
        <v>52</v>
      </c>
      <c r="H1011" t="s">
        <v>32</v>
      </c>
      <c r="I1011" t="s">
        <v>183</v>
      </c>
      <c r="J1011" t="s">
        <v>45</v>
      </c>
      <c r="K1011" t="s">
        <v>35</v>
      </c>
      <c r="L1011" t="s">
        <v>36</v>
      </c>
      <c r="M1011" t="s">
        <v>117</v>
      </c>
      <c r="N1011">
        <v>18</v>
      </c>
      <c r="O1011">
        <v>13</v>
      </c>
      <c r="P1011">
        <v>5</v>
      </c>
      <c r="Q1011">
        <v>10</v>
      </c>
      <c r="R1011" s="4">
        <v>10545.02</v>
      </c>
      <c r="S1011" t="str">
        <f t="shared" si="75"/>
        <v>PZ: Alta Crit.</v>
      </c>
      <c r="T1011">
        <f t="shared" si="76"/>
        <v>0</v>
      </c>
      <c r="U1011">
        <f t="shared" si="77"/>
        <v>0</v>
      </c>
      <c r="V1011">
        <f t="shared" si="78"/>
        <v>1</v>
      </c>
      <c r="W1011">
        <f t="shared" si="79"/>
        <v>0</v>
      </c>
      <c r="X1011">
        <v>1</v>
      </c>
      <c r="Y1011" s="2">
        <v>45768</v>
      </c>
      <c r="Z1011" s="3" t="s">
        <v>118</v>
      </c>
      <c r="AA1011" t="s">
        <v>39</v>
      </c>
      <c r="AB1011" t="s">
        <v>49</v>
      </c>
      <c r="AC1011" s="5" t="s">
        <v>50</v>
      </c>
      <c r="AD1011" t="s">
        <v>184</v>
      </c>
    </row>
    <row r="1012" spans="2:30">
      <c r="B1012">
        <v>3</v>
      </c>
      <c r="C1012">
        <v>1020</v>
      </c>
      <c r="D1012" t="s">
        <v>181</v>
      </c>
      <c r="E1012">
        <v>10054086</v>
      </c>
      <c r="F1012" t="s">
        <v>1108</v>
      </c>
      <c r="G1012" t="s">
        <v>43</v>
      </c>
      <c r="H1012" t="s">
        <v>32</v>
      </c>
      <c r="I1012" t="s">
        <v>183</v>
      </c>
      <c r="J1012" t="s">
        <v>45</v>
      </c>
      <c r="K1012" t="s">
        <v>35</v>
      </c>
      <c r="L1012" t="s">
        <v>36</v>
      </c>
      <c r="M1012" t="s">
        <v>117</v>
      </c>
      <c r="N1012">
        <v>2</v>
      </c>
      <c r="O1012">
        <v>2</v>
      </c>
      <c r="P1012">
        <v>1</v>
      </c>
      <c r="Q1012">
        <v>0</v>
      </c>
      <c r="R1012">
        <v>0</v>
      </c>
      <c r="S1012" t="str">
        <f t="shared" si="75"/>
        <v>PY: Media Crit.</v>
      </c>
      <c r="T1012">
        <f t="shared" si="76"/>
        <v>1</v>
      </c>
      <c r="U1012">
        <f t="shared" si="77"/>
        <v>0</v>
      </c>
      <c r="V1012">
        <f t="shared" si="78"/>
        <v>0</v>
      </c>
      <c r="W1012">
        <f t="shared" si="79"/>
        <v>0</v>
      </c>
      <c r="X1012">
        <v>1</v>
      </c>
      <c r="Y1012" s="2">
        <v>45768</v>
      </c>
      <c r="Z1012" s="3" t="s">
        <v>118</v>
      </c>
      <c r="AA1012" t="s">
        <v>39</v>
      </c>
      <c r="AB1012" t="s">
        <v>76</v>
      </c>
      <c r="AC1012" s="5" t="s">
        <v>77</v>
      </c>
      <c r="AD1012" t="s">
        <v>184</v>
      </c>
    </row>
    <row r="1013" spans="2:30">
      <c r="B1013">
        <v>3</v>
      </c>
      <c r="C1013">
        <v>1020</v>
      </c>
      <c r="D1013" t="s">
        <v>181</v>
      </c>
      <c r="E1013">
        <v>10054221</v>
      </c>
      <c r="F1013" t="s">
        <v>1109</v>
      </c>
      <c r="G1013" t="s">
        <v>31</v>
      </c>
      <c r="H1013" t="s">
        <v>60</v>
      </c>
      <c r="I1013" t="s">
        <v>183</v>
      </c>
      <c r="J1013" t="s">
        <v>34</v>
      </c>
      <c r="K1013" t="s">
        <v>35</v>
      </c>
      <c r="L1013" t="s">
        <v>36</v>
      </c>
      <c r="M1013" t="s">
        <v>69</v>
      </c>
      <c r="N1013">
        <v>15</v>
      </c>
      <c r="O1013">
        <v>9</v>
      </c>
      <c r="P1013">
        <v>2</v>
      </c>
      <c r="Q1013">
        <v>9</v>
      </c>
      <c r="R1013">
        <v>498.08</v>
      </c>
      <c r="S1013" t="str">
        <f t="shared" si="75"/>
        <v>PX: Baja Crit.</v>
      </c>
      <c r="T1013">
        <f t="shared" si="76"/>
        <v>0</v>
      </c>
      <c r="U1013">
        <f t="shared" si="77"/>
        <v>0</v>
      </c>
      <c r="V1013">
        <f t="shared" si="78"/>
        <v>1</v>
      </c>
      <c r="W1013">
        <f t="shared" si="79"/>
        <v>0</v>
      </c>
      <c r="X1013">
        <v>1</v>
      </c>
      <c r="Y1013" s="2">
        <v>45768</v>
      </c>
      <c r="Z1013" s="3" t="s">
        <v>70</v>
      </c>
      <c r="AA1013" t="s">
        <v>39</v>
      </c>
      <c r="AB1013" t="s">
        <v>40</v>
      </c>
      <c r="AC1013" t="s">
        <v>40</v>
      </c>
      <c r="AD1013" t="s">
        <v>184</v>
      </c>
    </row>
    <row r="1014" spans="2:30">
      <c r="B1014">
        <v>3</v>
      </c>
      <c r="C1014">
        <v>1020</v>
      </c>
      <c r="D1014" t="s">
        <v>181</v>
      </c>
      <c r="E1014">
        <v>10054318</v>
      </c>
      <c r="F1014" t="s">
        <v>1110</v>
      </c>
      <c r="G1014" t="s">
        <v>31</v>
      </c>
      <c r="H1014" t="s">
        <v>32</v>
      </c>
      <c r="I1014" t="s">
        <v>183</v>
      </c>
      <c r="J1014" t="s">
        <v>45</v>
      </c>
      <c r="K1014" t="s">
        <v>35</v>
      </c>
      <c r="L1014" t="s">
        <v>36</v>
      </c>
      <c r="M1014" t="s">
        <v>69</v>
      </c>
      <c r="N1014">
        <v>8</v>
      </c>
      <c r="O1014">
        <v>6</v>
      </c>
      <c r="P1014">
        <v>0</v>
      </c>
      <c r="Q1014">
        <v>8</v>
      </c>
      <c r="R1014">
        <v>426.81</v>
      </c>
      <c r="S1014" t="str">
        <f t="shared" si="75"/>
        <v>PX: Baja Crit.</v>
      </c>
      <c r="T1014">
        <f t="shared" si="76"/>
        <v>0</v>
      </c>
      <c r="U1014">
        <f t="shared" si="77"/>
        <v>0</v>
      </c>
      <c r="V1014">
        <f t="shared" si="78"/>
        <v>1</v>
      </c>
      <c r="W1014">
        <f t="shared" si="79"/>
        <v>0</v>
      </c>
      <c r="X1014">
        <v>1</v>
      </c>
      <c r="Y1014" s="2">
        <v>45768</v>
      </c>
      <c r="Z1014" s="3" t="s">
        <v>70</v>
      </c>
      <c r="AA1014" t="s">
        <v>39</v>
      </c>
      <c r="AB1014" t="s">
        <v>40</v>
      </c>
      <c r="AC1014" t="s">
        <v>40</v>
      </c>
      <c r="AD1014" t="s">
        <v>184</v>
      </c>
    </row>
    <row r="1015" spans="2:30">
      <c r="B1015">
        <v>3</v>
      </c>
      <c r="C1015">
        <v>1020</v>
      </c>
      <c r="D1015" t="s">
        <v>181</v>
      </c>
      <c r="E1015">
        <v>10054474</v>
      </c>
      <c r="F1015" t="s">
        <v>1111</v>
      </c>
      <c r="G1015" t="s">
        <v>31</v>
      </c>
      <c r="H1015" t="s">
        <v>44</v>
      </c>
      <c r="I1015" t="s">
        <v>183</v>
      </c>
      <c r="J1015" t="s">
        <v>45</v>
      </c>
      <c r="K1015" t="s">
        <v>35</v>
      </c>
      <c r="L1015" t="s">
        <v>36</v>
      </c>
      <c r="M1015" t="s">
        <v>46</v>
      </c>
      <c r="N1015">
        <v>2</v>
      </c>
      <c r="O1015">
        <v>1</v>
      </c>
      <c r="P1015">
        <v>0</v>
      </c>
      <c r="Q1015">
        <v>2</v>
      </c>
      <c r="R1015" s="4">
        <v>6785.34</v>
      </c>
      <c r="S1015" t="str">
        <f t="shared" si="75"/>
        <v>PX: Baja Crit.</v>
      </c>
      <c r="T1015">
        <f t="shared" si="76"/>
        <v>0</v>
      </c>
      <c r="U1015">
        <f t="shared" si="77"/>
        <v>0</v>
      </c>
      <c r="V1015">
        <f t="shared" si="78"/>
        <v>1</v>
      </c>
      <c r="W1015">
        <f t="shared" si="79"/>
        <v>0</v>
      </c>
      <c r="X1015">
        <v>1</v>
      </c>
      <c r="Y1015" s="2">
        <v>45768</v>
      </c>
      <c r="Z1015" s="3" t="s">
        <v>47</v>
      </c>
      <c r="AA1015" t="s">
        <v>39</v>
      </c>
      <c r="AB1015" t="s">
        <v>40</v>
      </c>
      <c r="AC1015" t="s">
        <v>40</v>
      </c>
      <c r="AD1015" t="s">
        <v>184</v>
      </c>
    </row>
    <row r="1016" spans="2:30">
      <c r="B1016">
        <v>3</v>
      </c>
      <c r="C1016">
        <v>1020</v>
      </c>
      <c r="D1016" t="s">
        <v>181</v>
      </c>
      <c r="E1016">
        <v>10054528</v>
      </c>
      <c r="F1016" t="s">
        <v>1112</v>
      </c>
      <c r="G1016" t="s">
        <v>52</v>
      </c>
      <c r="H1016" t="s">
        <v>32</v>
      </c>
      <c r="I1016" t="s">
        <v>183</v>
      </c>
      <c r="J1016" t="s">
        <v>45</v>
      </c>
      <c r="K1016" t="s">
        <v>35</v>
      </c>
      <c r="L1016" t="s">
        <v>36</v>
      </c>
      <c r="M1016" t="s">
        <v>46</v>
      </c>
      <c r="N1016">
        <v>2</v>
      </c>
      <c r="O1016">
        <v>1</v>
      </c>
      <c r="P1016">
        <v>0</v>
      </c>
      <c r="Q1016">
        <v>2</v>
      </c>
      <c r="R1016">
        <v>868.64</v>
      </c>
      <c r="S1016" t="str">
        <f t="shared" si="75"/>
        <v>PZ: Alta Crit.</v>
      </c>
      <c r="T1016">
        <f t="shared" si="76"/>
        <v>0</v>
      </c>
      <c r="U1016">
        <f t="shared" si="77"/>
        <v>0</v>
      </c>
      <c r="V1016">
        <f t="shared" si="78"/>
        <v>1</v>
      </c>
      <c r="W1016">
        <f t="shared" si="79"/>
        <v>0</v>
      </c>
      <c r="X1016">
        <v>1</v>
      </c>
      <c r="Y1016" s="2">
        <v>45768</v>
      </c>
      <c r="Z1016" s="3" t="s">
        <v>47</v>
      </c>
      <c r="AA1016" t="s">
        <v>39</v>
      </c>
      <c r="AB1016" t="s">
        <v>40</v>
      </c>
      <c r="AC1016" t="s">
        <v>40</v>
      </c>
      <c r="AD1016" t="s">
        <v>184</v>
      </c>
    </row>
    <row r="1017" spans="2:30">
      <c r="B1017">
        <v>3</v>
      </c>
      <c r="C1017">
        <v>1020</v>
      </c>
      <c r="D1017" t="s">
        <v>181</v>
      </c>
      <c r="E1017">
        <v>10054828</v>
      </c>
      <c r="F1017" t="s">
        <v>1113</v>
      </c>
      <c r="G1017" t="s">
        <v>52</v>
      </c>
      <c r="H1017" t="s">
        <v>32</v>
      </c>
      <c r="I1017" t="s">
        <v>183</v>
      </c>
      <c r="J1017" t="s">
        <v>45</v>
      </c>
      <c r="K1017" t="s">
        <v>35</v>
      </c>
      <c r="L1017" t="s">
        <v>36</v>
      </c>
      <c r="M1017" t="s">
        <v>37</v>
      </c>
      <c r="N1017">
        <v>2</v>
      </c>
      <c r="O1017">
        <v>2</v>
      </c>
      <c r="P1017">
        <v>1</v>
      </c>
      <c r="Q1017">
        <v>1</v>
      </c>
      <c r="R1017" s="4">
        <v>7173.4</v>
      </c>
      <c r="S1017" t="str">
        <f t="shared" si="75"/>
        <v>PZ: Alta Crit.</v>
      </c>
      <c r="T1017">
        <f t="shared" si="76"/>
        <v>0</v>
      </c>
      <c r="U1017">
        <f t="shared" si="77"/>
        <v>1</v>
      </c>
      <c r="V1017">
        <f t="shared" si="78"/>
        <v>0</v>
      </c>
      <c r="W1017">
        <f t="shared" si="79"/>
        <v>0</v>
      </c>
      <c r="X1017">
        <v>1</v>
      </c>
      <c r="Y1017" s="2">
        <v>45768</v>
      </c>
      <c r="Z1017" s="3" t="s">
        <v>38</v>
      </c>
      <c r="AA1017" t="s">
        <v>39</v>
      </c>
      <c r="AB1017" t="s">
        <v>49</v>
      </c>
      <c r="AC1017" s="5" t="s">
        <v>50</v>
      </c>
      <c r="AD1017" t="s">
        <v>184</v>
      </c>
    </row>
    <row r="1018" spans="2:30">
      <c r="B1018">
        <v>3</v>
      </c>
      <c r="C1018">
        <v>1020</v>
      </c>
      <c r="D1018" t="s">
        <v>181</v>
      </c>
      <c r="E1018">
        <v>10054831</v>
      </c>
      <c r="F1018" t="s">
        <v>1114</v>
      </c>
      <c r="G1018" t="s">
        <v>52</v>
      </c>
      <c r="H1018" t="s">
        <v>32</v>
      </c>
      <c r="I1018" t="s">
        <v>183</v>
      </c>
      <c r="J1018" t="s">
        <v>45</v>
      </c>
      <c r="K1018" t="s">
        <v>35</v>
      </c>
      <c r="L1018" t="s">
        <v>36</v>
      </c>
      <c r="M1018" t="s">
        <v>37</v>
      </c>
      <c r="N1018">
        <v>2</v>
      </c>
      <c r="O1018">
        <v>2</v>
      </c>
      <c r="P1018">
        <v>1</v>
      </c>
      <c r="Q1018">
        <v>1</v>
      </c>
      <c r="R1018" s="4">
        <v>7173.4</v>
      </c>
      <c r="S1018" t="str">
        <f t="shared" si="75"/>
        <v>PZ: Alta Crit.</v>
      </c>
      <c r="T1018">
        <f t="shared" si="76"/>
        <v>0</v>
      </c>
      <c r="U1018">
        <f t="shared" si="77"/>
        <v>1</v>
      </c>
      <c r="V1018">
        <f t="shared" si="78"/>
        <v>0</v>
      </c>
      <c r="W1018">
        <f t="shared" si="79"/>
        <v>0</v>
      </c>
      <c r="X1018">
        <v>1</v>
      </c>
      <c r="Y1018" s="2">
        <v>45768</v>
      </c>
      <c r="Z1018" s="3" t="s">
        <v>38</v>
      </c>
      <c r="AA1018" t="s">
        <v>39</v>
      </c>
      <c r="AB1018" t="s">
        <v>49</v>
      </c>
      <c r="AC1018" s="5" t="s">
        <v>50</v>
      </c>
      <c r="AD1018" t="s">
        <v>184</v>
      </c>
    </row>
    <row r="1019" spans="2:30">
      <c r="B1019">
        <v>3</v>
      </c>
      <c r="C1019">
        <v>1020</v>
      </c>
      <c r="D1019" t="s">
        <v>181</v>
      </c>
      <c r="E1019">
        <v>10055039</v>
      </c>
      <c r="F1019" t="s">
        <v>1115</v>
      </c>
      <c r="G1019" t="s">
        <v>43</v>
      </c>
      <c r="H1019" t="s">
        <v>44</v>
      </c>
      <c r="I1019" t="s">
        <v>183</v>
      </c>
      <c r="J1019" t="s">
        <v>45</v>
      </c>
      <c r="K1019" t="s">
        <v>35</v>
      </c>
      <c r="L1019" t="s">
        <v>36</v>
      </c>
      <c r="M1019" t="s">
        <v>46</v>
      </c>
      <c r="N1019">
        <v>2</v>
      </c>
      <c r="O1019">
        <v>1</v>
      </c>
      <c r="P1019">
        <v>0</v>
      </c>
      <c r="Q1019">
        <v>1</v>
      </c>
      <c r="R1019" s="4">
        <v>1262.25</v>
      </c>
      <c r="S1019" t="str">
        <f t="shared" si="75"/>
        <v>PY: Media Crit.</v>
      </c>
      <c r="T1019">
        <f t="shared" si="76"/>
        <v>0</v>
      </c>
      <c r="U1019">
        <f t="shared" si="77"/>
        <v>0</v>
      </c>
      <c r="V1019">
        <f t="shared" si="78"/>
        <v>1</v>
      </c>
      <c r="W1019">
        <f t="shared" si="79"/>
        <v>0</v>
      </c>
      <c r="X1019">
        <v>1</v>
      </c>
      <c r="Y1019" s="2">
        <v>45768</v>
      </c>
      <c r="Z1019" s="3" t="s">
        <v>47</v>
      </c>
      <c r="AA1019" t="s">
        <v>39</v>
      </c>
      <c r="AB1019" t="s">
        <v>40</v>
      </c>
      <c r="AC1019" t="s">
        <v>40</v>
      </c>
      <c r="AD1019" t="s">
        <v>184</v>
      </c>
    </row>
    <row r="1020" spans="2:30">
      <c r="B1020">
        <v>3</v>
      </c>
      <c r="C1020">
        <v>1020</v>
      </c>
      <c r="D1020" t="s">
        <v>181</v>
      </c>
      <c r="E1020">
        <v>10055066</v>
      </c>
      <c r="F1020" t="s">
        <v>1116</v>
      </c>
      <c r="G1020" t="s">
        <v>43</v>
      </c>
      <c r="H1020" t="s">
        <v>32</v>
      </c>
      <c r="I1020" t="s">
        <v>183</v>
      </c>
      <c r="J1020" t="s">
        <v>45</v>
      </c>
      <c r="K1020" t="s">
        <v>35</v>
      </c>
      <c r="L1020" t="s">
        <v>36</v>
      </c>
      <c r="M1020" t="s">
        <v>46</v>
      </c>
      <c r="N1020">
        <v>12</v>
      </c>
      <c r="O1020">
        <v>7</v>
      </c>
      <c r="P1020">
        <v>2</v>
      </c>
      <c r="Q1020">
        <v>20</v>
      </c>
      <c r="R1020" s="4">
        <v>1616.38</v>
      </c>
      <c r="S1020" t="str">
        <f t="shared" si="75"/>
        <v>PY: Media Crit.</v>
      </c>
      <c r="T1020">
        <f t="shared" si="76"/>
        <v>0</v>
      </c>
      <c r="U1020">
        <f t="shared" si="77"/>
        <v>0</v>
      </c>
      <c r="V1020">
        <f t="shared" si="78"/>
        <v>0</v>
      </c>
      <c r="W1020">
        <f t="shared" si="79"/>
        <v>1</v>
      </c>
      <c r="X1020">
        <v>1</v>
      </c>
      <c r="Y1020" s="2">
        <v>45768</v>
      </c>
      <c r="Z1020" s="3" t="s">
        <v>47</v>
      </c>
      <c r="AA1020" t="s">
        <v>39</v>
      </c>
      <c r="AB1020" t="s">
        <v>76</v>
      </c>
      <c r="AC1020" s="5" t="s">
        <v>77</v>
      </c>
      <c r="AD1020" t="s">
        <v>184</v>
      </c>
    </row>
    <row r="1021" spans="2:30">
      <c r="B1021">
        <v>3</v>
      </c>
      <c r="C1021">
        <v>1020</v>
      </c>
      <c r="D1021" t="s">
        <v>384</v>
      </c>
      <c r="E1021">
        <v>10055131</v>
      </c>
      <c r="F1021" t="s">
        <v>1117</v>
      </c>
      <c r="G1021" t="s">
        <v>43</v>
      </c>
      <c r="H1021" t="s">
        <v>44</v>
      </c>
      <c r="I1021" t="s">
        <v>386</v>
      </c>
      <c r="J1021" t="s">
        <v>45</v>
      </c>
      <c r="K1021" t="s">
        <v>35</v>
      </c>
      <c r="L1021" t="s">
        <v>175</v>
      </c>
      <c r="M1021" t="s">
        <v>117</v>
      </c>
      <c r="N1021">
        <v>0</v>
      </c>
      <c r="O1021">
        <v>0</v>
      </c>
      <c r="P1021">
        <v>0</v>
      </c>
      <c r="Q1021">
        <v>6</v>
      </c>
      <c r="R1021" s="4">
        <v>1899.49</v>
      </c>
      <c r="S1021" t="str">
        <f t="shared" si="75"/>
        <v>PY: Media Crit.</v>
      </c>
      <c r="T1021">
        <f t="shared" si="76"/>
        <v>0</v>
      </c>
      <c r="U1021">
        <f t="shared" si="77"/>
        <v>0</v>
      </c>
      <c r="V1021">
        <f t="shared" si="78"/>
        <v>0</v>
      </c>
      <c r="W1021">
        <f t="shared" si="79"/>
        <v>1</v>
      </c>
      <c r="X1021">
        <v>1</v>
      </c>
      <c r="Y1021" s="2">
        <v>45768</v>
      </c>
      <c r="Z1021" s="3" t="s">
        <v>118</v>
      </c>
      <c r="AA1021" t="s">
        <v>39</v>
      </c>
      <c r="AB1021" t="s">
        <v>40</v>
      </c>
      <c r="AC1021" t="s">
        <v>40</v>
      </c>
      <c r="AD1021" t="s">
        <v>387</v>
      </c>
    </row>
    <row r="1022" spans="2:30">
      <c r="B1022">
        <v>3</v>
      </c>
      <c r="C1022">
        <v>1020</v>
      </c>
      <c r="D1022" t="s">
        <v>181</v>
      </c>
      <c r="E1022">
        <v>10055144</v>
      </c>
      <c r="F1022" t="s">
        <v>1118</v>
      </c>
      <c r="G1022" t="s">
        <v>52</v>
      </c>
      <c r="H1022" t="s">
        <v>60</v>
      </c>
      <c r="I1022" t="s">
        <v>183</v>
      </c>
      <c r="J1022" t="s">
        <v>45</v>
      </c>
      <c r="K1022" t="s">
        <v>35</v>
      </c>
      <c r="L1022" t="s">
        <v>36</v>
      </c>
      <c r="M1022" t="s">
        <v>46</v>
      </c>
      <c r="N1022">
        <v>6</v>
      </c>
      <c r="O1022">
        <v>5</v>
      </c>
      <c r="P1022">
        <v>2</v>
      </c>
      <c r="Q1022">
        <v>4</v>
      </c>
      <c r="R1022" s="4">
        <v>1242.5899999999999</v>
      </c>
      <c r="S1022" t="str">
        <f t="shared" si="75"/>
        <v>PZ: Alta Crit.</v>
      </c>
      <c r="T1022">
        <f t="shared" si="76"/>
        <v>0</v>
      </c>
      <c r="U1022">
        <f t="shared" si="77"/>
        <v>0</v>
      </c>
      <c r="V1022">
        <f t="shared" si="78"/>
        <v>1</v>
      </c>
      <c r="W1022">
        <f t="shared" si="79"/>
        <v>0</v>
      </c>
      <c r="X1022">
        <v>1</v>
      </c>
      <c r="Y1022" s="2">
        <v>45768</v>
      </c>
      <c r="Z1022" s="3" t="s">
        <v>47</v>
      </c>
      <c r="AA1022" t="s">
        <v>39</v>
      </c>
      <c r="AB1022" t="s">
        <v>49</v>
      </c>
      <c r="AC1022" s="5" t="s">
        <v>50</v>
      </c>
      <c r="AD1022" t="s">
        <v>184</v>
      </c>
    </row>
    <row r="1023" spans="2:30">
      <c r="B1023">
        <v>3</v>
      </c>
      <c r="C1023">
        <v>1020</v>
      </c>
      <c r="D1023" t="s">
        <v>693</v>
      </c>
      <c r="E1023">
        <v>10055286</v>
      </c>
      <c r="F1023" t="s">
        <v>1119</v>
      </c>
      <c r="G1023" t="s">
        <v>43</v>
      </c>
      <c r="H1023" t="s">
        <v>60</v>
      </c>
      <c r="I1023" t="s">
        <v>695</v>
      </c>
      <c r="J1023" t="s">
        <v>45</v>
      </c>
      <c r="K1023" t="s">
        <v>35</v>
      </c>
      <c r="L1023" t="s">
        <v>175</v>
      </c>
      <c r="M1023" t="s">
        <v>46</v>
      </c>
      <c r="N1023">
        <v>0</v>
      </c>
      <c r="O1023">
        <v>0</v>
      </c>
      <c r="P1023">
        <v>0</v>
      </c>
      <c r="Q1023">
        <v>2</v>
      </c>
      <c r="R1023">
        <v>131.02000000000001</v>
      </c>
      <c r="S1023" t="str">
        <f t="shared" si="75"/>
        <v>PY: Media Crit.</v>
      </c>
      <c r="T1023">
        <f t="shared" si="76"/>
        <v>0</v>
      </c>
      <c r="U1023">
        <f t="shared" si="77"/>
        <v>0</v>
      </c>
      <c r="V1023">
        <f t="shared" si="78"/>
        <v>0</v>
      </c>
      <c r="W1023">
        <f t="shared" si="79"/>
        <v>1</v>
      </c>
      <c r="X1023">
        <v>1</v>
      </c>
      <c r="Y1023" s="2">
        <v>45768</v>
      </c>
      <c r="Z1023" s="3" t="s">
        <v>47</v>
      </c>
      <c r="AA1023" t="s">
        <v>39</v>
      </c>
      <c r="AB1023" t="s">
        <v>40</v>
      </c>
      <c r="AC1023" t="s">
        <v>40</v>
      </c>
      <c r="AD1023" t="s">
        <v>696</v>
      </c>
    </row>
    <row r="1024" spans="2:30">
      <c r="B1024">
        <v>3</v>
      </c>
      <c r="C1024">
        <v>1020</v>
      </c>
      <c r="D1024" t="s">
        <v>388</v>
      </c>
      <c r="E1024">
        <v>10055330</v>
      </c>
      <c r="F1024" t="s">
        <v>1120</v>
      </c>
      <c r="G1024" t="s">
        <v>43</v>
      </c>
      <c r="H1024" t="s">
        <v>32</v>
      </c>
      <c r="I1024" t="s">
        <v>390</v>
      </c>
      <c r="J1024" t="s">
        <v>45</v>
      </c>
      <c r="K1024" t="s">
        <v>35</v>
      </c>
      <c r="L1024" t="s">
        <v>175</v>
      </c>
      <c r="M1024" t="s">
        <v>69</v>
      </c>
      <c r="N1024">
        <v>0</v>
      </c>
      <c r="O1024">
        <v>0</v>
      </c>
      <c r="P1024">
        <v>2</v>
      </c>
      <c r="Q1024">
        <v>2</v>
      </c>
      <c r="R1024" s="4">
        <v>2519.5100000000002</v>
      </c>
      <c r="S1024" t="str">
        <f t="shared" si="75"/>
        <v>PY: Media Crit.</v>
      </c>
      <c r="T1024">
        <f t="shared" si="76"/>
        <v>0</v>
      </c>
      <c r="U1024">
        <f t="shared" si="77"/>
        <v>1</v>
      </c>
      <c r="V1024">
        <f t="shared" si="78"/>
        <v>0</v>
      </c>
      <c r="W1024">
        <f t="shared" si="79"/>
        <v>1</v>
      </c>
      <c r="X1024">
        <v>1</v>
      </c>
      <c r="Y1024" s="2">
        <v>45768</v>
      </c>
      <c r="Z1024" s="3" t="s">
        <v>70</v>
      </c>
      <c r="AA1024" t="s">
        <v>39</v>
      </c>
      <c r="AB1024" t="s">
        <v>40</v>
      </c>
      <c r="AC1024" t="s">
        <v>40</v>
      </c>
      <c r="AD1024" t="s">
        <v>391</v>
      </c>
    </row>
    <row r="1025" spans="2:30">
      <c r="B1025">
        <v>3</v>
      </c>
      <c r="C1025">
        <v>1020</v>
      </c>
      <c r="D1025" t="s">
        <v>181</v>
      </c>
      <c r="E1025">
        <v>10055351</v>
      </c>
      <c r="F1025" t="s">
        <v>1121</v>
      </c>
      <c r="G1025" t="s">
        <v>43</v>
      </c>
      <c r="H1025" t="s">
        <v>32</v>
      </c>
      <c r="I1025" t="s">
        <v>183</v>
      </c>
      <c r="J1025" t="s">
        <v>45</v>
      </c>
      <c r="K1025" t="s">
        <v>35</v>
      </c>
      <c r="L1025" t="s">
        <v>36</v>
      </c>
      <c r="M1025" t="s">
        <v>69</v>
      </c>
      <c r="N1025">
        <v>3</v>
      </c>
      <c r="O1025">
        <v>2</v>
      </c>
      <c r="P1025">
        <v>2</v>
      </c>
      <c r="Q1025">
        <v>4</v>
      </c>
      <c r="R1025" s="4">
        <v>13833.09</v>
      </c>
      <c r="S1025" t="str">
        <f t="shared" si="75"/>
        <v>PY: Media Crit.</v>
      </c>
      <c r="T1025">
        <f t="shared" si="76"/>
        <v>0</v>
      </c>
      <c r="U1025">
        <f t="shared" si="77"/>
        <v>0</v>
      </c>
      <c r="V1025">
        <f t="shared" si="78"/>
        <v>0</v>
      </c>
      <c r="W1025">
        <f t="shared" si="79"/>
        <v>1</v>
      </c>
      <c r="X1025">
        <v>1</v>
      </c>
      <c r="Y1025" s="2">
        <v>45768</v>
      </c>
      <c r="Z1025" s="3" t="s">
        <v>70</v>
      </c>
      <c r="AA1025" t="s">
        <v>39</v>
      </c>
      <c r="AB1025" t="s">
        <v>40</v>
      </c>
      <c r="AC1025" t="s">
        <v>40</v>
      </c>
      <c r="AD1025" t="s">
        <v>184</v>
      </c>
    </row>
    <row r="1026" spans="2:30">
      <c r="B1026">
        <v>3</v>
      </c>
      <c r="C1026">
        <v>1020</v>
      </c>
      <c r="D1026" t="s">
        <v>388</v>
      </c>
      <c r="E1026">
        <v>10056399</v>
      </c>
      <c r="F1026" t="s">
        <v>1122</v>
      </c>
      <c r="G1026" t="s">
        <v>52</v>
      </c>
      <c r="H1026" t="s">
        <v>32</v>
      </c>
      <c r="I1026" t="s">
        <v>390</v>
      </c>
      <c r="J1026" t="s">
        <v>45</v>
      </c>
      <c r="K1026" t="s">
        <v>35</v>
      </c>
      <c r="L1026" t="s">
        <v>175</v>
      </c>
      <c r="M1026" t="s">
        <v>46</v>
      </c>
      <c r="N1026">
        <v>0</v>
      </c>
      <c r="O1026">
        <v>0</v>
      </c>
      <c r="P1026">
        <v>1</v>
      </c>
      <c r="Q1026">
        <v>1</v>
      </c>
      <c r="R1026" s="4">
        <v>3764.64</v>
      </c>
      <c r="S1026" t="str">
        <f t="shared" ref="S1026:S1089" si="80">+IF(G1026="PZ", "PZ: Alta Crit.",IF(G1026="PY","PY: Media Crit.", "PX: Baja Crit."))</f>
        <v>PZ: Alta Crit.</v>
      </c>
      <c r="T1026">
        <f t="shared" ref="T1026:T1089" si="81">+IF(Q1026=0,1,0)</f>
        <v>0</v>
      </c>
      <c r="U1026">
        <f t="shared" ref="U1026:U1089" si="82">+IF(AND(Q1026&lt;=P1026,Q1026&gt;0),1,0)</f>
        <v>1</v>
      </c>
      <c r="V1026">
        <f t="shared" ref="V1026:V1089" si="83">+IF(AND(Q1026&gt;P1026,Q1026&lt;=N1026),1,0)</f>
        <v>0</v>
      </c>
      <c r="W1026">
        <f t="shared" ref="W1026:W1089" si="84">+IF(Q1026&gt;N1026,1,0)</f>
        <v>1</v>
      </c>
      <c r="X1026">
        <v>1</v>
      </c>
      <c r="Y1026" s="2">
        <v>45768</v>
      </c>
      <c r="Z1026" s="3" t="s">
        <v>47</v>
      </c>
      <c r="AA1026" t="s">
        <v>39</v>
      </c>
      <c r="AB1026" t="s">
        <v>40</v>
      </c>
      <c r="AC1026" t="s">
        <v>40</v>
      </c>
      <c r="AD1026" t="s">
        <v>391</v>
      </c>
    </row>
    <row r="1027" spans="2:30">
      <c r="B1027">
        <v>3</v>
      </c>
      <c r="C1027">
        <v>1020</v>
      </c>
      <c r="D1027" t="s">
        <v>693</v>
      </c>
      <c r="E1027">
        <v>10056555</v>
      </c>
      <c r="F1027" t="s">
        <v>1123</v>
      </c>
      <c r="G1027" t="s">
        <v>43</v>
      </c>
      <c r="H1027" t="s">
        <v>32</v>
      </c>
      <c r="I1027" t="s">
        <v>695</v>
      </c>
      <c r="J1027" t="s">
        <v>45</v>
      </c>
      <c r="K1027" t="s">
        <v>35</v>
      </c>
      <c r="L1027" t="s">
        <v>175</v>
      </c>
      <c r="M1027" t="s">
        <v>55</v>
      </c>
      <c r="N1027">
        <v>0</v>
      </c>
      <c r="O1027">
        <v>0</v>
      </c>
      <c r="P1027">
        <v>0</v>
      </c>
      <c r="Q1027">
        <v>0</v>
      </c>
      <c r="R1027">
        <v>0</v>
      </c>
      <c r="S1027" t="str">
        <f t="shared" si="80"/>
        <v>PY: Media Crit.</v>
      </c>
      <c r="T1027">
        <f t="shared" si="81"/>
        <v>1</v>
      </c>
      <c r="U1027">
        <f t="shared" si="82"/>
        <v>0</v>
      </c>
      <c r="V1027">
        <f t="shared" si="83"/>
        <v>0</v>
      </c>
      <c r="W1027">
        <f t="shared" si="84"/>
        <v>0</v>
      </c>
      <c r="X1027">
        <v>1</v>
      </c>
      <c r="Y1027" s="2">
        <v>45768</v>
      </c>
      <c r="Z1027" s="3" t="s">
        <v>56</v>
      </c>
      <c r="AA1027" t="s">
        <v>39</v>
      </c>
      <c r="AB1027" t="s">
        <v>40</v>
      </c>
      <c r="AC1027" t="s">
        <v>40</v>
      </c>
      <c r="AD1027" t="s">
        <v>696</v>
      </c>
    </row>
    <row r="1028" spans="2:30">
      <c r="B1028">
        <v>3</v>
      </c>
      <c r="C1028">
        <v>1020</v>
      </c>
      <c r="D1028" t="s">
        <v>181</v>
      </c>
      <c r="E1028">
        <v>10056700</v>
      </c>
      <c r="F1028" t="s">
        <v>1124</v>
      </c>
      <c r="G1028" t="s">
        <v>43</v>
      </c>
      <c r="H1028" t="s">
        <v>32</v>
      </c>
      <c r="I1028" t="s">
        <v>183</v>
      </c>
      <c r="J1028" t="s">
        <v>45</v>
      </c>
      <c r="K1028" t="s">
        <v>35</v>
      </c>
      <c r="L1028" t="s">
        <v>36</v>
      </c>
      <c r="M1028" t="s">
        <v>46</v>
      </c>
      <c r="N1028">
        <v>10</v>
      </c>
      <c r="O1028">
        <v>5</v>
      </c>
      <c r="P1028">
        <v>1</v>
      </c>
      <c r="Q1028">
        <v>8</v>
      </c>
      <c r="R1028">
        <v>650.97</v>
      </c>
      <c r="S1028" t="str">
        <f t="shared" si="80"/>
        <v>PY: Media Crit.</v>
      </c>
      <c r="T1028">
        <f t="shared" si="81"/>
        <v>0</v>
      </c>
      <c r="U1028">
        <f t="shared" si="82"/>
        <v>0</v>
      </c>
      <c r="V1028">
        <f t="shared" si="83"/>
        <v>1</v>
      </c>
      <c r="W1028">
        <f t="shared" si="84"/>
        <v>0</v>
      </c>
      <c r="X1028">
        <v>1</v>
      </c>
      <c r="Y1028" s="2">
        <v>45768</v>
      </c>
      <c r="Z1028" s="3" t="s">
        <v>47</v>
      </c>
      <c r="AA1028" t="s">
        <v>39</v>
      </c>
      <c r="AB1028" t="s">
        <v>40</v>
      </c>
      <c r="AC1028" t="s">
        <v>40</v>
      </c>
      <c r="AD1028" t="s">
        <v>184</v>
      </c>
    </row>
    <row r="1029" spans="2:30">
      <c r="B1029">
        <v>3</v>
      </c>
      <c r="C1029">
        <v>1020</v>
      </c>
      <c r="D1029" t="s">
        <v>181</v>
      </c>
      <c r="E1029">
        <v>10056731</v>
      </c>
      <c r="F1029" t="s">
        <v>1125</v>
      </c>
      <c r="G1029" t="s">
        <v>43</v>
      </c>
      <c r="H1029" t="s">
        <v>32</v>
      </c>
      <c r="I1029" t="s">
        <v>183</v>
      </c>
      <c r="J1029" t="s">
        <v>34</v>
      </c>
      <c r="K1029" t="s">
        <v>35</v>
      </c>
      <c r="L1029" t="s">
        <v>36</v>
      </c>
      <c r="M1029" t="s">
        <v>46</v>
      </c>
      <c r="N1029">
        <v>3</v>
      </c>
      <c r="O1029">
        <v>2</v>
      </c>
      <c r="P1029">
        <v>1</v>
      </c>
      <c r="Q1029">
        <v>3</v>
      </c>
      <c r="R1029">
        <v>252.92</v>
      </c>
      <c r="S1029" t="str">
        <f t="shared" si="80"/>
        <v>PY: Media Crit.</v>
      </c>
      <c r="T1029">
        <f t="shared" si="81"/>
        <v>0</v>
      </c>
      <c r="U1029">
        <f t="shared" si="82"/>
        <v>0</v>
      </c>
      <c r="V1029">
        <f t="shared" si="83"/>
        <v>1</v>
      </c>
      <c r="W1029">
        <f t="shared" si="84"/>
        <v>0</v>
      </c>
      <c r="X1029">
        <v>1</v>
      </c>
      <c r="Y1029" s="2">
        <v>45768</v>
      </c>
      <c r="Z1029" s="3" t="s">
        <v>47</v>
      </c>
      <c r="AA1029" t="s">
        <v>39</v>
      </c>
      <c r="AB1029" t="s">
        <v>40</v>
      </c>
      <c r="AC1029" t="s">
        <v>40</v>
      </c>
      <c r="AD1029" t="s">
        <v>184</v>
      </c>
    </row>
    <row r="1030" spans="2:30">
      <c r="B1030">
        <v>3</v>
      </c>
      <c r="C1030">
        <v>1020</v>
      </c>
      <c r="D1030" t="s">
        <v>181</v>
      </c>
      <c r="E1030">
        <v>10056733</v>
      </c>
      <c r="F1030" t="s">
        <v>1126</v>
      </c>
      <c r="G1030" t="s">
        <v>43</v>
      </c>
      <c r="H1030" t="s">
        <v>60</v>
      </c>
      <c r="I1030" t="s">
        <v>183</v>
      </c>
      <c r="J1030" t="s">
        <v>45</v>
      </c>
      <c r="K1030" t="s">
        <v>35</v>
      </c>
      <c r="L1030" t="s">
        <v>36</v>
      </c>
      <c r="M1030" t="s">
        <v>55</v>
      </c>
      <c r="N1030">
        <v>4</v>
      </c>
      <c r="O1030">
        <v>2</v>
      </c>
      <c r="P1030">
        <v>0</v>
      </c>
      <c r="Q1030">
        <v>4</v>
      </c>
      <c r="R1030">
        <v>372.2</v>
      </c>
      <c r="S1030" t="str">
        <f t="shared" si="80"/>
        <v>PY: Media Crit.</v>
      </c>
      <c r="T1030">
        <f t="shared" si="81"/>
        <v>0</v>
      </c>
      <c r="U1030">
        <f t="shared" si="82"/>
        <v>0</v>
      </c>
      <c r="V1030">
        <f t="shared" si="83"/>
        <v>1</v>
      </c>
      <c r="W1030">
        <f t="shared" si="84"/>
        <v>0</v>
      </c>
      <c r="X1030">
        <v>1</v>
      </c>
      <c r="Y1030" s="2">
        <v>45768</v>
      </c>
      <c r="Z1030" s="3" t="s">
        <v>56</v>
      </c>
      <c r="AA1030" t="s">
        <v>39</v>
      </c>
      <c r="AB1030" t="s">
        <v>40</v>
      </c>
      <c r="AC1030" t="s">
        <v>40</v>
      </c>
      <c r="AD1030" t="s">
        <v>184</v>
      </c>
    </row>
    <row r="1031" spans="2:30">
      <c r="B1031">
        <v>3</v>
      </c>
      <c r="C1031">
        <v>1020</v>
      </c>
      <c r="D1031" t="s">
        <v>181</v>
      </c>
      <c r="E1031">
        <v>10056797</v>
      </c>
      <c r="F1031" t="s">
        <v>1127</v>
      </c>
      <c r="G1031" t="s">
        <v>52</v>
      </c>
      <c r="H1031" t="s">
        <v>32</v>
      </c>
      <c r="I1031" t="s">
        <v>183</v>
      </c>
      <c r="J1031" t="s">
        <v>45</v>
      </c>
      <c r="K1031" t="s">
        <v>62</v>
      </c>
      <c r="L1031" t="s">
        <v>36</v>
      </c>
      <c r="M1031" t="s">
        <v>117</v>
      </c>
      <c r="N1031">
        <v>4</v>
      </c>
      <c r="O1031">
        <v>3</v>
      </c>
      <c r="P1031">
        <v>2</v>
      </c>
      <c r="Q1031">
        <v>3</v>
      </c>
      <c r="R1031" s="4">
        <v>14815.05</v>
      </c>
      <c r="S1031" t="str">
        <f t="shared" si="80"/>
        <v>PZ: Alta Crit.</v>
      </c>
      <c r="T1031">
        <f t="shared" si="81"/>
        <v>0</v>
      </c>
      <c r="U1031">
        <f t="shared" si="82"/>
        <v>0</v>
      </c>
      <c r="V1031">
        <f t="shared" si="83"/>
        <v>1</v>
      </c>
      <c r="W1031">
        <f t="shared" si="84"/>
        <v>0</v>
      </c>
      <c r="X1031">
        <v>1</v>
      </c>
      <c r="Y1031" s="2">
        <v>45768</v>
      </c>
      <c r="Z1031" s="3" t="s">
        <v>118</v>
      </c>
      <c r="AA1031" t="s">
        <v>39</v>
      </c>
      <c r="AB1031" t="s">
        <v>40</v>
      </c>
      <c r="AC1031" t="s">
        <v>40</v>
      </c>
      <c r="AD1031" t="s">
        <v>184</v>
      </c>
    </row>
    <row r="1032" spans="2:30">
      <c r="B1032">
        <v>3</v>
      </c>
      <c r="C1032">
        <v>1020</v>
      </c>
      <c r="D1032" t="s">
        <v>181</v>
      </c>
      <c r="E1032">
        <v>10056925</v>
      </c>
      <c r="F1032" t="s">
        <v>1128</v>
      </c>
      <c r="G1032" t="s">
        <v>31</v>
      </c>
      <c r="H1032" t="s">
        <v>32</v>
      </c>
      <c r="I1032" t="s">
        <v>183</v>
      </c>
      <c r="J1032" t="s">
        <v>45</v>
      </c>
      <c r="K1032" t="s">
        <v>65</v>
      </c>
      <c r="L1032" t="s">
        <v>36</v>
      </c>
      <c r="M1032" t="s">
        <v>46</v>
      </c>
      <c r="N1032">
        <v>4</v>
      </c>
      <c r="O1032">
        <v>3</v>
      </c>
      <c r="P1032">
        <v>1</v>
      </c>
      <c r="Q1032">
        <v>4</v>
      </c>
      <c r="R1032" s="4">
        <v>2845.13</v>
      </c>
      <c r="S1032" t="str">
        <f t="shared" si="80"/>
        <v>PX: Baja Crit.</v>
      </c>
      <c r="T1032">
        <f t="shared" si="81"/>
        <v>0</v>
      </c>
      <c r="U1032">
        <f t="shared" si="82"/>
        <v>0</v>
      </c>
      <c r="V1032">
        <f t="shared" si="83"/>
        <v>1</v>
      </c>
      <c r="W1032">
        <f t="shared" si="84"/>
        <v>0</v>
      </c>
      <c r="X1032">
        <v>1</v>
      </c>
      <c r="Y1032" s="2">
        <v>45768</v>
      </c>
      <c r="Z1032" s="3" t="s">
        <v>47</v>
      </c>
      <c r="AA1032" t="s">
        <v>39</v>
      </c>
      <c r="AB1032" t="s">
        <v>40</v>
      </c>
      <c r="AC1032" t="s">
        <v>40</v>
      </c>
      <c r="AD1032" t="s">
        <v>184</v>
      </c>
    </row>
    <row r="1033" spans="2:30">
      <c r="B1033">
        <v>3</v>
      </c>
      <c r="C1033">
        <v>1020</v>
      </c>
      <c r="D1033" t="s">
        <v>181</v>
      </c>
      <c r="E1033">
        <v>10056968</v>
      </c>
      <c r="F1033" t="s">
        <v>1129</v>
      </c>
      <c r="G1033" t="s">
        <v>43</v>
      </c>
      <c r="H1033" t="s">
        <v>32</v>
      </c>
      <c r="I1033" t="s">
        <v>183</v>
      </c>
      <c r="J1033" t="s">
        <v>45</v>
      </c>
      <c r="K1033" t="s">
        <v>35</v>
      </c>
      <c r="L1033" t="s">
        <v>36</v>
      </c>
      <c r="M1033" t="s">
        <v>88</v>
      </c>
      <c r="N1033">
        <v>12</v>
      </c>
      <c r="O1033">
        <v>7</v>
      </c>
      <c r="P1033">
        <v>2</v>
      </c>
      <c r="Q1033">
        <v>12</v>
      </c>
      <c r="R1033">
        <v>462.84</v>
      </c>
      <c r="S1033" t="str">
        <f t="shared" si="80"/>
        <v>PY: Media Crit.</v>
      </c>
      <c r="T1033">
        <f t="shared" si="81"/>
        <v>0</v>
      </c>
      <c r="U1033">
        <f t="shared" si="82"/>
        <v>0</v>
      </c>
      <c r="V1033">
        <f t="shared" si="83"/>
        <v>1</v>
      </c>
      <c r="W1033">
        <f t="shared" si="84"/>
        <v>0</v>
      </c>
      <c r="X1033">
        <v>1</v>
      </c>
      <c r="Y1033" s="2">
        <v>45768</v>
      </c>
      <c r="Z1033" s="3" t="s">
        <v>89</v>
      </c>
      <c r="AA1033" t="s">
        <v>39</v>
      </c>
      <c r="AB1033" t="s">
        <v>40</v>
      </c>
      <c r="AC1033" t="s">
        <v>40</v>
      </c>
      <c r="AD1033" t="s">
        <v>184</v>
      </c>
    </row>
    <row r="1034" spans="2:30">
      <c r="B1034">
        <v>3</v>
      </c>
      <c r="C1034">
        <v>1020</v>
      </c>
      <c r="D1034" t="s">
        <v>693</v>
      </c>
      <c r="E1034">
        <v>10056985</v>
      </c>
      <c r="F1034" t="s">
        <v>1130</v>
      </c>
      <c r="G1034" t="s">
        <v>31</v>
      </c>
      <c r="H1034" t="s">
        <v>32</v>
      </c>
      <c r="I1034" t="s">
        <v>695</v>
      </c>
      <c r="J1034" t="s">
        <v>45</v>
      </c>
      <c r="K1034" t="s">
        <v>35</v>
      </c>
      <c r="L1034" t="s">
        <v>175</v>
      </c>
      <c r="M1034" t="s">
        <v>117</v>
      </c>
      <c r="N1034">
        <v>0</v>
      </c>
      <c r="O1034">
        <v>0</v>
      </c>
      <c r="P1034">
        <v>0</v>
      </c>
      <c r="Q1034">
        <v>0</v>
      </c>
      <c r="R1034">
        <v>0</v>
      </c>
      <c r="S1034" t="str">
        <f t="shared" si="80"/>
        <v>PX: Baja Crit.</v>
      </c>
      <c r="T1034">
        <f t="shared" si="81"/>
        <v>1</v>
      </c>
      <c r="U1034">
        <f t="shared" si="82"/>
        <v>0</v>
      </c>
      <c r="V1034">
        <f t="shared" si="83"/>
        <v>0</v>
      </c>
      <c r="W1034">
        <f t="shared" si="84"/>
        <v>0</v>
      </c>
      <c r="X1034">
        <v>1</v>
      </c>
      <c r="Y1034" s="2">
        <v>45768</v>
      </c>
      <c r="Z1034" s="3" t="s">
        <v>118</v>
      </c>
      <c r="AA1034" t="s">
        <v>39</v>
      </c>
      <c r="AB1034" t="s">
        <v>40</v>
      </c>
      <c r="AC1034" t="s">
        <v>40</v>
      </c>
      <c r="AD1034" t="s">
        <v>696</v>
      </c>
    </row>
    <row r="1035" spans="2:30">
      <c r="B1035">
        <v>3</v>
      </c>
      <c r="C1035">
        <v>1020</v>
      </c>
      <c r="D1035" t="s">
        <v>181</v>
      </c>
      <c r="E1035">
        <v>10057108</v>
      </c>
      <c r="F1035" t="s">
        <v>1131</v>
      </c>
      <c r="G1035" t="s">
        <v>43</v>
      </c>
      <c r="H1035" t="s">
        <v>32</v>
      </c>
      <c r="I1035" t="s">
        <v>183</v>
      </c>
      <c r="J1035" t="s">
        <v>45</v>
      </c>
      <c r="K1035" t="s">
        <v>35</v>
      </c>
      <c r="L1035" t="s">
        <v>36</v>
      </c>
      <c r="M1035" t="s">
        <v>46</v>
      </c>
      <c r="N1035">
        <v>3</v>
      </c>
      <c r="O1035">
        <v>2</v>
      </c>
      <c r="P1035">
        <v>1</v>
      </c>
      <c r="Q1035">
        <v>3</v>
      </c>
      <c r="R1035" s="4">
        <v>1261.2</v>
      </c>
      <c r="S1035" t="str">
        <f t="shared" si="80"/>
        <v>PY: Media Crit.</v>
      </c>
      <c r="T1035">
        <f t="shared" si="81"/>
        <v>0</v>
      </c>
      <c r="U1035">
        <f t="shared" si="82"/>
        <v>0</v>
      </c>
      <c r="V1035">
        <f t="shared" si="83"/>
        <v>1</v>
      </c>
      <c r="W1035">
        <f t="shared" si="84"/>
        <v>0</v>
      </c>
      <c r="X1035">
        <v>1</v>
      </c>
      <c r="Y1035" s="2">
        <v>45768</v>
      </c>
      <c r="Z1035" s="3" t="s">
        <v>47</v>
      </c>
      <c r="AA1035" t="s">
        <v>39</v>
      </c>
      <c r="AB1035" t="s">
        <v>40</v>
      </c>
      <c r="AC1035" t="s">
        <v>40</v>
      </c>
      <c r="AD1035" t="s">
        <v>184</v>
      </c>
    </row>
    <row r="1036" spans="2:30">
      <c r="B1036">
        <v>3</v>
      </c>
      <c r="C1036">
        <v>1020</v>
      </c>
      <c r="D1036" t="s">
        <v>388</v>
      </c>
      <c r="E1036">
        <v>10067868</v>
      </c>
      <c r="F1036" t="s">
        <v>1132</v>
      </c>
      <c r="G1036" t="s">
        <v>52</v>
      </c>
      <c r="H1036" t="s">
        <v>32</v>
      </c>
      <c r="I1036" t="s">
        <v>390</v>
      </c>
      <c r="J1036" t="s">
        <v>45</v>
      </c>
      <c r="K1036" t="s">
        <v>35</v>
      </c>
      <c r="L1036" t="s">
        <v>175</v>
      </c>
      <c r="M1036" t="s">
        <v>69</v>
      </c>
      <c r="N1036">
        <v>0</v>
      </c>
      <c r="O1036">
        <v>0</v>
      </c>
      <c r="P1036">
        <v>2</v>
      </c>
      <c r="Q1036">
        <v>1</v>
      </c>
      <c r="R1036">
        <v>278.05</v>
      </c>
      <c r="S1036" t="str">
        <f t="shared" si="80"/>
        <v>PZ: Alta Crit.</v>
      </c>
      <c r="T1036">
        <f t="shared" si="81"/>
        <v>0</v>
      </c>
      <c r="U1036">
        <f t="shared" si="82"/>
        <v>1</v>
      </c>
      <c r="V1036">
        <f t="shared" si="83"/>
        <v>0</v>
      </c>
      <c r="W1036">
        <f t="shared" si="84"/>
        <v>1</v>
      </c>
      <c r="X1036">
        <v>1</v>
      </c>
      <c r="Y1036" s="2">
        <v>45768</v>
      </c>
      <c r="Z1036" s="3" t="s">
        <v>70</v>
      </c>
      <c r="AA1036" t="s">
        <v>39</v>
      </c>
      <c r="AB1036" t="s">
        <v>49</v>
      </c>
      <c r="AC1036" s="5" t="s">
        <v>50</v>
      </c>
      <c r="AD1036" t="s">
        <v>391</v>
      </c>
    </row>
    <row r="1037" spans="2:30">
      <c r="B1037">
        <v>3</v>
      </c>
      <c r="C1037">
        <v>1020</v>
      </c>
      <c r="D1037" t="s">
        <v>384</v>
      </c>
      <c r="E1037">
        <v>10090547</v>
      </c>
      <c r="F1037" t="s">
        <v>1133</v>
      </c>
      <c r="G1037" t="s">
        <v>52</v>
      </c>
      <c r="H1037" t="s">
        <v>60</v>
      </c>
      <c r="I1037" t="s">
        <v>386</v>
      </c>
      <c r="J1037" t="s">
        <v>45</v>
      </c>
      <c r="K1037" t="s">
        <v>35</v>
      </c>
      <c r="L1037" t="s">
        <v>175</v>
      </c>
      <c r="M1037" t="s">
        <v>88</v>
      </c>
      <c r="N1037">
        <v>0</v>
      </c>
      <c r="O1037">
        <v>0</v>
      </c>
      <c r="P1037">
        <v>0</v>
      </c>
      <c r="Q1037">
        <v>45</v>
      </c>
      <c r="R1037" s="4">
        <v>283894.17</v>
      </c>
      <c r="S1037" t="str">
        <f t="shared" si="80"/>
        <v>PZ: Alta Crit.</v>
      </c>
      <c r="T1037">
        <f t="shared" si="81"/>
        <v>0</v>
      </c>
      <c r="U1037">
        <f t="shared" si="82"/>
        <v>0</v>
      </c>
      <c r="V1037">
        <f t="shared" si="83"/>
        <v>0</v>
      </c>
      <c r="W1037">
        <f t="shared" si="84"/>
        <v>1</v>
      </c>
      <c r="X1037">
        <v>1</v>
      </c>
      <c r="Y1037" s="2">
        <v>45768</v>
      </c>
      <c r="Z1037" s="3" t="s">
        <v>89</v>
      </c>
      <c r="AA1037" t="s">
        <v>39</v>
      </c>
      <c r="AB1037" t="s">
        <v>40</v>
      </c>
      <c r="AC1037" t="s">
        <v>40</v>
      </c>
      <c r="AD1037" t="s">
        <v>387</v>
      </c>
    </row>
    <row r="1038" spans="2:30">
      <c r="B1038">
        <v>3</v>
      </c>
      <c r="C1038">
        <v>1020</v>
      </c>
      <c r="D1038" t="s">
        <v>693</v>
      </c>
      <c r="E1038">
        <v>10090612</v>
      </c>
      <c r="F1038" t="s">
        <v>1134</v>
      </c>
      <c r="G1038" t="s">
        <v>52</v>
      </c>
      <c r="H1038" t="s">
        <v>32</v>
      </c>
      <c r="I1038" t="s">
        <v>695</v>
      </c>
      <c r="J1038" t="s">
        <v>45</v>
      </c>
      <c r="K1038" t="s">
        <v>35</v>
      </c>
      <c r="L1038" t="s">
        <v>175</v>
      </c>
      <c r="M1038" t="s">
        <v>69</v>
      </c>
      <c r="N1038">
        <v>0</v>
      </c>
      <c r="O1038">
        <v>0</v>
      </c>
      <c r="P1038">
        <v>0</v>
      </c>
      <c r="Q1038">
        <v>0</v>
      </c>
      <c r="R1038">
        <v>0</v>
      </c>
      <c r="S1038" t="str">
        <f t="shared" si="80"/>
        <v>PZ: Alta Crit.</v>
      </c>
      <c r="T1038">
        <f t="shared" si="81"/>
        <v>1</v>
      </c>
      <c r="U1038">
        <f t="shared" si="82"/>
        <v>0</v>
      </c>
      <c r="V1038">
        <f t="shared" si="83"/>
        <v>0</v>
      </c>
      <c r="W1038">
        <f t="shared" si="84"/>
        <v>0</v>
      </c>
      <c r="X1038">
        <v>1</v>
      </c>
      <c r="Y1038" s="2">
        <v>45768</v>
      </c>
      <c r="Z1038" s="3" t="s">
        <v>70</v>
      </c>
      <c r="AA1038" t="s">
        <v>39</v>
      </c>
      <c r="AB1038" t="s">
        <v>76</v>
      </c>
      <c r="AC1038" s="5" t="s">
        <v>77</v>
      </c>
      <c r="AD1038" t="s">
        <v>696</v>
      </c>
    </row>
    <row r="1039" spans="2:30">
      <c r="B1039">
        <v>3</v>
      </c>
      <c r="C1039">
        <v>1020</v>
      </c>
      <c r="D1039" t="s">
        <v>181</v>
      </c>
      <c r="E1039">
        <v>10090687</v>
      </c>
      <c r="F1039" t="s">
        <v>1135</v>
      </c>
      <c r="G1039" t="s">
        <v>43</v>
      </c>
      <c r="H1039" t="s">
        <v>60</v>
      </c>
      <c r="I1039" t="s">
        <v>183</v>
      </c>
      <c r="J1039" t="s">
        <v>45</v>
      </c>
      <c r="K1039" t="s">
        <v>252</v>
      </c>
      <c r="L1039" t="s">
        <v>36</v>
      </c>
      <c r="M1039" t="s">
        <v>37</v>
      </c>
      <c r="N1039">
        <v>208</v>
      </c>
      <c r="O1039">
        <v>105</v>
      </c>
      <c r="P1039">
        <v>52</v>
      </c>
      <c r="Q1039">
        <v>208</v>
      </c>
      <c r="R1039" s="4">
        <v>4279.5200000000004</v>
      </c>
      <c r="S1039" t="str">
        <f t="shared" si="80"/>
        <v>PY: Media Crit.</v>
      </c>
      <c r="T1039">
        <f t="shared" si="81"/>
        <v>0</v>
      </c>
      <c r="U1039">
        <f t="shared" si="82"/>
        <v>0</v>
      </c>
      <c r="V1039">
        <f t="shared" si="83"/>
        <v>1</v>
      </c>
      <c r="W1039">
        <f t="shared" si="84"/>
        <v>0</v>
      </c>
      <c r="X1039">
        <v>1</v>
      </c>
      <c r="Y1039" s="2">
        <v>45768</v>
      </c>
      <c r="Z1039" s="3" t="s">
        <v>38</v>
      </c>
      <c r="AA1039" t="s">
        <v>39</v>
      </c>
      <c r="AB1039" t="s">
        <v>40</v>
      </c>
      <c r="AC1039" t="s">
        <v>40</v>
      </c>
      <c r="AD1039" t="s">
        <v>184</v>
      </c>
    </row>
    <row r="1040" spans="2:30">
      <c r="B1040">
        <v>3</v>
      </c>
      <c r="C1040">
        <v>1020</v>
      </c>
      <c r="D1040" t="s">
        <v>181</v>
      </c>
      <c r="E1040">
        <v>10165694</v>
      </c>
      <c r="F1040" t="s">
        <v>1136</v>
      </c>
      <c r="G1040" t="s">
        <v>43</v>
      </c>
      <c r="H1040" t="s">
        <v>32</v>
      </c>
      <c r="I1040" t="s">
        <v>183</v>
      </c>
      <c r="J1040" t="s">
        <v>34</v>
      </c>
      <c r="K1040" t="s">
        <v>35</v>
      </c>
      <c r="L1040" t="s">
        <v>36</v>
      </c>
      <c r="M1040" t="s">
        <v>46</v>
      </c>
      <c r="N1040">
        <v>50</v>
      </c>
      <c r="O1040">
        <v>33</v>
      </c>
      <c r="P1040">
        <v>12</v>
      </c>
      <c r="Q1040">
        <v>50</v>
      </c>
      <c r="R1040">
        <v>691.3</v>
      </c>
      <c r="S1040" t="str">
        <f t="shared" si="80"/>
        <v>PY: Media Crit.</v>
      </c>
      <c r="T1040">
        <f t="shared" si="81"/>
        <v>0</v>
      </c>
      <c r="U1040">
        <f t="shared" si="82"/>
        <v>0</v>
      </c>
      <c r="V1040">
        <f t="shared" si="83"/>
        <v>1</v>
      </c>
      <c r="W1040">
        <f t="shared" si="84"/>
        <v>0</v>
      </c>
      <c r="X1040">
        <v>1</v>
      </c>
      <c r="Y1040" s="2">
        <v>45768</v>
      </c>
      <c r="Z1040" s="3" t="s">
        <v>47</v>
      </c>
      <c r="AA1040" t="s">
        <v>39</v>
      </c>
      <c r="AB1040" t="s">
        <v>40</v>
      </c>
      <c r="AC1040" t="s">
        <v>40</v>
      </c>
      <c r="AD1040" t="s">
        <v>184</v>
      </c>
    </row>
    <row r="1041" spans="2:30">
      <c r="B1041">
        <v>3</v>
      </c>
      <c r="C1041">
        <v>1020</v>
      </c>
      <c r="D1041" t="s">
        <v>181</v>
      </c>
      <c r="E1041">
        <v>10174966</v>
      </c>
      <c r="F1041" t="s">
        <v>1137</v>
      </c>
      <c r="G1041" t="s">
        <v>52</v>
      </c>
      <c r="H1041" t="s">
        <v>32</v>
      </c>
      <c r="I1041" t="s">
        <v>183</v>
      </c>
      <c r="J1041" t="s">
        <v>45</v>
      </c>
      <c r="K1041" t="s">
        <v>53</v>
      </c>
      <c r="L1041" t="s">
        <v>36</v>
      </c>
      <c r="M1041" t="s">
        <v>37</v>
      </c>
      <c r="N1041">
        <v>20</v>
      </c>
      <c r="O1041">
        <v>10</v>
      </c>
      <c r="P1041">
        <v>2</v>
      </c>
      <c r="Q1041">
        <v>112</v>
      </c>
      <c r="R1041" s="4">
        <v>1441.63</v>
      </c>
      <c r="S1041" t="str">
        <f t="shared" si="80"/>
        <v>PZ: Alta Crit.</v>
      </c>
      <c r="T1041">
        <f t="shared" si="81"/>
        <v>0</v>
      </c>
      <c r="U1041">
        <f t="shared" si="82"/>
        <v>0</v>
      </c>
      <c r="V1041">
        <f t="shared" si="83"/>
        <v>0</v>
      </c>
      <c r="W1041">
        <f t="shared" si="84"/>
        <v>1</v>
      </c>
      <c r="X1041">
        <v>1</v>
      </c>
      <c r="Y1041" s="2">
        <v>45768</v>
      </c>
      <c r="Z1041" s="3" t="s">
        <v>38</v>
      </c>
      <c r="AA1041" t="s">
        <v>39</v>
      </c>
      <c r="AB1041" t="s">
        <v>40</v>
      </c>
      <c r="AC1041" t="s">
        <v>40</v>
      </c>
      <c r="AD1041" t="s">
        <v>184</v>
      </c>
    </row>
    <row r="1042" spans="2:30">
      <c r="B1042">
        <v>3</v>
      </c>
      <c r="C1042">
        <v>1020</v>
      </c>
      <c r="D1042" t="s">
        <v>181</v>
      </c>
      <c r="E1042">
        <v>10192188</v>
      </c>
      <c r="F1042" t="s">
        <v>1138</v>
      </c>
      <c r="G1042" t="s">
        <v>43</v>
      </c>
      <c r="H1042" t="s">
        <v>44</v>
      </c>
      <c r="I1042" t="s">
        <v>183</v>
      </c>
      <c r="J1042" t="s">
        <v>45</v>
      </c>
      <c r="K1042" t="s">
        <v>35</v>
      </c>
      <c r="L1042" t="s">
        <v>36</v>
      </c>
      <c r="M1042" t="s">
        <v>117</v>
      </c>
      <c r="N1042">
        <v>23</v>
      </c>
      <c r="O1042">
        <v>15</v>
      </c>
      <c r="P1042">
        <v>10</v>
      </c>
      <c r="Q1042">
        <v>18</v>
      </c>
      <c r="R1042" s="4">
        <v>10717.55</v>
      </c>
      <c r="S1042" t="str">
        <f t="shared" si="80"/>
        <v>PY: Media Crit.</v>
      </c>
      <c r="T1042">
        <f t="shared" si="81"/>
        <v>0</v>
      </c>
      <c r="U1042">
        <f t="shared" si="82"/>
        <v>0</v>
      </c>
      <c r="V1042">
        <f t="shared" si="83"/>
        <v>1</v>
      </c>
      <c r="W1042">
        <f t="shared" si="84"/>
        <v>0</v>
      </c>
      <c r="X1042">
        <v>1</v>
      </c>
      <c r="Y1042" s="2">
        <v>45768</v>
      </c>
      <c r="Z1042" s="3" t="s">
        <v>118</v>
      </c>
      <c r="AA1042" t="s">
        <v>39</v>
      </c>
      <c r="AB1042" t="s">
        <v>40</v>
      </c>
      <c r="AC1042" t="s">
        <v>40</v>
      </c>
      <c r="AD1042" t="s">
        <v>184</v>
      </c>
    </row>
    <row r="1043" spans="2:30">
      <c r="B1043">
        <v>3</v>
      </c>
      <c r="C1043">
        <v>1020</v>
      </c>
      <c r="D1043" t="s">
        <v>388</v>
      </c>
      <c r="E1043">
        <v>10275780</v>
      </c>
      <c r="F1043" t="s">
        <v>1139</v>
      </c>
      <c r="G1043" t="s">
        <v>52</v>
      </c>
      <c r="H1043" t="s">
        <v>32</v>
      </c>
      <c r="I1043" t="s">
        <v>390</v>
      </c>
      <c r="J1043" t="s">
        <v>45</v>
      </c>
      <c r="K1043" t="s">
        <v>35</v>
      </c>
      <c r="L1043" t="s">
        <v>175</v>
      </c>
      <c r="M1043" t="s">
        <v>69</v>
      </c>
      <c r="N1043">
        <v>0</v>
      </c>
      <c r="O1043">
        <v>0</v>
      </c>
      <c r="P1043">
        <v>2</v>
      </c>
      <c r="Q1043">
        <v>2</v>
      </c>
      <c r="R1043" s="4">
        <v>2051.52</v>
      </c>
      <c r="S1043" t="str">
        <f t="shared" si="80"/>
        <v>PZ: Alta Crit.</v>
      </c>
      <c r="T1043">
        <f t="shared" si="81"/>
        <v>0</v>
      </c>
      <c r="U1043">
        <f t="shared" si="82"/>
        <v>1</v>
      </c>
      <c r="V1043">
        <f t="shared" si="83"/>
        <v>0</v>
      </c>
      <c r="W1043">
        <f t="shared" si="84"/>
        <v>1</v>
      </c>
      <c r="X1043">
        <v>1</v>
      </c>
      <c r="Y1043" s="2">
        <v>45768</v>
      </c>
      <c r="Z1043" s="3" t="s">
        <v>70</v>
      </c>
      <c r="AA1043" t="s">
        <v>39</v>
      </c>
      <c r="AB1043" t="s">
        <v>40</v>
      </c>
      <c r="AC1043" t="s">
        <v>40</v>
      </c>
      <c r="AD1043" t="s">
        <v>391</v>
      </c>
    </row>
    <row r="1044" spans="2:30">
      <c r="B1044">
        <v>3</v>
      </c>
      <c r="C1044">
        <v>1020</v>
      </c>
      <c r="D1044" t="s">
        <v>181</v>
      </c>
      <c r="E1044">
        <v>10292372</v>
      </c>
      <c r="F1044" t="s">
        <v>1140</v>
      </c>
      <c r="G1044" t="s">
        <v>43</v>
      </c>
      <c r="H1044" t="s">
        <v>32</v>
      </c>
      <c r="I1044" t="s">
        <v>183</v>
      </c>
      <c r="J1044" t="s">
        <v>45</v>
      </c>
      <c r="K1044" t="s">
        <v>35</v>
      </c>
      <c r="L1044" t="s">
        <v>36</v>
      </c>
      <c r="M1044" t="s">
        <v>46</v>
      </c>
      <c r="N1044">
        <v>6</v>
      </c>
      <c r="O1044">
        <v>4</v>
      </c>
      <c r="P1044">
        <v>2</v>
      </c>
      <c r="Q1044">
        <v>6</v>
      </c>
      <c r="R1044">
        <v>972.28</v>
      </c>
      <c r="S1044" t="str">
        <f t="shared" si="80"/>
        <v>PY: Media Crit.</v>
      </c>
      <c r="T1044">
        <f t="shared" si="81"/>
        <v>0</v>
      </c>
      <c r="U1044">
        <f t="shared" si="82"/>
        <v>0</v>
      </c>
      <c r="V1044">
        <f t="shared" si="83"/>
        <v>1</v>
      </c>
      <c r="W1044">
        <f t="shared" si="84"/>
        <v>0</v>
      </c>
      <c r="X1044">
        <v>1</v>
      </c>
      <c r="Y1044" s="2">
        <v>45768</v>
      </c>
      <c r="Z1044" s="3" t="s">
        <v>47</v>
      </c>
      <c r="AA1044" t="s">
        <v>39</v>
      </c>
      <c r="AB1044" t="s">
        <v>40</v>
      </c>
      <c r="AC1044" t="s">
        <v>40</v>
      </c>
      <c r="AD1044" t="s">
        <v>184</v>
      </c>
    </row>
    <row r="1045" spans="2:30">
      <c r="B1045">
        <v>3</v>
      </c>
      <c r="C1045">
        <v>1020</v>
      </c>
      <c r="D1045" t="s">
        <v>181</v>
      </c>
      <c r="E1045">
        <v>10292450</v>
      </c>
      <c r="F1045" t="s">
        <v>1141</v>
      </c>
      <c r="G1045" t="s">
        <v>43</v>
      </c>
      <c r="H1045" t="s">
        <v>60</v>
      </c>
      <c r="I1045" t="s">
        <v>183</v>
      </c>
      <c r="J1045" t="s">
        <v>45</v>
      </c>
      <c r="K1045" t="s">
        <v>65</v>
      </c>
      <c r="L1045" t="s">
        <v>36</v>
      </c>
      <c r="M1045" t="s">
        <v>37</v>
      </c>
      <c r="N1045">
        <v>30</v>
      </c>
      <c r="O1045">
        <v>21</v>
      </c>
      <c r="P1045">
        <v>10</v>
      </c>
      <c r="Q1045">
        <v>38</v>
      </c>
      <c r="R1045" s="4">
        <v>2008.76</v>
      </c>
      <c r="S1045" t="str">
        <f t="shared" si="80"/>
        <v>PY: Media Crit.</v>
      </c>
      <c r="T1045">
        <f t="shared" si="81"/>
        <v>0</v>
      </c>
      <c r="U1045">
        <f t="shared" si="82"/>
        <v>0</v>
      </c>
      <c r="V1045">
        <f t="shared" si="83"/>
        <v>0</v>
      </c>
      <c r="W1045">
        <f t="shared" si="84"/>
        <v>1</v>
      </c>
      <c r="X1045">
        <v>1</v>
      </c>
      <c r="Y1045" s="2">
        <v>45768</v>
      </c>
      <c r="Z1045" s="3" t="s">
        <v>38</v>
      </c>
      <c r="AA1045" t="s">
        <v>39</v>
      </c>
      <c r="AB1045" t="s">
        <v>40</v>
      </c>
      <c r="AC1045" t="s">
        <v>40</v>
      </c>
      <c r="AD1045" t="s">
        <v>184</v>
      </c>
    </row>
    <row r="1046" spans="2:30">
      <c r="B1046">
        <v>3</v>
      </c>
      <c r="C1046">
        <v>1020</v>
      </c>
      <c r="D1046" t="s">
        <v>181</v>
      </c>
      <c r="E1046">
        <v>10292794</v>
      </c>
      <c r="F1046" t="s">
        <v>1142</v>
      </c>
      <c r="G1046" t="s">
        <v>43</v>
      </c>
      <c r="H1046" t="s">
        <v>32</v>
      </c>
      <c r="I1046" t="s">
        <v>183</v>
      </c>
      <c r="J1046" t="s">
        <v>45</v>
      </c>
      <c r="K1046" t="s">
        <v>35</v>
      </c>
      <c r="L1046" t="s">
        <v>36</v>
      </c>
      <c r="M1046" t="s">
        <v>46</v>
      </c>
      <c r="N1046">
        <v>5</v>
      </c>
      <c r="O1046">
        <v>3</v>
      </c>
      <c r="P1046">
        <v>0</v>
      </c>
      <c r="Q1046">
        <v>11</v>
      </c>
      <c r="R1046" s="4">
        <v>15173.71</v>
      </c>
      <c r="S1046" t="str">
        <f t="shared" si="80"/>
        <v>PY: Media Crit.</v>
      </c>
      <c r="T1046">
        <f t="shared" si="81"/>
        <v>0</v>
      </c>
      <c r="U1046">
        <f t="shared" si="82"/>
        <v>0</v>
      </c>
      <c r="V1046">
        <f t="shared" si="83"/>
        <v>0</v>
      </c>
      <c r="W1046">
        <f t="shared" si="84"/>
        <v>1</v>
      </c>
      <c r="X1046">
        <v>1</v>
      </c>
      <c r="Y1046" s="2">
        <v>45768</v>
      </c>
      <c r="Z1046" s="3" t="s">
        <v>47</v>
      </c>
      <c r="AA1046" t="s">
        <v>39</v>
      </c>
      <c r="AB1046" t="s">
        <v>40</v>
      </c>
      <c r="AC1046" t="s">
        <v>40</v>
      </c>
      <c r="AD1046" t="s">
        <v>184</v>
      </c>
    </row>
    <row r="1047" spans="2:30">
      <c r="B1047">
        <v>3</v>
      </c>
      <c r="C1047">
        <v>1020</v>
      </c>
      <c r="D1047" t="s">
        <v>181</v>
      </c>
      <c r="E1047">
        <v>10292935</v>
      </c>
      <c r="F1047" t="s">
        <v>1143</v>
      </c>
      <c r="G1047" t="s">
        <v>43</v>
      </c>
      <c r="H1047" t="s">
        <v>32</v>
      </c>
      <c r="I1047" t="s">
        <v>183</v>
      </c>
      <c r="J1047" t="s">
        <v>45</v>
      </c>
      <c r="K1047" t="s">
        <v>35</v>
      </c>
      <c r="L1047" t="s">
        <v>36</v>
      </c>
      <c r="M1047" t="s">
        <v>46</v>
      </c>
      <c r="N1047">
        <v>2</v>
      </c>
      <c r="O1047">
        <v>2</v>
      </c>
      <c r="P1047">
        <v>1</v>
      </c>
      <c r="Q1047">
        <v>2</v>
      </c>
      <c r="R1047">
        <v>988.61</v>
      </c>
      <c r="S1047" t="str">
        <f t="shared" si="80"/>
        <v>PY: Media Crit.</v>
      </c>
      <c r="T1047">
        <f t="shared" si="81"/>
        <v>0</v>
      </c>
      <c r="U1047">
        <f t="shared" si="82"/>
        <v>0</v>
      </c>
      <c r="V1047">
        <f t="shared" si="83"/>
        <v>1</v>
      </c>
      <c r="W1047">
        <f t="shared" si="84"/>
        <v>0</v>
      </c>
      <c r="X1047">
        <v>1</v>
      </c>
      <c r="Y1047" s="2">
        <v>45768</v>
      </c>
      <c r="Z1047" s="3" t="s">
        <v>47</v>
      </c>
      <c r="AA1047" t="s">
        <v>39</v>
      </c>
      <c r="AB1047" t="s">
        <v>40</v>
      </c>
      <c r="AC1047" t="s">
        <v>40</v>
      </c>
      <c r="AD1047" t="s">
        <v>184</v>
      </c>
    </row>
    <row r="1048" spans="2:30">
      <c r="B1048">
        <v>3</v>
      </c>
      <c r="C1048">
        <v>1020</v>
      </c>
      <c r="D1048" t="s">
        <v>181</v>
      </c>
      <c r="E1048">
        <v>10293495</v>
      </c>
      <c r="F1048" t="s">
        <v>1144</v>
      </c>
      <c r="G1048" t="s">
        <v>52</v>
      </c>
      <c r="H1048" t="s">
        <v>60</v>
      </c>
      <c r="I1048" t="s">
        <v>183</v>
      </c>
      <c r="J1048" t="s">
        <v>45</v>
      </c>
      <c r="K1048" t="s">
        <v>35</v>
      </c>
      <c r="L1048" t="s">
        <v>36</v>
      </c>
      <c r="M1048" t="s">
        <v>37</v>
      </c>
      <c r="N1048">
        <v>300</v>
      </c>
      <c r="O1048">
        <v>100</v>
      </c>
      <c r="P1048">
        <v>0</v>
      </c>
      <c r="Q1048">
        <v>840</v>
      </c>
      <c r="R1048" s="4">
        <v>334852.5</v>
      </c>
      <c r="S1048" t="str">
        <f t="shared" si="80"/>
        <v>PZ: Alta Crit.</v>
      </c>
      <c r="T1048">
        <f t="shared" si="81"/>
        <v>0</v>
      </c>
      <c r="U1048">
        <f t="shared" si="82"/>
        <v>0</v>
      </c>
      <c r="V1048">
        <f t="shared" si="83"/>
        <v>0</v>
      </c>
      <c r="W1048">
        <f t="shared" si="84"/>
        <v>1</v>
      </c>
      <c r="X1048">
        <v>1</v>
      </c>
      <c r="Y1048" s="2">
        <v>45768</v>
      </c>
      <c r="Z1048" s="3" t="s">
        <v>38</v>
      </c>
      <c r="AA1048" t="s">
        <v>39</v>
      </c>
      <c r="AB1048" t="s">
        <v>40</v>
      </c>
      <c r="AC1048" t="s">
        <v>40</v>
      </c>
      <c r="AD1048" t="s">
        <v>184</v>
      </c>
    </row>
    <row r="1049" spans="2:30">
      <c r="B1049">
        <v>3</v>
      </c>
      <c r="C1049">
        <v>1020</v>
      </c>
      <c r="D1049" t="s">
        <v>388</v>
      </c>
      <c r="E1049">
        <v>10293516</v>
      </c>
      <c r="F1049" t="s">
        <v>1145</v>
      </c>
      <c r="G1049" t="s">
        <v>43</v>
      </c>
      <c r="H1049" t="s">
        <v>44</v>
      </c>
      <c r="I1049" t="s">
        <v>390</v>
      </c>
      <c r="J1049" t="s">
        <v>45</v>
      </c>
      <c r="K1049" t="s">
        <v>260</v>
      </c>
      <c r="L1049" t="s">
        <v>175</v>
      </c>
      <c r="M1049" t="s">
        <v>46</v>
      </c>
      <c r="N1049">
        <v>0</v>
      </c>
      <c r="O1049">
        <v>0</v>
      </c>
      <c r="P1049">
        <v>4</v>
      </c>
      <c r="Q1049">
        <v>4</v>
      </c>
      <c r="R1049" s="4">
        <v>3715.34</v>
      </c>
      <c r="S1049" t="str">
        <f t="shared" si="80"/>
        <v>PY: Media Crit.</v>
      </c>
      <c r="T1049">
        <f t="shared" si="81"/>
        <v>0</v>
      </c>
      <c r="U1049">
        <f t="shared" si="82"/>
        <v>1</v>
      </c>
      <c r="V1049">
        <f t="shared" si="83"/>
        <v>0</v>
      </c>
      <c r="W1049">
        <f t="shared" si="84"/>
        <v>1</v>
      </c>
      <c r="X1049">
        <v>1</v>
      </c>
      <c r="Y1049" s="2">
        <v>45768</v>
      </c>
      <c r="Z1049" s="3" t="s">
        <v>47</v>
      </c>
      <c r="AA1049" t="s">
        <v>39</v>
      </c>
      <c r="AB1049" t="s">
        <v>40</v>
      </c>
      <c r="AC1049" t="s">
        <v>40</v>
      </c>
      <c r="AD1049" t="s">
        <v>391</v>
      </c>
    </row>
    <row r="1050" spans="2:30">
      <c r="B1050">
        <v>3</v>
      </c>
      <c r="C1050">
        <v>1020</v>
      </c>
      <c r="D1050" t="s">
        <v>384</v>
      </c>
      <c r="E1050">
        <v>10293576</v>
      </c>
      <c r="F1050" t="s">
        <v>1146</v>
      </c>
      <c r="G1050" t="s">
        <v>43</v>
      </c>
      <c r="H1050" t="s">
        <v>32</v>
      </c>
      <c r="I1050" t="s">
        <v>386</v>
      </c>
      <c r="J1050" t="s">
        <v>45</v>
      </c>
      <c r="K1050" t="s">
        <v>35</v>
      </c>
      <c r="L1050" t="s">
        <v>175</v>
      </c>
      <c r="M1050" t="s">
        <v>46</v>
      </c>
      <c r="N1050">
        <v>0</v>
      </c>
      <c r="O1050">
        <v>0</v>
      </c>
      <c r="P1050">
        <v>0</v>
      </c>
      <c r="Q1050">
        <v>0</v>
      </c>
      <c r="R1050">
        <v>0</v>
      </c>
      <c r="S1050" t="str">
        <f t="shared" si="80"/>
        <v>PY: Media Crit.</v>
      </c>
      <c r="T1050">
        <f t="shared" si="81"/>
        <v>1</v>
      </c>
      <c r="U1050">
        <f t="shared" si="82"/>
        <v>0</v>
      </c>
      <c r="V1050">
        <f t="shared" si="83"/>
        <v>0</v>
      </c>
      <c r="W1050">
        <f t="shared" si="84"/>
        <v>0</v>
      </c>
      <c r="X1050">
        <v>1</v>
      </c>
      <c r="Y1050" s="2">
        <v>45768</v>
      </c>
      <c r="Z1050" s="3" t="s">
        <v>47</v>
      </c>
      <c r="AA1050" t="s">
        <v>39</v>
      </c>
      <c r="AB1050" t="s">
        <v>40</v>
      </c>
      <c r="AC1050" t="s">
        <v>40</v>
      </c>
      <c r="AD1050" t="s">
        <v>387</v>
      </c>
    </row>
    <row r="1051" spans="2:30">
      <c r="B1051">
        <v>3</v>
      </c>
      <c r="C1051">
        <v>1020</v>
      </c>
      <c r="D1051" t="s">
        <v>181</v>
      </c>
      <c r="E1051">
        <v>10295230</v>
      </c>
      <c r="F1051" t="s">
        <v>1147</v>
      </c>
      <c r="G1051" t="s">
        <v>43</v>
      </c>
      <c r="H1051" t="s">
        <v>32</v>
      </c>
      <c r="I1051" t="s">
        <v>183</v>
      </c>
      <c r="J1051" t="s">
        <v>45</v>
      </c>
      <c r="K1051" t="s">
        <v>35</v>
      </c>
      <c r="L1051" t="s">
        <v>36</v>
      </c>
      <c r="M1051" t="s">
        <v>69</v>
      </c>
      <c r="N1051">
        <v>4</v>
      </c>
      <c r="O1051">
        <v>3</v>
      </c>
      <c r="P1051">
        <v>1</v>
      </c>
      <c r="Q1051">
        <v>4</v>
      </c>
      <c r="R1051" s="4">
        <v>1962.61</v>
      </c>
      <c r="S1051" t="str">
        <f t="shared" si="80"/>
        <v>PY: Media Crit.</v>
      </c>
      <c r="T1051">
        <f t="shared" si="81"/>
        <v>0</v>
      </c>
      <c r="U1051">
        <f t="shared" si="82"/>
        <v>0</v>
      </c>
      <c r="V1051">
        <f t="shared" si="83"/>
        <v>1</v>
      </c>
      <c r="W1051">
        <f t="shared" si="84"/>
        <v>0</v>
      </c>
      <c r="X1051">
        <v>1</v>
      </c>
      <c r="Y1051" s="2">
        <v>45768</v>
      </c>
      <c r="Z1051" s="3" t="s">
        <v>70</v>
      </c>
      <c r="AA1051" t="s">
        <v>39</v>
      </c>
      <c r="AB1051" t="s">
        <v>40</v>
      </c>
      <c r="AC1051" t="s">
        <v>40</v>
      </c>
      <c r="AD1051" t="s">
        <v>184</v>
      </c>
    </row>
    <row r="1052" spans="2:30">
      <c r="B1052">
        <v>3</v>
      </c>
      <c r="C1052">
        <v>1020</v>
      </c>
      <c r="D1052" t="s">
        <v>181</v>
      </c>
      <c r="E1052">
        <v>10297498</v>
      </c>
      <c r="F1052" t="s">
        <v>1148</v>
      </c>
      <c r="G1052" t="s">
        <v>52</v>
      </c>
      <c r="H1052" t="s">
        <v>32</v>
      </c>
      <c r="I1052" t="s">
        <v>183</v>
      </c>
      <c r="J1052" t="s">
        <v>45</v>
      </c>
      <c r="K1052" t="s">
        <v>35</v>
      </c>
      <c r="L1052" t="s">
        <v>36</v>
      </c>
      <c r="M1052" t="s">
        <v>46</v>
      </c>
      <c r="N1052">
        <v>5</v>
      </c>
      <c r="O1052">
        <v>3</v>
      </c>
      <c r="P1052">
        <v>1</v>
      </c>
      <c r="Q1052">
        <v>3</v>
      </c>
      <c r="R1052" s="4">
        <v>1773.48</v>
      </c>
      <c r="S1052" t="str">
        <f t="shared" si="80"/>
        <v>PZ: Alta Crit.</v>
      </c>
      <c r="T1052">
        <f t="shared" si="81"/>
        <v>0</v>
      </c>
      <c r="U1052">
        <f t="shared" si="82"/>
        <v>0</v>
      </c>
      <c r="V1052">
        <f t="shared" si="83"/>
        <v>1</v>
      </c>
      <c r="W1052">
        <f t="shared" si="84"/>
        <v>0</v>
      </c>
      <c r="X1052">
        <v>1</v>
      </c>
      <c r="Y1052" s="2">
        <v>45768</v>
      </c>
      <c r="Z1052" s="3" t="s">
        <v>47</v>
      </c>
      <c r="AA1052" t="s">
        <v>39</v>
      </c>
      <c r="AB1052" t="s">
        <v>40</v>
      </c>
      <c r="AC1052" t="s">
        <v>40</v>
      </c>
      <c r="AD1052" t="s">
        <v>184</v>
      </c>
    </row>
    <row r="1053" spans="2:30">
      <c r="B1053">
        <v>3</v>
      </c>
      <c r="C1053">
        <v>1020</v>
      </c>
      <c r="D1053" t="s">
        <v>181</v>
      </c>
      <c r="E1053">
        <v>10297500</v>
      </c>
      <c r="F1053" t="s">
        <v>1149</v>
      </c>
      <c r="G1053" t="s">
        <v>52</v>
      </c>
      <c r="H1053" t="s">
        <v>32</v>
      </c>
      <c r="I1053" t="s">
        <v>183</v>
      </c>
      <c r="J1053" t="s">
        <v>34</v>
      </c>
      <c r="K1053" t="s">
        <v>35</v>
      </c>
      <c r="L1053" t="s">
        <v>36</v>
      </c>
      <c r="M1053" t="s">
        <v>46</v>
      </c>
      <c r="N1053">
        <v>2</v>
      </c>
      <c r="O1053">
        <v>1</v>
      </c>
      <c r="P1053">
        <v>1</v>
      </c>
      <c r="Q1053">
        <v>2</v>
      </c>
      <c r="R1053" s="4">
        <v>2285.4299999999998</v>
      </c>
      <c r="S1053" t="str">
        <f t="shared" si="80"/>
        <v>PZ: Alta Crit.</v>
      </c>
      <c r="T1053">
        <f t="shared" si="81"/>
        <v>0</v>
      </c>
      <c r="U1053">
        <f t="shared" si="82"/>
        <v>0</v>
      </c>
      <c r="V1053">
        <f t="shared" si="83"/>
        <v>1</v>
      </c>
      <c r="W1053">
        <f t="shared" si="84"/>
        <v>0</v>
      </c>
      <c r="X1053">
        <v>1</v>
      </c>
      <c r="Y1053" s="2">
        <v>45768</v>
      </c>
      <c r="Z1053" s="3" t="s">
        <v>47</v>
      </c>
      <c r="AA1053" t="s">
        <v>39</v>
      </c>
      <c r="AB1053" t="s">
        <v>40</v>
      </c>
      <c r="AC1053" t="s">
        <v>40</v>
      </c>
      <c r="AD1053" t="s">
        <v>184</v>
      </c>
    </row>
    <row r="1054" spans="2:30">
      <c r="B1054">
        <v>3</v>
      </c>
      <c r="C1054">
        <v>1020</v>
      </c>
      <c r="D1054" t="s">
        <v>181</v>
      </c>
      <c r="E1054">
        <v>10307385</v>
      </c>
      <c r="F1054" t="s">
        <v>1150</v>
      </c>
      <c r="G1054" t="s">
        <v>52</v>
      </c>
      <c r="H1054" t="s">
        <v>32</v>
      </c>
      <c r="I1054" t="s">
        <v>183</v>
      </c>
      <c r="J1054" t="s">
        <v>45</v>
      </c>
      <c r="K1054" t="s">
        <v>35</v>
      </c>
      <c r="L1054" t="s">
        <v>36</v>
      </c>
      <c r="M1054" t="s">
        <v>46</v>
      </c>
      <c r="N1054">
        <v>2</v>
      </c>
      <c r="O1054">
        <v>2</v>
      </c>
      <c r="P1054">
        <v>1</v>
      </c>
      <c r="Q1054">
        <v>3</v>
      </c>
      <c r="R1054">
        <v>344.34</v>
      </c>
      <c r="S1054" t="str">
        <f t="shared" si="80"/>
        <v>PZ: Alta Crit.</v>
      </c>
      <c r="T1054">
        <f t="shared" si="81"/>
        <v>0</v>
      </c>
      <c r="U1054">
        <f t="shared" si="82"/>
        <v>0</v>
      </c>
      <c r="V1054">
        <f t="shared" si="83"/>
        <v>0</v>
      </c>
      <c r="W1054">
        <f t="shared" si="84"/>
        <v>1</v>
      </c>
      <c r="X1054">
        <v>1</v>
      </c>
      <c r="Y1054" s="2">
        <v>45768</v>
      </c>
      <c r="Z1054" s="3" t="s">
        <v>47</v>
      </c>
      <c r="AA1054" t="s">
        <v>39</v>
      </c>
      <c r="AB1054" t="s">
        <v>40</v>
      </c>
      <c r="AC1054" t="s">
        <v>40</v>
      </c>
      <c r="AD1054" t="s">
        <v>184</v>
      </c>
    </row>
    <row r="1055" spans="2:30">
      <c r="B1055">
        <v>3</v>
      </c>
      <c r="C1055">
        <v>1020</v>
      </c>
      <c r="D1055" t="s">
        <v>388</v>
      </c>
      <c r="E1055">
        <v>10410514</v>
      </c>
      <c r="F1055" t="s">
        <v>1151</v>
      </c>
      <c r="G1055" t="s">
        <v>52</v>
      </c>
      <c r="H1055" t="s">
        <v>32</v>
      </c>
      <c r="I1055" t="s">
        <v>390</v>
      </c>
      <c r="J1055" t="s">
        <v>45</v>
      </c>
      <c r="K1055" t="s">
        <v>35</v>
      </c>
      <c r="L1055" t="s">
        <v>175</v>
      </c>
      <c r="M1055" t="s">
        <v>69</v>
      </c>
      <c r="N1055">
        <v>0</v>
      </c>
      <c r="O1055">
        <v>0</v>
      </c>
      <c r="P1055">
        <v>1</v>
      </c>
      <c r="Q1055">
        <v>0</v>
      </c>
      <c r="R1055">
        <v>0</v>
      </c>
      <c r="S1055" t="str">
        <f t="shared" si="80"/>
        <v>PZ: Alta Crit.</v>
      </c>
      <c r="T1055">
        <f t="shared" si="81"/>
        <v>1</v>
      </c>
      <c r="U1055">
        <f t="shared" si="82"/>
        <v>0</v>
      </c>
      <c r="V1055">
        <f t="shared" si="83"/>
        <v>0</v>
      </c>
      <c r="W1055">
        <f t="shared" si="84"/>
        <v>0</v>
      </c>
      <c r="X1055">
        <v>1</v>
      </c>
      <c r="Y1055" s="2">
        <v>45768</v>
      </c>
      <c r="Z1055" s="3" t="s">
        <v>70</v>
      </c>
      <c r="AA1055" t="s">
        <v>39</v>
      </c>
      <c r="AB1055" t="s">
        <v>49</v>
      </c>
      <c r="AC1055" s="5" t="s">
        <v>50</v>
      </c>
      <c r="AD1055" t="s">
        <v>391</v>
      </c>
    </row>
    <row r="1056" spans="2:30">
      <c r="B1056">
        <v>3</v>
      </c>
      <c r="C1056">
        <v>1020</v>
      </c>
      <c r="D1056" t="s">
        <v>181</v>
      </c>
      <c r="E1056">
        <v>10598673</v>
      </c>
      <c r="F1056" t="s">
        <v>1152</v>
      </c>
      <c r="G1056" t="s">
        <v>43</v>
      </c>
      <c r="H1056" t="s">
        <v>32</v>
      </c>
      <c r="I1056" t="s">
        <v>183</v>
      </c>
      <c r="J1056" t="s">
        <v>45</v>
      </c>
      <c r="K1056" t="s">
        <v>35</v>
      </c>
      <c r="L1056" t="s">
        <v>36</v>
      </c>
      <c r="M1056" t="s">
        <v>117</v>
      </c>
      <c r="N1056">
        <v>3</v>
      </c>
      <c r="O1056">
        <v>1</v>
      </c>
      <c r="P1056">
        <v>1</v>
      </c>
      <c r="Q1056">
        <v>3</v>
      </c>
      <c r="R1056" s="4">
        <v>8477.39</v>
      </c>
      <c r="S1056" t="str">
        <f t="shared" si="80"/>
        <v>PY: Media Crit.</v>
      </c>
      <c r="T1056">
        <f t="shared" si="81"/>
        <v>0</v>
      </c>
      <c r="U1056">
        <f t="shared" si="82"/>
        <v>0</v>
      </c>
      <c r="V1056">
        <f t="shared" si="83"/>
        <v>1</v>
      </c>
      <c r="W1056">
        <f t="shared" si="84"/>
        <v>0</v>
      </c>
      <c r="X1056">
        <v>1</v>
      </c>
      <c r="Y1056" s="2">
        <v>45768</v>
      </c>
      <c r="Z1056" s="3" t="s">
        <v>118</v>
      </c>
      <c r="AA1056" t="s">
        <v>39</v>
      </c>
      <c r="AB1056" t="s">
        <v>40</v>
      </c>
      <c r="AC1056" t="s">
        <v>40</v>
      </c>
      <c r="AD1056" t="s">
        <v>184</v>
      </c>
    </row>
    <row r="1057" spans="2:30">
      <c r="B1057">
        <v>3</v>
      </c>
      <c r="C1057">
        <v>1020</v>
      </c>
      <c r="D1057" t="s">
        <v>181</v>
      </c>
      <c r="E1057">
        <v>10599459</v>
      </c>
      <c r="F1057" t="s">
        <v>1153</v>
      </c>
      <c r="G1057" t="s">
        <v>52</v>
      </c>
      <c r="H1057" t="s">
        <v>32</v>
      </c>
      <c r="I1057" t="s">
        <v>183</v>
      </c>
      <c r="J1057" t="s">
        <v>45</v>
      </c>
      <c r="K1057" t="s">
        <v>35</v>
      </c>
      <c r="L1057" t="s">
        <v>36</v>
      </c>
      <c r="M1057" t="s">
        <v>46</v>
      </c>
      <c r="N1057">
        <v>40</v>
      </c>
      <c r="O1057">
        <v>22</v>
      </c>
      <c r="P1057">
        <v>12</v>
      </c>
      <c r="Q1057">
        <v>16</v>
      </c>
      <c r="R1057">
        <v>841.01</v>
      </c>
      <c r="S1057" t="str">
        <f t="shared" si="80"/>
        <v>PZ: Alta Crit.</v>
      </c>
      <c r="T1057">
        <f t="shared" si="81"/>
        <v>0</v>
      </c>
      <c r="U1057">
        <f t="shared" si="82"/>
        <v>0</v>
      </c>
      <c r="V1057">
        <f t="shared" si="83"/>
        <v>1</v>
      </c>
      <c r="W1057">
        <f t="shared" si="84"/>
        <v>0</v>
      </c>
      <c r="X1057">
        <v>1</v>
      </c>
      <c r="Y1057" s="2">
        <v>45768</v>
      </c>
      <c r="Z1057" s="3" t="s">
        <v>47</v>
      </c>
      <c r="AA1057" t="s">
        <v>39</v>
      </c>
      <c r="AB1057" t="s">
        <v>49</v>
      </c>
      <c r="AC1057" s="5" t="s">
        <v>50</v>
      </c>
      <c r="AD1057" t="s">
        <v>184</v>
      </c>
    </row>
    <row r="1058" spans="2:30">
      <c r="B1058">
        <v>3</v>
      </c>
      <c r="C1058">
        <v>1020</v>
      </c>
      <c r="D1058" t="s">
        <v>181</v>
      </c>
      <c r="E1058">
        <v>10602428</v>
      </c>
      <c r="F1058" t="s">
        <v>1154</v>
      </c>
      <c r="G1058" t="s">
        <v>31</v>
      </c>
      <c r="H1058" t="s">
        <v>60</v>
      </c>
      <c r="I1058" t="s">
        <v>183</v>
      </c>
      <c r="J1058" t="s">
        <v>34</v>
      </c>
      <c r="K1058" t="s">
        <v>35</v>
      </c>
      <c r="L1058" t="s">
        <v>36</v>
      </c>
      <c r="M1058" t="s">
        <v>117</v>
      </c>
      <c r="N1058">
        <v>20</v>
      </c>
      <c r="O1058">
        <v>11</v>
      </c>
      <c r="P1058">
        <v>10</v>
      </c>
      <c r="Q1058">
        <v>10</v>
      </c>
      <c r="R1058">
        <v>800</v>
      </c>
      <c r="S1058" t="str">
        <f t="shared" si="80"/>
        <v>PX: Baja Crit.</v>
      </c>
      <c r="T1058">
        <f t="shared" si="81"/>
        <v>0</v>
      </c>
      <c r="U1058">
        <f t="shared" si="82"/>
        <v>1</v>
      </c>
      <c r="V1058">
        <f t="shared" si="83"/>
        <v>0</v>
      </c>
      <c r="W1058">
        <f t="shared" si="84"/>
        <v>0</v>
      </c>
      <c r="X1058">
        <v>1</v>
      </c>
      <c r="Y1058" s="2">
        <v>45768</v>
      </c>
      <c r="Z1058" s="3" t="s">
        <v>118</v>
      </c>
      <c r="AA1058" t="s">
        <v>39</v>
      </c>
      <c r="AB1058" t="s">
        <v>76</v>
      </c>
      <c r="AC1058" s="5" t="s">
        <v>77</v>
      </c>
      <c r="AD1058" t="s">
        <v>184</v>
      </c>
    </row>
    <row r="1059" spans="2:30">
      <c r="B1059">
        <v>3</v>
      </c>
      <c r="C1059">
        <v>1020</v>
      </c>
      <c r="D1059" t="s">
        <v>181</v>
      </c>
      <c r="E1059">
        <v>10607391</v>
      </c>
      <c r="F1059" t="s">
        <v>1155</v>
      </c>
      <c r="G1059" t="s">
        <v>43</v>
      </c>
      <c r="H1059" t="s">
        <v>60</v>
      </c>
      <c r="I1059" t="s">
        <v>183</v>
      </c>
      <c r="J1059" t="s">
        <v>45</v>
      </c>
      <c r="K1059" t="s">
        <v>35</v>
      </c>
      <c r="L1059" t="s">
        <v>36</v>
      </c>
      <c r="M1059" t="s">
        <v>117</v>
      </c>
      <c r="N1059">
        <v>2</v>
      </c>
      <c r="O1059">
        <v>1</v>
      </c>
      <c r="P1059">
        <v>0</v>
      </c>
      <c r="Q1059">
        <v>2</v>
      </c>
      <c r="R1059">
        <v>262.36</v>
      </c>
      <c r="S1059" t="str">
        <f t="shared" si="80"/>
        <v>PY: Media Crit.</v>
      </c>
      <c r="T1059">
        <f t="shared" si="81"/>
        <v>0</v>
      </c>
      <c r="U1059">
        <f t="shared" si="82"/>
        <v>0</v>
      </c>
      <c r="V1059">
        <f t="shared" si="83"/>
        <v>1</v>
      </c>
      <c r="W1059">
        <f t="shared" si="84"/>
        <v>0</v>
      </c>
      <c r="X1059">
        <v>1</v>
      </c>
      <c r="Y1059" s="2">
        <v>45768</v>
      </c>
      <c r="Z1059" s="3" t="s">
        <v>118</v>
      </c>
      <c r="AA1059" t="s">
        <v>39</v>
      </c>
      <c r="AB1059" t="s">
        <v>40</v>
      </c>
      <c r="AC1059" t="s">
        <v>40</v>
      </c>
      <c r="AD1059" t="s">
        <v>184</v>
      </c>
    </row>
    <row r="1060" spans="2:30">
      <c r="B1060">
        <v>3</v>
      </c>
      <c r="C1060">
        <v>1020</v>
      </c>
      <c r="D1060" t="s">
        <v>181</v>
      </c>
      <c r="E1060">
        <v>10607392</v>
      </c>
      <c r="F1060" t="s">
        <v>1156</v>
      </c>
      <c r="G1060" t="s">
        <v>31</v>
      </c>
      <c r="H1060" t="s">
        <v>32</v>
      </c>
      <c r="I1060" t="s">
        <v>183</v>
      </c>
      <c r="J1060" t="s">
        <v>45</v>
      </c>
      <c r="K1060" t="s">
        <v>35</v>
      </c>
      <c r="L1060" t="s">
        <v>36</v>
      </c>
      <c r="M1060" t="s">
        <v>117</v>
      </c>
      <c r="N1060">
        <v>6</v>
      </c>
      <c r="O1060">
        <v>4</v>
      </c>
      <c r="P1060">
        <v>2</v>
      </c>
      <c r="Q1060">
        <v>6</v>
      </c>
      <c r="R1060">
        <v>104.94</v>
      </c>
      <c r="S1060" t="str">
        <f t="shared" si="80"/>
        <v>PX: Baja Crit.</v>
      </c>
      <c r="T1060">
        <f t="shared" si="81"/>
        <v>0</v>
      </c>
      <c r="U1060">
        <f t="shared" si="82"/>
        <v>0</v>
      </c>
      <c r="V1060">
        <f t="shared" si="83"/>
        <v>1</v>
      </c>
      <c r="W1060">
        <f t="shared" si="84"/>
        <v>0</v>
      </c>
      <c r="X1060">
        <v>1</v>
      </c>
      <c r="Y1060" s="2">
        <v>45768</v>
      </c>
      <c r="Z1060" s="3" t="s">
        <v>118</v>
      </c>
      <c r="AA1060" t="s">
        <v>39</v>
      </c>
      <c r="AB1060" t="s">
        <v>40</v>
      </c>
      <c r="AC1060" t="s">
        <v>40</v>
      </c>
      <c r="AD1060" t="s">
        <v>184</v>
      </c>
    </row>
    <row r="1061" spans="2:30">
      <c r="B1061">
        <v>3</v>
      </c>
      <c r="C1061">
        <v>1020</v>
      </c>
      <c r="D1061" t="s">
        <v>181</v>
      </c>
      <c r="E1061">
        <v>10615676</v>
      </c>
      <c r="F1061" t="s">
        <v>1157</v>
      </c>
      <c r="G1061" t="s">
        <v>43</v>
      </c>
      <c r="H1061" t="s">
        <v>32</v>
      </c>
      <c r="I1061" t="s">
        <v>183</v>
      </c>
      <c r="J1061" t="s">
        <v>45</v>
      </c>
      <c r="K1061" t="s">
        <v>35</v>
      </c>
      <c r="L1061" t="s">
        <v>36</v>
      </c>
      <c r="M1061" t="s">
        <v>46</v>
      </c>
      <c r="N1061">
        <v>24</v>
      </c>
      <c r="O1061">
        <v>13</v>
      </c>
      <c r="P1061">
        <v>10</v>
      </c>
      <c r="Q1061">
        <v>29</v>
      </c>
      <c r="R1061">
        <v>858.55</v>
      </c>
      <c r="S1061" t="str">
        <f t="shared" si="80"/>
        <v>PY: Media Crit.</v>
      </c>
      <c r="T1061">
        <f t="shared" si="81"/>
        <v>0</v>
      </c>
      <c r="U1061">
        <f t="shared" si="82"/>
        <v>0</v>
      </c>
      <c r="V1061">
        <f t="shared" si="83"/>
        <v>0</v>
      </c>
      <c r="W1061">
        <f t="shared" si="84"/>
        <v>1</v>
      </c>
      <c r="X1061">
        <v>1</v>
      </c>
      <c r="Y1061" s="2">
        <v>45768</v>
      </c>
      <c r="Z1061" s="3" t="s">
        <v>47</v>
      </c>
      <c r="AA1061" t="s">
        <v>39</v>
      </c>
      <c r="AB1061" t="s">
        <v>40</v>
      </c>
      <c r="AC1061" t="s">
        <v>40</v>
      </c>
      <c r="AD1061" t="s">
        <v>184</v>
      </c>
    </row>
    <row r="1062" spans="2:30">
      <c r="B1062">
        <v>3</v>
      </c>
      <c r="C1062">
        <v>1020</v>
      </c>
      <c r="D1062" t="s">
        <v>181</v>
      </c>
      <c r="E1062">
        <v>10641055</v>
      </c>
      <c r="F1062" t="s">
        <v>1158</v>
      </c>
      <c r="G1062" t="s">
        <v>43</v>
      </c>
      <c r="H1062" t="s">
        <v>44</v>
      </c>
      <c r="I1062" t="s">
        <v>183</v>
      </c>
      <c r="J1062" t="s">
        <v>45</v>
      </c>
      <c r="K1062" t="s">
        <v>35</v>
      </c>
      <c r="L1062" t="s">
        <v>36</v>
      </c>
      <c r="M1062" t="s">
        <v>117</v>
      </c>
      <c r="N1062">
        <v>24</v>
      </c>
      <c r="O1062">
        <v>8</v>
      </c>
      <c r="P1062">
        <v>0</v>
      </c>
      <c r="Q1062">
        <v>24</v>
      </c>
      <c r="R1062">
        <v>960</v>
      </c>
      <c r="S1062" t="str">
        <f t="shared" si="80"/>
        <v>PY: Media Crit.</v>
      </c>
      <c r="T1062">
        <f t="shared" si="81"/>
        <v>0</v>
      </c>
      <c r="U1062">
        <f t="shared" si="82"/>
        <v>0</v>
      </c>
      <c r="V1062">
        <f t="shared" si="83"/>
        <v>1</v>
      </c>
      <c r="W1062">
        <f t="shared" si="84"/>
        <v>0</v>
      </c>
      <c r="X1062">
        <v>1</v>
      </c>
      <c r="Y1062" s="2">
        <v>45768</v>
      </c>
      <c r="Z1062" s="3" t="s">
        <v>118</v>
      </c>
      <c r="AA1062" t="s">
        <v>39</v>
      </c>
      <c r="AB1062" t="s">
        <v>40</v>
      </c>
      <c r="AC1062" t="s">
        <v>40</v>
      </c>
      <c r="AD1062" t="s">
        <v>184</v>
      </c>
    </row>
    <row r="1063" spans="2:30">
      <c r="B1063">
        <v>3</v>
      </c>
      <c r="C1063">
        <v>1020</v>
      </c>
      <c r="D1063" t="s">
        <v>181</v>
      </c>
      <c r="E1063">
        <v>10641224</v>
      </c>
      <c r="F1063" t="s">
        <v>1159</v>
      </c>
      <c r="G1063" t="s">
        <v>52</v>
      </c>
      <c r="H1063" t="s">
        <v>32</v>
      </c>
      <c r="I1063" t="s">
        <v>183</v>
      </c>
      <c r="J1063" t="s">
        <v>45</v>
      </c>
      <c r="K1063" t="s">
        <v>35</v>
      </c>
      <c r="L1063" t="s">
        <v>36</v>
      </c>
      <c r="M1063" t="s">
        <v>46</v>
      </c>
      <c r="N1063">
        <v>30</v>
      </c>
      <c r="O1063">
        <v>16</v>
      </c>
      <c r="P1063">
        <v>10</v>
      </c>
      <c r="Q1063">
        <v>0</v>
      </c>
      <c r="R1063">
        <v>0</v>
      </c>
      <c r="S1063" t="str">
        <f t="shared" si="80"/>
        <v>PZ: Alta Crit.</v>
      </c>
      <c r="T1063">
        <f t="shared" si="81"/>
        <v>1</v>
      </c>
      <c r="U1063">
        <f t="shared" si="82"/>
        <v>0</v>
      </c>
      <c r="V1063">
        <f t="shared" si="83"/>
        <v>0</v>
      </c>
      <c r="W1063">
        <f t="shared" si="84"/>
        <v>0</v>
      </c>
      <c r="X1063">
        <v>1</v>
      </c>
      <c r="Y1063" s="2">
        <v>45768</v>
      </c>
      <c r="Z1063" s="3" t="s">
        <v>47</v>
      </c>
      <c r="AA1063" t="s">
        <v>39</v>
      </c>
      <c r="AB1063" t="s">
        <v>49</v>
      </c>
      <c r="AC1063" s="5" t="s">
        <v>50</v>
      </c>
      <c r="AD1063" t="s">
        <v>184</v>
      </c>
    </row>
    <row r="1064" spans="2:30">
      <c r="B1064">
        <v>3</v>
      </c>
      <c r="C1064">
        <v>1020</v>
      </c>
      <c r="D1064" t="s">
        <v>181</v>
      </c>
      <c r="E1064">
        <v>10643800</v>
      </c>
      <c r="F1064" t="s">
        <v>1160</v>
      </c>
      <c r="G1064" t="s">
        <v>43</v>
      </c>
      <c r="H1064" t="s">
        <v>32</v>
      </c>
      <c r="I1064" t="s">
        <v>183</v>
      </c>
      <c r="J1064" t="s">
        <v>45</v>
      </c>
      <c r="K1064" t="s">
        <v>35</v>
      </c>
      <c r="L1064" t="s">
        <v>36</v>
      </c>
      <c r="M1064" t="s">
        <v>117</v>
      </c>
      <c r="N1064">
        <v>12</v>
      </c>
      <c r="O1064">
        <v>7</v>
      </c>
      <c r="P1064">
        <v>2</v>
      </c>
      <c r="Q1064">
        <v>16</v>
      </c>
      <c r="R1064">
        <v>412.09</v>
      </c>
      <c r="S1064" t="str">
        <f t="shared" si="80"/>
        <v>PY: Media Crit.</v>
      </c>
      <c r="T1064">
        <f t="shared" si="81"/>
        <v>0</v>
      </c>
      <c r="U1064">
        <f t="shared" si="82"/>
        <v>0</v>
      </c>
      <c r="V1064">
        <f t="shared" si="83"/>
        <v>0</v>
      </c>
      <c r="W1064">
        <f t="shared" si="84"/>
        <v>1</v>
      </c>
      <c r="X1064">
        <v>1</v>
      </c>
      <c r="Y1064" s="2">
        <v>45768</v>
      </c>
      <c r="Z1064" s="3" t="s">
        <v>118</v>
      </c>
      <c r="AA1064" t="s">
        <v>39</v>
      </c>
      <c r="AB1064" t="s">
        <v>40</v>
      </c>
      <c r="AC1064" t="s">
        <v>40</v>
      </c>
      <c r="AD1064" t="s">
        <v>184</v>
      </c>
    </row>
    <row r="1065" spans="2:30">
      <c r="B1065">
        <v>3</v>
      </c>
      <c r="C1065">
        <v>1020</v>
      </c>
      <c r="D1065" t="s">
        <v>388</v>
      </c>
      <c r="E1065">
        <v>10645304</v>
      </c>
      <c r="F1065" t="s">
        <v>1161</v>
      </c>
      <c r="G1065" t="s">
        <v>43</v>
      </c>
      <c r="H1065" t="s">
        <v>60</v>
      </c>
      <c r="I1065" t="s">
        <v>390</v>
      </c>
      <c r="J1065" t="s">
        <v>45</v>
      </c>
      <c r="K1065" t="s">
        <v>35</v>
      </c>
      <c r="L1065" t="s">
        <v>175</v>
      </c>
      <c r="M1065" t="s">
        <v>69</v>
      </c>
      <c r="N1065">
        <v>0</v>
      </c>
      <c r="O1065">
        <v>0</v>
      </c>
      <c r="P1065">
        <v>1</v>
      </c>
      <c r="Q1065">
        <v>1</v>
      </c>
      <c r="R1065" s="4">
        <v>3022.97</v>
      </c>
      <c r="S1065" t="str">
        <f t="shared" si="80"/>
        <v>PY: Media Crit.</v>
      </c>
      <c r="T1065">
        <f t="shared" si="81"/>
        <v>0</v>
      </c>
      <c r="U1065">
        <f t="shared" si="82"/>
        <v>1</v>
      </c>
      <c r="V1065">
        <f t="shared" si="83"/>
        <v>0</v>
      </c>
      <c r="W1065">
        <f t="shared" si="84"/>
        <v>1</v>
      </c>
      <c r="X1065">
        <v>1</v>
      </c>
      <c r="Y1065" s="2">
        <v>45768</v>
      </c>
      <c r="Z1065" s="3" t="s">
        <v>70</v>
      </c>
      <c r="AA1065" t="s">
        <v>39</v>
      </c>
      <c r="AB1065" t="s">
        <v>40</v>
      </c>
      <c r="AC1065" t="s">
        <v>40</v>
      </c>
      <c r="AD1065" t="s">
        <v>391</v>
      </c>
    </row>
    <row r="1066" spans="2:30">
      <c r="B1066">
        <v>3</v>
      </c>
      <c r="C1066">
        <v>1020</v>
      </c>
      <c r="D1066" t="s">
        <v>181</v>
      </c>
      <c r="E1066">
        <v>10646876</v>
      </c>
      <c r="F1066" t="s">
        <v>1162</v>
      </c>
      <c r="G1066" t="s">
        <v>43</v>
      </c>
      <c r="H1066" t="s">
        <v>44</v>
      </c>
      <c r="I1066" t="s">
        <v>183</v>
      </c>
      <c r="J1066" t="s">
        <v>45</v>
      </c>
      <c r="K1066" t="s">
        <v>35</v>
      </c>
      <c r="L1066" t="s">
        <v>36</v>
      </c>
      <c r="M1066" t="s">
        <v>46</v>
      </c>
      <c r="N1066">
        <v>2</v>
      </c>
      <c r="O1066">
        <v>2</v>
      </c>
      <c r="P1066">
        <v>1</v>
      </c>
      <c r="Q1066">
        <v>1</v>
      </c>
      <c r="R1066" s="4">
        <v>3409.18</v>
      </c>
      <c r="S1066" t="str">
        <f t="shared" si="80"/>
        <v>PY: Media Crit.</v>
      </c>
      <c r="T1066">
        <f t="shared" si="81"/>
        <v>0</v>
      </c>
      <c r="U1066">
        <f t="shared" si="82"/>
        <v>1</v>
      </c>
      <c r="V1066">
        <f t="shared" si="83"/>
        <v>0</v>
      </c>
      <c r="W1066">
        <f t="shared" si="84"/>
        <v>0</v>
      </c>
      <c r="X1066">
        <v>1</v>
      </c>
      <c r="Y1066" s="2">
        <v>45768</v>
      </c>
      <c r="Z1066" s="3" t="s">
        <v>47</v>
      </c>
      <c r="AA1066" t="s">
        <v>39</v>
      </c>
      <c r="AB1066" t="s">
        <v>76</v>
      </c>
      <c r="AC1066" s="5" t="s">
        <v>77</v>
      </c>
      <c r="AD1066" t="s">
        <v>184</v>
      </c>
    </row>
    <row r="1067" spans="2:30">
      <c r="B1067">
        <v>3</v>
      </c>
      <c r="C1067">
        <v>1020</v>
      </c>
      <c r="D1067" t="s">
        <v>181</v>
      </c>
      <c r="E1067">
        <v>10715537</v>
      </c>
      <c r="F1067" t="s">
        <v>1163</v>
      </c>
      <c r="G1067" t="s">
        <v>43</v>
      </c>
      <c r="H1067" t="s">
        <v>44</v>
      </c>
      <c r="I1067" t="s">
        <v>183</v>
      </c>
      <c r="J1067" t="s">
        <v>45</v>
      </c>
      <c r="K1067" t="s">
        <v>35</v>
      </c>
      <c r="L1067" t="s">
        <v>36</v>
      </c>
      <c r="M1067" t="s">
        <v>46</v>
      </c>
      <c r="N1067">
        <v>10</v>
      </c>
      <c r="O1067">
        <v>6</v>
      </c>
      <c r="P1067">
        <v>2</v>
      </c>
      <c r="Q1067">
        <v>6</v>
      </c>
      <c r="R1067" s="4">
        <v>7162.14</v>
      </c>
      <c r="S1067" t="str">
        <f t="shared" si="80"/>
        <v>PY: Media Crit.</v>
      </c>
      <c r="T1067">
        <f t="shared" si="81"/>
        <v>0</v>
      </c>
      <c r="U1067">
        <f t="shared" si="82"/>
        <v>0</v>
      </c>
      <c r="V1067">
        <f t="shared" si="83"/>
        <v>1</v>
      </c>
      <c r="W1067">
        <f t="shared" si="84"/>
        <v>0</v>
      </c>
      <c r="X1067">
        <v>1</v>
      </c>
      <c r="Y1067" s="2">
        <v>45768</v>
      </c>
      <c r="Z1067" s="3" t="s">
        <v>47</v>
      </c>
      <c r="AA1067" t="s">
        <v>39</v>
      </c>
      <c r="AB1067" t="s">
        <v>40</v>
      </c>
      <c r="AC1067" t="s">
        <v>40</v>
      </c>
      <c r="AD1067" t="s">
        <v>184</v>
      </c>
    </row>
    <row r="1068" spans="2:30">
      <c r="B1068">
        <v>3</v>
      </c>
      <c r="C1068">
        <v>1020</v>
      </c>
      <c r="D1068" t="s">
        <v>181</v>
      </c>
      <c r="E1068">
        <v>10728117</v>
      </c>
      <c r="F1068" t="s">
        <v>1164</v>
      </c>
      <c r="G1068" t="s">
        <v>31</v>
      </c>
      <c r="H1068" t="s">
        <v>32</v>
      </c>
      <c r="I1068" t="s">
        <v>183</v>
      </c>
      <c r="J1068" t="s">
        <v>45</v>
      </c>
      <c r="K1068" t="s">
        <v>35</v>
      </c>
      <c r="L1068" t="s">
        <v>36</v>
      </c>
      <c r="M1068" t="s">
        <v>117</v>
      </c>
      <c r="N1068">
        <v>20</v>
      </c>
      <c r="O1068">
        <v>15</v>
      </c>
      <c r="P1068">
        <v>2</v>
      </c>
      <c r="Q1068">
        <v>0</v>
      </c>
      <c r="R1068">
        <v>0</v>
      </c>
      <c r="S1068" t="str">
        <f t="shared" si="80"/>
        <v>PX: Baja Crit.</v>
      </c>
      <c r="T1068">
        <f t="shared" si="81"/>
        <v>1</v>
      </c>
      <c r="U1068">
        <f t="shared" si="82"/>
        <v>0</v>
      </c>
      <c r="V1068">
        <f t="shared" si="83"/>
        <v>0</v>
      </c>
      <c r="W1068">
        <f t="shared" si="84"/>
        <v>0</v>
      </c>
      <c r="X1068">
        <v>1</v>
      </c>
      <c r="Y1068" s="2">
        <v>45768</v>
      </c>
      <c r="Z1068" s="3" t="s">
        <v>118</v>
      </c>
      <c r="AA1068" t="s">
        <v>39</v>
      </c>
      <c r="AB1068" t="s">
        <v>49</v>
      </c>
      <c r="AC1068" s="5" t="s">
        <v>50</v>
      </c>
      <c r="AD1068" t="s">
        <v>184</v>
      </c>
    </row>
    <row r="1069" spans="2:30">
      <c r="B1069">
        <v>3</v>
      </c>
      <c r="C1069">
        <v>1020</v>
      </c>
      <c r="D1069" t="s">
        <v>181</v>
      </c>
      <c r="E1069">
        <v>10728152</v>
      </c>
      <c r="F1069" t="s">
        <v>1165</v>
      </c>
      <c r="G1069" t="s">
        <v>43</v>
      </c>
      <c r="H1069" t="s">
        <v>32</v>
      </c>
      <c r="I1069" t="s">
        <v>183</v>
      </c>
      <c r="J1069" t="s">
        <v>45</v>
      </c>
      <c r="K1069" t="s">
        <v>35</v>
      </c>
      <c r="L1069" t="s">
        <v>36</v>
      </c>
      <c r="M1069" t="s">
        <v>117</v>
      </c>
      <c r="N1069">
        <v>1</v>
      </c>
      <c r="O1069">
        <v>1</v>
      </c>
      <c r="P1069">
        <v>1</v>
      </c>
      <c r="Q1069">
        <v>1</v>
      </c>
      <c r="R1069">
        <v>104.09</v>
      </c>
      <c r="S1069" t="str">
        <f t="shared" si="80"/>
        <v>PY: Media Crit.</v>
      </c>
      <c r="T1069">
        <f t="shared" si="81"/>
        <v>0</v>
      </c>
      <c r="U1069">
        <f t="shared" si="82"/>
        <v>1</v>
      </c>
      <c r="V1069">
        <f t="shared" si="83"/>
        <v>0</v>
      </c>
      <c r="W1069">
        <f t="shared" si="84"/>
        <v>0</v>
      </c>
      <c r="X1069">
        <v>1</v>
      </c>
      <c r="Y1069" s="2">
        <v>45768</v>
      </c>
      <c r="Z1069" s="3" t="s">
        <v>118</v>
      </c>
      <c r="AA1069" t="s">
        <v>39</v>
      </c>
      <c r="AB1069" t="s">
        <v>40</v>
      </c>
      <c r="AC1069" t="s">
        <v>40</v>
      </c>
      <c r="AD1069" t="s">
        <v>184</v>
      </c>
    </row>
    <row r="1070" spans="2:30">
      <c r="B1070">
        <v>3</v>
      </c>
      <c r="C1070">
        <v>1020</v>
      </c>
      <c r="D1070" t="s">
        <v>181</v>
      </c>
      <c r="E1070">
        <v>10728164</v>
      </c>
      <c r="F1070" t="s">
        <v>1166</v>
      </c>
      <c r="G1070" t="s">
        <v>43</v>
      </c>
      <c r="H1070" t="s">
        <v>32</v>
      </c>
      <c r="I1070" t="s">
        <v>183</v>
      </c>
      <c r="J1070" t="s">
        <v>45</v>
      </c>
      <c r="K1070" t="s">
        <v>35</v>
      </c>
      <c r="L1070" t="s">
        <v>36</v>
      </c>
      <c r="M1070" t="s">
        <v>117</v>
      </c>
      <c r="N1070">
        <v>2</v>
      </c>
      <c r="O1070">
        <v>2</v>
      </c>
      <c r="P1070">
        <v>1</v>
      </c>
      <c r="Q1070">
        <v>2</v>
      </c>
      <c r="R1070">
        <v>852.91</v>
      </c>
      <c r="S1070" t="str">
        <f t="shared" si="80"/>
        <v>PY: Media Crit.</v>
      </c>
      <c r="T1070">
        <f t="shared" si="81"/>
        <v>0</v>
      </c>
      <c r="U1070">
        <f t="shared" si="82"/>
        <v>0</v>
      </c>
      <c r="V1070">
        <f t="shared" si="83"/>
        <v>1</v>
      </c>
      <c r="W1070">
        <f t="shared" si="84"/>
        <v>0</v>
      </c>
      <c r="X1070">
        <v>1</v>
      </c>
      <c r="Y1070" s="2">
        <v>45768</v>
      </c>
      <c r="Z1070" s="3" t="s">
        <v>118</v>
      </c>
      <c r="AA1070" t="s">
        <v>39</v>
      </c>
      <c r="AB1070" t="s">
        <v>40</v>
      </c>
      <c r="AC1070" t="s">
        <v>40</v>
      </c>
      <c r="AD1070" t="s">
        <v>184</v>
      </c>
    </row>
    <row r="1071" spans="2:30">
      <c r="B1071">
        <v>3</v>
      </c>
      <c r="C1071">
        <v>1020</v>
      </c>
      <c r="D1071" t="s">
        <v>181</v>
      </c>
      <c r="E1071">
        <v>14009627</v>
      </c>
      <c r="F1071" t="s">
        <v>1167</v>
      </c>
      <c r="G1071" t="s">
        <v>31</v>
      </c>
      <c r="H1071" t="s">
        <v>32</v>
      </c>
      <c r="I1071" t="s">
        <v>183</v>
      </c>
      <c r="J1071" t="s">
        <v>45</v>
      </c>
      <c r="K1071" t="s">
        <v>35</v>
      </c>
      <c r="L1071" t="s">
        <v>36</v>
      </c>
      <c r="M1071" t="s">
        <v>46</v>
      </c>
      <c r="N1071">
        <v>2</v>
      </c>
      <c r="O1071">
        <v>2</v>
      </c>
      <c r="P1071">
        <v>1</v>
      </c>
      <c r="Q1071">
        <v>0</v>
      </c>
      <c r="R1071">
        <v>0</v>
      </c>
      <c r="S1071" t="str">
        <f t="shared" si="80"/>
        <v>PX: Baja Crit.</v>
      </c>
      <c r="T1071">
        <f t="shared" si="81"/>
        <v>1</v>
      </c>
      <c r="U1071">
        <f t="shared" si="82"/>
        <v>0</v>
      </c>
      <c r="V1071">
        <f t="shared" si="83"/>
        <v>0</v>
      </c>
      <c r="W1071">
        <f t="shared" si="84"/>
        <v>0</v>
      </c>
      <c r="X1071">
        <v>1</v>
      </c>
      <c r="Y1071" s="2">
        <v>45768</v>
      </c>
      <c r="Z1071" s="3" t="s">
        <v>47</v>
      </c>
      <c r="AA1071" t="s">
        <v>39</v>
      </c>
      <c r="AB1071" t="s">
        <v>49</v>
      </c>
      <c r="AC1071" s="5" t="s">
        <v>50</v>
      </c>
      <c r="AD1071" t="s">
        <v>184</v>
      </c>
    </row>
    <row r="1072" spans="2:30">
      <c r="B1072">
        <v>3</v>
      </c>
      <c r="C1072">
        <v>1020</v>
      </c>
      <c r="D1072" t="s">
        <v>181</v>
      </c>
      <c r="E1072">
        <v>14009657</v>
      </c>
      <c r="F1072" t="s">
        <v>1168</v>
      </c>
      <c r="G1072" t="s">
        <v>43</v>
      </c>
      <c r="H1072" t="s">
        <v>32</v>
      </c>
      <c r="I1072" t="s">
        <v>183</v>
      </c>
      <c r="J1072" t="s">
        <v>45</v>
      </c>
      <c r="K1072" t="s">
        <v>35</v>
      </c>
      <c r="L1072" t="s">
        <v>36</v>
      </c>
      <c r="M1072" t="s">
        <v>46</v>
      </c>
      <c r="N1072">
        <v>6</v>
      </c>
      <c r="O1072">
        <v>4</v>
      </c>
      <c r="P1072">
        <v>2</v>
      </c>
      <c r="Q1072">
        <v>5</v>
      </c>
      <c r="R1072">
        <v>994.2</v>
      </c>
      <c r="S1072" t="str">
        <f t="shared" si="80"/>
        <v>PY: Media Crit.</v>
      </c>
      <c r="T1072">
        <f t="shared" si="81"/>
        <v>0</v>
      </c>
      <c r="U1072">
        <f t="shared" si="82"/>
        <v>0</v>
      </c>
      <c r="V1072">
        <f t="shared" si="83"/>
        <v>1</v>
      </c>
      <c r="W1072">
        <f t="shared" si="84"/>
        <v>0</v>
      </c>
      <c r="X1072">
        <v>1</v>
      </c>
      <c r="Y1072" s="2">
        <v>45768</v>
      </c>
      <c r="Z1072" s="3" t="s">
        <v>47</v>
      </c>
      <c r="AA1072" t="s">
        <v>39</v>
      </c>
      <c r="AB1072" t="s">
        <v>40</v>
      </c>
      <c r="AC1072" t="s">
        <v>40</v>
      </c>
      <c r="AD1072" t="s">
        <v>184</v>
      </c>
    </row>
    <row r="1073" spans="2:30">
      <c r="B1073">
        <v>3</v>
      </c>
      <c r="C1073">
        <v>1020</v>
      </c>
      <c r="D1073" t="s">
        <v>181</v>
      </c>
      <c r="E1073">
        <v>14010062</v>
      </c>
      <c r="F1073" t="s">
        <v>1169</v>
      </c>
      <c r="G1073" t="s">
        <v>52</v>
      </c>
      <c r="H1073" t="s">
        <v>32</v>
      </c>
      <c r="I1073" t="s">
        <v>183</v>
      </c>
      <c r="J1073" t="s">
        <v>45</v>
      </c>
      <c r="K1073" t="s">
        <v>35</v>
      </c>
      <c r="L1073" t="s">
        <v>36</v>
      </c>
      <c r="M1073" t="s">
        <v>46</v>
      </c>
      <c r="N1073">
        <v>2</v>
      </c>
      <c r="O1073">
        <v>2</v>
      </c>
      <c r="P1073">
        <v>1</v>
      </c>
      <c r="Q1073">
        <v>0</v>
      </c>
      <c r="R1073">
        <v>0</v>
      </c>
      <c r="S1073" t="str">
        <f t="shared" si="80"/>
        <v>PZ: Alta Crit.</v>
      </c>
      <c r="T1073">
        <f t="shared" si="81"/>
        <v>1</v>
      </c>
      <c r="U1073">
        <f t="shared" si="82"/>
        <v>0</v>
      </c>
      <c r="V1073">
        <f t="shared" si="83"/>
        <v>0</v>
      </c>
      <c r="W1073">
        <f t="shared" si="84"/>
        <v>0</v>
      </c>
      <c r="X1073">
        <v>1</v>
      </c>
      <c r="Y1073" s="2">
        <v>45768</v>
      </c>
      <c r="Z1073" s="3" t="s">
        <v>47</v>
      </c>
      <c r="AA1073" t="s">
        <v>39</v>
      </c>
      <c r="AB1073" t="s">
        <v>49</v>
      </c>
      <c r="AC1073" s="5" t="s">
        <v>50</v>
      </c>
      <c r="AD1073" t="s">
        <v>184</v>
      </c>
    </row>
    <row r="1074" spans="2:30">
      <c r="B1074">
        <v>3</v>
      </c>
      <c r="C1074">
        <v>1020</v>
      </c>
      <c r="D1074" t="s">
        <v>172</v>
      </c>
      <c r="E1074">
        <v>14011575</v>
      </c>
      <c r="F1074" t="s">
        <v>1170</v>
      </c>
      <c r="G1074" t="s">
        <v>52</v>
      </c>
      <c r="H1074" t="s">
        <v>32</v>
      </c>
      <c r="I1074" t="s">
        <v>584</v>
      </c>
      <c r="J1074" t="s">
        <v>45</v>
      </c>
      <c r="K1074" t="s">
        <v>35</v>
      </c>
      <c r="L1074" t="s">
        <v>175</v>
      </c>
      <c r="M1074" t="s">
        <v>117</v>
      </c>
      <c r="N1074">
        <v>0</v>
      </c>
      <c r="O1074">
        <v>0</v>
      </c>
      <c r="P1074">
        <v>0</v>
      </c>
      <c r="Q1074">
        <v>19</v>
      </c>
      <c r="R1074" s="4">
        <v>539509.37</v>
      </c>
      <c r="S1074" t="str">
        <f t="shared" si="80"/>
        <v>PZ: Alta Crit.</v>
      </c>
      <c r="T1074">
        <f t="shared" si="81"/>
        <v>0</v>
      </c>
      <c r="U1074">
        <f t="shared" si="82"/>
        <v>0</v>
      </c>
      <c r="V1074">
        <f t="shared" si="83"/>
        <v>0</v>
      </c>
      <c r="W1074">
        <f t="shared" si="84"/>
        <v>1</v>
      </c>
      <c r="X1074">
        <v>1</v>
      </c>
      <c r="Y1074" s="2">
        <v>45768</v>
      </c>
      <c r="Z1074" s="3" t="s">
        <v>118</v>
      </c>
      <c r="AA1074" t="s">
        <v>39</v>
      </c>
      <c r="AB1074" t="s">
        <v>49</v>
      </c>
      <c r="AC1074" s="5" t="s">
        <v>50</v>
      </c>
      <c r="AD1074" t="s">
        <v>585</v>
      </c>
    </row>
    <row r="1075" spans="2:30">
      <c r="B1075">
        <v>3</v>
      </c>
      <c r="C1075">
        <v>1020</v>
      </c>
      <c r="D1075" t="s">
        <v>181</v>
      </c>
      <c r="E1075">
        <v>14012451</v>
      </c>
      <c r="F1075" t="s">
        <v>1171</v>
      </c>
      <c r="G1075" t="s">
        <v>43</v>
      </c>
      <c r="H1075" t="s">
        <v>44</v>
      </c>
      <c r="I1075" t="s">
        <v>183</v>
      </c>
      <c r="J1075" t="s">
        <v>45</v>
      </c>
      <c r="K1075" t="s">
        <v>35</v>
      </c>
      <c r="L1075" t="s">
        <v>36</v>
      </c>
      <c r="M1075" t="s">
        <v>117</v>
      </c>
      <c r="N1075">
        <v>10</v>
      </c>
      <c r="O1075">
        <v>6</v>
      </c>
      <c r="P1075">
        <v>2</v>
      </c>
      <c r="Q1075">
        <v>0</v>
      </c>
      <c r="R1075">
        <v>0</v>
      </c>
      <c r="S1075" t="str">
        <f t="shared" si="80"/>
        <v>PY: Media Crit.</v>
      </c>
      <c r="T1075">
        <f t="shared" si="81"/>
        <v>1</v>
      </c>
      <c r="U1075">
        <f t="shared" si="82"/>
        <v>0</v>
      </c>
      <c r="V1075">
        <f t="shared" si="83"/>
        <v>0</v>
      </c>
      <c r="W1075">
        <f t="shared" si="84"/>
        <v>0</v>
      </c>
      <c r="X1075">
        <v>1</v>
      </c>
      <c r="Y1075" s="2">
        <v>45768</v>
      </c>
      <c r="Z1075" s="3" t="s">
        <v>118</v>
      </c>
      <c r="AA1075" t="s">
        <v>39</v>
      </c>
      <c r="AB1075" t="s">
        <v>76</v>
      </c>
      <c r="AC1075" s="5" t="s">
        <v>77</v>
      </c>
      <c r="AD1075" t="s">
        <v>184</v>
      </c>
    </row>
    <row r="1076" spans="2:30">
      <c r="B1076">
        <v>3</v>
      </c>
      <c r="C1076">
        <v>1020</v>
      </c>
      <c r="D1076" t="s">
        <v>181</v>
      </c>
      <c r="E1076">
        <v>14012598</v>
      </c>
      <c r="F1076" t="s">
        <v>1172</v>
      </c>
      <c r="G1076" t="s">
        <v>31</v>
      </c>
      <c r="H1076" t="s">
        <v>60</v>
      </c>
      <c r="I1076" t="s">
        <v>183</v>
      </c>
      <c r="J1076" t="s">
        <v>45</v>
      </c>
      <c r="K1076" t="s">
        <v>35</v>
      </c>
      <c r="L1076" t="s">
        <v>36</v>
      </c>
      <c r="M1076" t="s">
        <v>117</v>
      </c>
      <c r="N1076">
        <v>2</v>
      </c>
      <c r="O1076">
        <v>1</v>
      </c>
      <c r="P1076">
        <v>0</v>
      </c>
      <c r="Q1076">
        <v>2</v>
      </c>
      <c r="R1076" s="4">
        <v>5896.88</v>
      </c>
      <c r="S1076" t="str">
        <f t="shared" si="80"/>
        <v>PX: Baja Crit.</v>
      </c>
      <c r="T1076">
        <f t="shared" si="81"/>
        <v>0</v>
      </c>
      <c r="U1076">
        <f t="shared" si="82"/>
        <v>0</v>
      </c>
      <c r="V1076">
        <f t="shared" si="83"/>
        <v>1</v>
      </c>
      <c r="W1076">
        <f t="shared" si="84"/>
        <v>0</v>
      </c>
      <c r="X1076">
        <v>1</v>
      </c>
      <c r="Y1076" s="2">
        <v>45768</v>
      </c>
      <c r="Z1076" s="3" t="s">
        <v>118</v>
      </c>
      <c r="AA1076" t="s">
        <v>39</v>
      </c>
      <c r="AB1076" t="s">
        <v>40</v>
      </c>
      <c r="AC1076" t="s">
        <v>40</v>
      </c>
      <c r="AD1076" t="s">
        <v>184</v>
      </c>
    </row>
    <row r="1077" spans="2:30">
      <c r="B1077">
        <v>3</v>
      </c>
      <c r="C1077">
        <v>1020</v>
      </c>
      <c r="D1077" t="s">
        <v>384</v>
      </c>
      <c r="E1077">
        <v>14012601</v>
      </c>
      <c r="F1077" t="s">
        <v>1173</v>
      </c>
      <c r="G1077" t="s">
        <v>31</v>
      </c>
      <c r="H1077" t="s">
        <v>60</v>
      </c>
      <c r="I1077" t="s">
        <v>386</v>
      </c>
      <c r="J1077" t="s">
        <v>45</v>
      </c>
      <c r="K1077" t="s">
        <v>35</v>
      </c>
      <c r="L1077" t="s">
        <v>175</v>
      </c>
      <c r="M1077" t="s">
        <v>117</v>
      </c>
      <c r="N1077">
        <v>0</v>
      </c>
      <c r="O1077">
        <v>0</v>
      </c>
      <c r="P1077">
        <v>0</v>
      </c>
      <c r="Q1077">
        <v>2</v>
      </c>
      <c r="R1077" s="4">
        <v>5894.7</v>
      </c>
      <c r="S1077" t="str">
        <f t="shared" si="80"/>
        <v>PX: Baja Crit.</v>
      </c>
      <c r="T1077">
        <f t="shared" si="81"/>
        <v>0</v>
      </c>
      <c r="U1077">
        <f t="shared" si="82"/>
        <v>0</v>
      </c>
      <c r="V1077">
        <f t="shared" si="83"/>
        <v>0</v>
      </c>
      <c r="W1077">
        <f t="shared" si="84"/>
        <v>1</v>
      </c>
      <c r="X1077">
        <v>1</v>
      </c>
      <c r="Y1077" s="2">
        <v>45768</v>
      </c>
      <c r="Z1077" s="3" t="s">
        <v>118</v>
      </c>
      <c r="AA1077" t="s">
        <v>39</v>
      </c>
      <c r="AB1077" t="s">
        <v>40</v>
      </c>
      <c r="AC1077" t="s">
        <v>40</v>
      </c>
      <c r="AD1077" t="s">
        <v>387</v>
      </c>
    </row>
    <row r="1078" spans="2:30">
      <c r="B1078">
        <v>3</v>
      </c>
      <c r="C1078">
        <v>1020</v>
      </c>
      <c r="D1078" t="s">
        <v>181</v>
      </c>
      <c r="E1078">
        <v>14042107</v>
      </c>
      <c r="F1078" t="s">
        <v>1174</v>
      </c>
      <c r="G1078" t="s">
        <v>43</v>
      </c>
      <c r="H1078" t="s">
        <v>60</v>
      </c>
      <c r="I1078" t="s">
        <v>183</v>
      </c>
      <c r="J1078" t="s">
        <v>45</v>
      </c>
      <c r="K1078" t="s">
        <v>35</v>
      </c>
      <c r="L1078" t="s">
        <v>36</v>
      </c>
      <c r="M1078" t="s">
        <v>117</v>
      </c>
      <c r="N1078">
        <v>4</v>
      </c>
      <c r="O1078">
        <v>2</v>
      </c>
      <c r="P1078">
        <v>0</v>
      </c>
      <c r="Q1078">
        <v>15</v>
      </c>
      <c r="R1078" s="4">
        <v>21661.73</v>
      </c>
      <c r="S1078" t="str">
        <f t="shared" si="80"/>
        <v>PY: Media Crit.</v>
      </c>
      <c r="T1078">
        <f t="shared" si="81"/>
        <v>0</v>
      </c>
      <c r="U1078">
        <f t="shared" si="82"/>
        <v>0</v>
      </c>
      <c r="V1078">
        <f t="shared" si="83"/>
        <v>0</v>
      </c>
      <c r="W1078">
        <f t="shared" si="84"/>
        <v>1</v>
      </c>
      <c r="X1078">
        <v>1</v>
      </c>
      <c r="Y1078" s="2">
        <v>45768</v>
      </c>
      <c r="Z1078" s="3" t="s">
        <v>118</v>
      </c>
      <c r="AA1078" t="s">
        <v>39</v>
      </c>
      <c r="AB1078" t="s">
        <v>40</v>
      </c>
      <c r="AC1078" t="s">
        <v>40</v>
      </c>
      <c r="AD1078" t="s">
        <v>184</v>
      </c>
    </row>
    <row r="1079" spans="2:30">
      <c r="B1079">
        <v>3</v>
      </c>
      <c r="C1079">
        <v>1020</v>
      </c>
      <c r="D1079" t="s">
        <v>181</v>
      </c>
      <c r="E1079">
        <v>14047979</v>
      </c>
      <c r="F1079" t="s">
        <v>1175</v>
      </c>
      <c r="G1079" t="s">
        <v>52</v>
      </c>
      <c r="H1079" t="s">
        <v>32</v>
      </c>
      <c r="I1079" t="s">
        <v>183</v>
      </c>
      <c r="J1079" t="s">
        <v>45</v>
      </c>
      <c r="K1079" t="s">
        <v>35</v>
      </c>
      <c r="L1079" t="s">
        <v>36</v>
      </c>
      <c r="M1079" t="s">
        <v>117</v>
      </c>
      <c r="N1079">
        <v>15</v>
      </c>
      <c r="O1079">
        <v>10</v>
      </c>
      <c r="P1079">
        <v>2</v>
      </c>
      <c r="Q1079">
        <v>10</v>
      </c>
      <c r="R1079" s="4">
        <v>1608.5</v>
      </c>
      <c r="S1079" t="str">
        <f t="shared" si="80"/>
        <v>PZ: Alta Crit.</v>
      </c>
      <c r="T1079">
        <f t="shared" si="81"/>
        <v>0</v>
      </c>
      <c r="U1079">
        <f t="shared" si="82"/>
        <v>0</v>
      </c>
      <c r="V1079">
        <f t="shared" si="83"/>
        <v>1</v>
      </c>
      <c r="W1079">
        <f t="shared" si="84"/>
        <v>0</v>
      </c>
      <c r="X1079">
        <v>1</v>
      </c>
      <c r="Y1079" s="2">
        <v>45768</v>
      </c>
      <c r="Z1079" s="3" t="s">
        <v>118</v>
      </c>
      <c r="AA1079" t="s">
        <v>39</v>
      </c>
      <c r="AB1079" t="s">
        <v>40</v>
      </c>
      <c r="AC1079" t="s">
        <v>40</v>
      </c>
      <c r="AD1079" t="s">
        <v>184</v>
      </c>
    </row>
    <row r="1080" spans="2:30">
      <c r="B1080">
        <v>3</v>
      </c>
      <c r="C1080">
        <v>1020</v>
      </c>
      <c r="D1080" t="s">
        <v>181</v>
      </c>
      <c r="E1080">
        <v>14047983</v>
      </c>
      <c r="F1080" t="s">
        <v>1176</v>
      </c>
      <c r="G1080" t="s">
        <v>52</v>
      </c>
      <c r="H1080" t="s">
        <v>32</v>
      </c>
      <c r="I1080" t="s">
        <v>183</v>
      </c>
      <c r="J1080" t="s">
        <v>45</v>
      </c>
      <c r="K1080" t="s">
        <v>35</v>
      </c>
      <c r="L1080" t="s">
        <v>36</v>
      </c>
      <c r="M1080" t="s">
        <v>117</v>
      </c>
      <c r="N1080">
        <v>5</v>
      </c>
      <c r="O1080">
        <v>3</v>
      </c>
      <c r="P1080">
        <v>2</v>
      </c>
      <c r="Q1080">
        <v>5</v>
      </c>
      <c r="R1080">
        <v>667.75</v>
      </c>
      <c r="S1080" t="str">
        <f t="shared" si="80"/>
        <v>PZ: Alta Crit.</v>
      </c>
      <c r="T1080">
        <f t="shared" si="81"/>
        <v>0</v>
      </c>
      <c r="U1080">
        <f t="shared" si="82"/>
        <v>0</v>
      </c>
      <c r="V1080">
        <f t="shared" si="83"/>
        <v>1</v>
      </c>
      <c r="W1080">
        <f t="shared" si="84"/>
        <v>0</v>
      </c>
      <c r="X1080">
        <v>1</v>
      </c>
      <c r="Y1080" s="2">
        <v>45768</v>
      </c>
      <c r="Z1080" s="3" t="s">
        <v>118</v>
      </c>
      <c r="AA1080" t="s">
        <v>39</v>
      </c>
      <c r="AB1080" t="s">
        <v>40</v>
      </c>
      <c r="AC1080" t="s">
        <v>40</v>
      </c>
      <c r="AD1080" t="s">
        <v>184</v>
      </c>
    </row>
    <row r="1081" spans="2:30">
      <c r="B1081">
        <v>3</v>
      </c>
      <c r="C1081">
        <v>1020</v>
      </c>
      <c r="D1081" t="s">
        <v>181</v>
      </c>
      <c r="E1081">
        <v>14059357</v>
      </c>
      <c r="F1081" t="s">
        <v>1177</v>
      </c>
      <c r="G1081" t="s">
        <v>43</v>
      </c>
      <c r="H1081" t="s">
        <v>60</v>
      </c>
      <c r="I1081" t="s">
        <v>183</v>
      </c>
      <c r="J1081" t="s">
        <v>45</v>
      </c>
      <c r="K1081" t="s">
        <v>35</v>
      </c>
      <c r="L1081" t="s">
        <v>36</v>
      </c>
      <c r="M1081" t="s">
        <v>69</v>
      </c>
      <c r="N1081">
        <v>4</v>
      </c>
      <c r="O1081">
        <v>4</v>
      </c>
      <c r="P1081">
        <v>0</v>
      </c>
      <c r="Q1081">
        <v>4</v>
      </c>
      <c r="R1081" s="4">
        <v>6274.01</v>
      </c>
      <c r="S1081" t="str">
        <f t="shared" si="80"/>
        <v>PY: Media Crit.</v>
      </c>
      <c r="T1081">
        <f t="shared" si="81"/>
        <v>0</v>
      </c>
      <c r="U1081">
        <f t="shared" si="82"/>
        <v>0</v>
      </c>
      <c r="V1081">
        <f t="shared" si="83"/>
        <v>1</v>
      </c>
      <c r="W1081">
        <f t="shared" si="84"/>
        <v>0</v>
      </c>
      <c r="X1081">
        <v>1</v>
      </c>
      <c r="Y1081" s="2">
        <v>45768</v>
      </c>
      <c r="Z1081" s="3" t="s">
        <v>70</v>
      </c>
      <c r="AA1081" t="s">
        <v>39</v>
      </c>
      <c r="AB1081" t="s">
        <v>40</v>
      </c>
      <c r="AC1081" t="s">
        <v>40</v>
      </c>
      <c r="AD1081" t="s">
        <v>184</v>
      </c>
    </row>
    <row r="1082" spans="2:30">
      <c r="B1082">
        <v>3</v>
      </c>
      <c r="C1082">
        <v>1020</v>
      </c>
      <c r="D1082" t="s">
        <v>181</v>
      </c>
      <c r="E1082">
        <v>14060985</v>
      </c>
      <c r="F1082" t="s">
        <v>1178</v>
      </c>
      <c r="G1082" t="s">
        <v>43</v>
      </c>
      <c r="H1082" t="s">
        <v>60</v>
      </c>
      <c r="I1082" t="s">
        <v>183</v>
      </c>
      <c r="J1082" t="s">
        <v>45</v>
      </c>
      <c r="K1082" t="s">
        <v>35</v>
      </c>
      <c r="L1082" t="s">
        <v>36</v>
      </c>
      <c r="M1082" t="s">
        <v>117</v>
      </c>
      <c r="N1082">
        <v>6</v>
      </c>
      <c r="O1082">
        <v>5</v>
      </c>
      <c r="P1082">
        <v>0</v>
      </c>
      <c r="Q1082">
        <v>2</v>
      </c>
      <c r="R1082">
        <v>793.36</v>
      </c>
      <c r="S1082" t="str">
        <f t="shared" si="80"/>
        <v>PY: Media Crit.</v>
      </c>
      <c r="T1082">
        <f t="shared" si="81"/>
        <v>0</v>
      </c>
      <c r="U1082">
        <f t="shared" si="82"/>
        <v>0</v>
      </c>
      <c r="V1082">
        <f t="shared" si="83"/>
        <v>1</v>
      </c>
      <c r="W1082">
        <f t="shared" si="84"/>
        <v>0</v>
      </c>
      <c r="X1082">
        <v>1</v>
      </c>
      <c r="Y1082" s="2">
        <v>45768</v>
      </c>
      <c r="Z1082" s="3" t="s">
        <v>118</v>
      </c>
      <c r="AA1082" t="s">
        <v>39</v>
      </c>
      <c r="AB1082" t="s">
        <v>49</v>
      </c>
      <c r="AC1082" s="5" t="s">
        <v>50</v>
      </c>
      <c r="AD1082" t="s">
        <v>184</v>
      </c>
    </row>
    <row r="1083" spans="2:30">
      <c r="B1083">
        <v>3</v>
      </c>
      <c r="C1083">
        <v>1020</v>
      </c>
      <c r="D1083" t="s">
        <v>181</v>
      </c>
      <c r="E1083">
        <v>14062110</v>
      </c>
      <c r="F1083" t="s">
        <v>1179</v>
      </c>
      <c r="G1083" t="s">
        <v>43</v>
      </c>
      <c r="H1083" t="s">
        <v>32</v>
      </c>
      <c r="I1083" t="s">
        <v>183</v>
      </c>
      <c r="J1083" t="s">
        <v>45</v>
      </c>
      <c r="K1083" t="s">
        <v>35</v>
      </c>
      <c r="L1083" t="s">
        <v>36</v>
      </c>
      <c r="M1083" t="s">
        <v>46</v>
      </c>
      <c r="N1083">
        <v>2</v>
      </c>
      <c r="O1083">
        <v>2</v>
      </c>
      <c r="P1083">
        <v>1</v>
      </c>
      <c r="Q1083">
        <v>2</v>
      </c>
      <c r="R1083" s="4">
        <v>5631.37</v>
      </c>
      <c r="S1083" t="str">
        <f t="shared" si="80"/>
        <v>PY: Media Crit.</v>
      </c>
      <c r="T1083">
        <f t="shared" si="81"/>
        <v>0</v>
      </c>
      <c r="U1083">
        <f t="shared" si="82"/>
        <v>0</v>
      </c>
      <c r="V1083">
        <f t="shared" si="83"/>
        <v>1</v>
      </c>
      <c r="W1083">
        <f t="shared" si="84"/>
        <v>0</v>
      </c>
      <c r="X1083">
        <v>1</v>
      </c>
      <c r="Y1083" s="2">
        <v>45768</v>
      </c>
      <c r="Z1083" s="3" t="s">
        <v>47</v>
      </c>
      <c r="AA1083" t="s">
        <v>39</v>
      </c>
      <c r="AB1083" t="s">
        <v>40</v>
      </c>
      <c r="AC1083" t="s">
        <v>40</v>
      </c>
      <c r="AD1083" t="s">
        <v>184</v>
      </c>
    </row>
    <row r="1084" spans="2:30">
      <c r="B1084">
        <v>3</v>
      </c>
      <c r="C1084">
        <v>1020</v>
      </c>
      <c r="D1084" t="s">
        <v>181</v>
      </c>
      <c r="E1084">
        <v>14063916</v>
      </c>
      <c r="F1084" t="s">
        <v>1180</v>
      </c>
      <c r="G1084" t="s">
        <v>52</v>
      </c>
      <c r="H1084" t="s">
        <v>32</v>
      </c>
      <c r="I1084" t="s">
        <v>183</v>
      </c>
      <c r="J1084" t="s">
        <v>45</v>
      </c>
      <c r="K1084" t="s">
        <v>35</v>
      </c>
      <c r="L1084" t="s">
        <v>36</v>
      </c>
      <c r="M1084" t="s">
        <v>46</v>
      </c>
      <c r="N1084">
        <v>6</v>
      </c>
      <c r="O1084">
        <v>4</v>
      </c>
      <c r="P1084">
        <v>3</v>
      </c>
      <c r="Q1084">
        <v>10</v>
      </c>
      <c r="R1084">
        <v>608.25</v>
      </c>
      <c r="S1084" t="str">
        <f t="shared" si="80"/>
        <v>PZ: Alta Crit.</v>
      </c>
      <c r="T1084">
        <f t="shared" si="81"/>
        <v>0</v>
      </c>
      <c r="U1084">
        <f t="shared" si="82"/>
        <v>0</v>
      </c>
      <c r="V1084">
        <f t="shared" si="83"/>
        <v>0</v>
      </c>
      <c r="W1084">
        <f t="shared" si="84"/>
        <v>1</v>
      </c>
      <c r="X1084">
        <v>1</v>
      </c>
      <c r="Y1084" s="2">
        <v>45768</v>
      </c>
      <c r="Z1084" s="3" t="s">
        <v>47</v>
      </c>
      <c r="AA1084" t="s">
        <v>39</v>
      </c>
      <c r="AB1084" t="s">
        <v>40</v>
      </c>
      <c r="AC1084" t="s">
        <v>40</v>
      </c>
      <c r="AD1084" t="s">
        <v>184</v>
      </c>
    </row>
    <row r="1085" spans="2:30">
      <c r="B1085">
        <v>3</v>
      </c>
      <c r="C1085">
        <v>1020</v>
      </c>
      <c r="D1085" t="s">
        <v>384</v>
      </c>
      <c r="E1085">
        <v>14065114</v>
      </c>
      <c r="F1085" t="s">
        <v>1181</v>
      </c>
      <c r="G1085" t="s">
        <v>43</v>
      </c>
      <c r="H1085" t="s">
        <v>32</v>
      </c>
      <c r="I1085" t="s">
        <v>386</v>
      </c>
      <c r="J1085" t="s">
        <v>45</v>
      </c>
      <c r="K1085" t="s">
        <v>35</v>
      </c>
      <c r="L1085" t="s">
        <v>175</v>
      </c>
      <c r="M1085" t="s">
        <v>117</v>
      </c>
      <c r="N1085">
        <v>0</v>
      </c>
      <c r="O1085">
        <v>0</v>
      </c>
      <c r="P1085">
        <v>0</v>
      </c>
      <c r="Q1085">
        <v>0</v>
      </c>
      <c r="R1085">
        <v>0</v>
      </c>
      <c r="S1085" t="str">
        <f t="shared" si="80"/>
        <v>PY: Media Crit.</v>
      </c>
      <c r="T1085">
        <f t="shared" si="81"/>
        <v>1</v>
      </c>
      <c r="U1085">
        <f t="shared" si="82"/>
        <v>0</v>
      </c>
      <c r="V1085">
        <f t="shared" si="83"/>
        <v>0</v>
      </c>
      <c r="W1085">
        <f t="shared" si="84"/>
        <v>0</v>
      </c>
      <c r="X1085">
        <v>1</v>
      </c>
      <c r="Y1085" s="2">
        <v>45768</v>
      </c>
      <c r="Z1085" s="3" t="s">
        <v>118</v>
      </c>
      <c r="AA1085" t="s">
        <v>39</v>
      </c>
      <c r="AB1085" t="s">
        <v>76</v>
      </c>
      <c r="AC1085" s="5" t="s">
        <v>77</v>
      </c>
      <c r="AD1085" t="s">
        <v>387</v>
      </c>
    </row>
    <row r="1086" spans="2:30">
      <c r="B1086">
        <v>3</v>
      </c>
      <c r="C1086">
        <v>1020</v>
      </c>
      <c r="D1086" t="s">
        <v>181</v>
      </c>
      <c r="E1086">
        <v>14065120</v>
      </c>
      <c r="F1086" t="s">
        <v>1182</v>
      </c>
      <c r="G1086" t="s">
        <v>52</v>
      </c>
      <c r="H1086" t="s">
        <v>32</v>
      </c>
      <c r="I1086" t="s">
        <v>183</v>
      </c>
      <c r="J1086" t="s">
        <v>45</v>
      </c>
      <c r="K1086" t="s">
        <v>35</v>
      </c>
      <c r="L1086" t="s">
        <v>36</v>
      </c>
      <c r="M1086" t="s">
        <v>117</v>
      </c>
      <c r="N1086">
        <v>6</v>
      </c>
      <c r="O1086">
        <v>3</v>
      </c>
      <c r="P1086">
        <v>1</v>
      </c>
      <c r="Q1086">
        <v>10</v>
      </c>
      <c r="R1086" s="4">
        <v>2333.94</v>
      </c>
      <c r="S1086" t="str">
        <f t="shared" si="80"/>
        <v>PZ: Alta Crit.</v>
      </c>
      <c r="T1086">
        <f t="shared" si="81"/>
        <v>0</v>
      </c>
      <c r="U1086">
        <f t="shared" si="82"/>
        <v>0</v>
      </c>
      <c r="V1086">
        <f t="shared" si="83"/>
        <v>0</v>
      </c>
      <c r="W1086">
        <f t="shared" si="84"/>
        <v>1</v>
      </c>
      <c r="X1086">
        <v>1</v>
      </c>
      <c r="Y1086" s="2">
        <v>45768</v>
      </c>
      <c r="Z1086" s="3" t="s">
        <v>118</v>
      </c>
      <c r="AA1086" t="s">
        <v>39</v>
      </c>
      <c r="AB1086" t="s">
        <v>40</v>
      </c>
      <c r="AC1086" t="s">
        <v>40</v>
      </c>
      <c r="AD1086" t="s">
        <v>184</v>
      </c>
    </row>
    <row r="1087" spans="2:30">
      <c r="B1087">
        <v>3</v>
      </c>
      <c r="C1087">
        <v>1020</v>
      </c>
      <c r="D1087" t="s">
        <v>181</v>
      </c>
      <c r="E1087">
        <v>14074209</v>
      </c>
      <c r="F1087" t="s">
        <v>1183</v>
      </c>
      <c r="G1087" t="s">
        <v>43</v>
      </c>
      <c r="H1087" t="s">
        <v>32</v>
      </c>
      <c r="I1087" t="s">
        <v>183</v>
      </c>
      <c r="J1087" t="s">
        <v>45</v>
      </c>
      <c r="K1087" t="s">
        <v>35</v>
      </c>
      <c r="L1087" t="s">
        <v>36</v>
      </c>
      <c r="M1087" t="s">
        <v>69</v>
      </c>
      <c r="N1087">
        <v>12</v>
      </c>
      <c r="O1087">
        <v>9</v>
      </c>
      <c r="P1087">
        <v>1</v>
      </c>
      <c r="Q1087">
        <v>9</v>
      </c>
      <c r="R1087" s="4">
        <v>2436.88</v>
      </c>
      <c r="S1087" t="str">
        <f t="shared" si="80"/>
        <v>PY: Media Crit.</v>
      </c>
      <c r="T1087">
        <f t="shared" si="81"/>
        <v>0</v>
      </c>
      <c r="U1087">
        <f t="shared" si="82"/>
        <v>0</v>
      </c>
      <c r="V1087">
        <f t="shared" si="83"/>
        <v>1</v>
      </c>
      <c r="W1087">
        <f t="shared" si="84"/>
        <v>0</v>
      </c>
      <c r="X1087">
        <v>1</v>
      </c>
      <c r="Y1087" s="2">
        <v>45768</v>
      </c>
      <c r="Z1087" s="3" t="s">
        <v>70</v>
      </c>
      <c r="AA1087" t="s">
        <v>39</v>
      </c>
      <c r="AB1087" t="s">
        <v>40</v>
      </c>
      <c r="AC1087" t="s">
        <v>40</v>
      </c>
      <c r="AD1087" t="s">
        <v>184</v>
      </c>
    </row>
    <row r="1088" spans="2:30">
      <c r="B1088">
        <v>3</v>
      </c>
      <c r="C1088">
        <v>1020</v>
      </c>
      <c r="D1088" t="s">
        <v>181</v>
      </c>
      <c r="E1088">
        <v>14074210</v>
      </c>
      <c r="F1088" t="s">
        <v>1184</v>
      </c>
      <c r="G1088" t="s">
        <v>43</v>
      </c>
      <c r="H1088" t="s">
        <v>32</v>
      </c>
      <c r="I1088" t="s">
        <v>183</v>
      </c>
      <c r="J1088" t="s">
        <v>45</v>
      </c>
      <c r="K1088" t="s">
        <v>35</v>
      </c>
      <c r="L1088" t="s">
        <v>36</v>
      </c>
      <c r="M1088" t="s">
        <v>69</v>
      </c>
      <c r="N1088">
        <v>12</v>
      </c>
      <c r="O1088">
        <v>9</v>
      </c>
      <c r="P1088">
        <v>1</v>
      </c>
      <c r="Q1088">
        <v>10</v>
      </c>
      <c r="R1088" s="4">
        <v>2924.54</v>
      </c>
      <c r="S1088" t="str">
        <f t="shared" si="80"/>
        <v>PY: Media Crit.</v>
      </c>
      <c r="T1088">
        <f t="shared" si="81"/>
        <v>0</v>
      </c>
      <c r="U1088">
        <f t="shared" si="82"/>
        <v>0</v>
      </c>
      <c r="V1088">
        <f t="shared" si="83"/>
        <v>1</v>
      </c>
      <c r="W1088">
        <f t="shared" si="84"/>
        <v>0</v>
      </c>
      <c r="X1088">
        <v>1</v>
      </c>
      <c r="Y1088" s="2">
        <v>45768</v>
      </c>
      <c r="Z1088" s="3" t="s">
        <v>70</v>
      </c>
      <c r="AA1088" t="s">
        <v>39</v>
      </c>
      <c r="AB1088" t="s">
        <v>40</v>
      </c>
      <c r="AC1088" t="s">
        <v>40</v>
      </c>
      <c r="AD1088" t="s">
        <v>184</v>
      </c>
    </row>
    <row r="1089" spans="2:30">
      <c r="B1089">
        <v>3</v>
      </c>
      <c r="C1089">
        <v>1020</v>
      </c>
      <c r="D1089" t="s">
        <v>388</v>
      </c>
      <c r="E1089">
        <v>14084462</v>
      </c>
      <c r="F1089" t="s">
        <v>1185</v>
      </c>
      <c r="G1089" t="s">
        <v>43</v>
      </c>
      <c r="H1089" t="s">
        <v>60</v>
      </c>
      <c r="I1089" t="s">
        <v>390</v>
      </c>
      <c r="J1089" t="s">
        <v>45</v>
      </c>
      <c r="K1089" t="s">
        <v>35</v>
      </c>
      <c r="L1089" t="s">
        <v>175</v>
      </c>
      <c r="M1089" t="s">
        <v>69</v>
      </c>
      <c r="N1089">
        <v>0</v>
      </c>
      <c r="O1089">
        <v>0</v>
      </c>
      <c r="P1089">
        <v>1</v>
      </c>
      <c r="Q1089">
        <v>1</v>
      </c>
      <c r="R1089" s="4">
        <v>1992.1</v>
      </c>
      <c r="S1089" t="str">
        <f t="shared" si="80"/>
        <v>PY: Media Crit.</v>
      </c>
      <c r="T1089">
        <f t="shared" si="81"/>
        <v>0</v>
      </c>
      <c r="U1089">
        <f t="shared" si="82"/>
        <v>1</v>
      </c>
      <c r="V1089">
        <f t="shared" si="83"/>
        <v>0</v>
      </c>
      <c r="W1089">
        <f t="shared" si="84"/>
        <v>1</v>
      </c>
      <c r="X1089">
        <v>1</v>
      </c>
      <c r="Y1089" s="2">
        <v>45768</v>
      </c>
      <c r="Z1089" s="3" t="s">
        <v>70</v>
      </c>
      <c r="AA1089" t="s">
        <v>39</v>
      </c>
      <c r="AB1089" t="s">
        <v>40</v>
      </c>
      <c r="AC1089" t="s">
        <v>40</v>
      </c>
      <c r="AD1089" t="s">
        <v>391</v>
      </c>
    </row>
    <row r="1090" spans="2:30">
      <c r="B1090">
        <v>3</v>
      </c>
      <c r="C1090">
        <v>1020</v>
      </c>
      <c r="D1090" t="s">
        <v>181</v>
      </c>
      <c r="E1090">
        <v>14089869</v>
      </c>
      <c r="F1090" t="s">
        <v>1186</v>
      </c>
      <c r="G1090" t="s">
        <v>43</v>
      </c>
      <c r="H1090" t="s">
        <v>32</v>
      </c>
      <c r="I1090" t="s">
        <v>183</v>
      </c>
      <c r="J1090" t="s">
        <v>45</v>
      </c>
      <c r="K1090" t="s">
        <v>35</v>
      </c>
      <c r="L1090" t="s">
        <v>36</v>
      </c>
      <c r="M1090" t="s">
        <v>37</v>
      </c>
      <c r="N1090">
        <v>4</v>
      </c>
      <c r="O1090">
        <v>3</v>
      </c>
      <c r="P1090">
        <v>2</v>
      </c>
      <c r="Q1090">
        <v>4</v>
      </c>
      <c r="R1090" s="4">
        <v>7755.3</v>
      </c>
      <c r="S1090" t="str">
        <f t="shared" ref="S1090:S1153" si="85">+IF(G1090="PZ", "PZ: Alta Crit.",IF(G1090="PY","PY: Media Crit.", "PX: Baja Crit."))</f>
        <v>PY: Media Crit.</v>
      </c>
      <c r="T1090">
        <f t="shared" ref="T1090:T1153" si="86">+IF(Q1090=0,1,0)</f>
        <v>0</v>
      </c>
      <c r="U1090">
        <f t="shared" ref="U1090:U1153" si="87">+IF(AND(Q1090&lt;=P1090,Q1090&gt;0),1,0)</f>
        <v>0</v>
      </c>
      <c r="V1090">
        <f t="shared" ref="V1090:V1153" si="88">+IF(AND(Q1090&gt;P1090,Q1090&lt;=N1090),1,0)</f>
        <v>1</v>
      </c>
      <c r="W1090">
        <f t="shared" ref="W1090:W1153" si="89">+IF(Q1090&gt;N1090,1,0)</f>
        <v>0</v>
      </c>
      <c r="X1090">
        <v>1</v>
      </c>
      <c r="Y1090" s="2">
        <v>45768</v>
      </c>
      <c r="Z1090" s="3" t="s">
        <v>38</v>
      </c>
      <c r="AA1090" t="s">
        <v>39</v>
      </c>
      <c r="AB1090" t="s">
        <v>40</v>
      </c>
      <c r="AC1090" t="s">
        <v>40</v>
      </c>
      <c r="AD1090" t="s">
        <v>184</v>
      </c>
    </row>
    <row r="1091" spans="2:30">
      <c r="B1091">
        <v>3</v>
      </c>
      <c r="C1091">
        <v>1020</v>
      </c>
      <c r="D1091" t="s">
        <v>181</v>
      </c>
      <c r="E1091">
        <v>14091875</v>
      </c>
      <c r="F1091" t="s">
        <v>1187</v>
      </c>
      <c r="G1091" t="s">
        <v>43</v>
      </c>
      <c r="H1091" t="s">
        <v>60</v>
      </c>
      <c r="I1091" t="s">
        <v>183</v>
      </c>
      <c r="J1091" t="s">
        <v>45</v>
      </c>
      <c r="K1091" t="s">
        <v>35</v>
      </c>
      <c r="L1091" t="s">
        <v>36</v>
      </c>
      <c r="M1091" t="s">
        <v>117</v>
      </c>
      <c r="N1091">
        <v>10</v>
      </c>
      <c r="O1091">
        <v>5</v>
      </c>
      <c r="P1091">
        <v>0</v>
      </c>
      <c r="Q1091">
        <v>10</v>
      </c>
      <c r="R1091" s="4">
        <v>1530.52</v>
      </c>
      <c r="S1091" t="str">
        <f t="shared" si="85"/>
        <v>PY: Media Crit.</v>
      </c>
      <c r="T1091">
        <f t="shared" si="86"/>
        <v>0</v>
      </c>
      <c r="U1091">
        <f t="shared" si="87"/>
        <v>0</v>
      </c>
      <c r="V1091">
        <f t="shared" si="88"/>
        <v>1</v>
      </c>
      <c r="W1091">
        <f t="shared" si="89"/>
        <v>0</v>
      </c>
      <c r="X1091">
        <v>1</v>
      </c>
      <c r="Y1091" s="2">
        <v>45768</v>
      </c>
      <c r="Z1091" s="3" t="s">
        <v>118</v>
      </c>
      <c r="AA1091" t="s">
        <v>39</v>
      </c>
      <c r="AB1091" t="s">
        <v>40</v>
      </c>
      <c r="AC1091" t="s">
        <v>40</v>
      </c>
      <c r="AD1091" t="s">
        <v>184</v>
      </c>
    </row>
    <row r="1092" spans="2:30">
      <c r="B1092">
        <v>3</v>
      </c>
      <c r="C1092">
        <v>1020</v>
      </c>
      <c r="D1092" t="s">
        <v>181</v>
      </c>
      <c r="E1092">
        <v>14097254</v>
      </c>
      <c r="F1092" t="s">
        <v>1188</v>
      </c>
      <c r="G1092" t="s">
        <v>52</v>
      </c>
      <c r="H1092" t="s">
        <v>32</v>
      </c>
      <c r="I1092" t="s">
        <v>183</v>
      </c>
      <c r="J1092" t="s">
        <v>45</v>
      </c>
      <c r="K1092" t="s">
        <v>35</v>
      </c>
      <c r="L1092" t="s">
        <v>36</v>
      </c>
      <c r="M1092" t="s">
        <v>117</v>
      </c>
      <c r="N1092">
        <v>3</v>
      </c>
      <c r="O1092">
        <v>3</v>
      </c>
      <c r="P1092">
        <v>1</v>
      </c>
      <c r="Q1092">
        <v>3</v>
      </c>
      <c r="R1092" s="4">
        <v>1452.25</v>
      </c>
      <c r="S1092" t="str">
        <f t="shared" si="85"/>
        <v>PZ: Alta Crit.</v>
      </c>
      <c r="T1092">
        <f t="shared" si="86"/>
        <v>0</v>
      </c>
      <c r="U1092">
        <f t="shared" si="87"/>
        <v>0</v>
      </c>
      <c r="V1092">
        <f t="shared" si="88"/>
        <v>1</v>
      </c>
      <c r="W1092">
        <f t="shared" si="89"/>
        <v>0</v>
      </c>
      <c r="X1092">
        <v>1</v>
      </c>
      <c r="Y1092" s="2">
        <v>45768</v>
      </c>
      <c r="Z1092" s="3" t="s">
        <v>118</v>
      </c>
      <c r="AA1092" t="s">
        <v>39</v>
      </c>
      <c r="AB1092" t="s">
        <v>40</v>
      </c>
      <c r="AC1092" t="s">
        <v>40</v>
      </c>
      <c r="AD1092" t="s">
        <v>184</v>
      </c>
    </row>
    <row r="1093" spans="2:30">
      <c r="B1093">
        <v>3</v>
      </c>
      <c r="C1093">
        <v>1020</v>
      </c>
      <c r="D1093" t="s">
        <v>181</v>
      </c>
      <c r="E1093">
        <v>14106421</v>
      </c>
      <c r="F1093" t="s">
        <v>1189</v>
      </c>
      <c r="G1093" t="s">
        <v>43</v>
      </c>
      <c r="H1093" t="s">
        <v>32</v>
      </c>
      <c r="I1093" t="s">
        <v>183</v>
      </c>
      <c r="J1093" t="s">
        <v>45</v>
      </c>
      <c r="K1093" t="s">
        <v>35</v>
      </c>
      <c r="L1093" t="s">
        <v>36</v>
      </c>
      <c r="M1093" t="s">
        <v>117</v>
      </c>
      <c r="N1093">
        <v>6</v>
      </c>
      <c r="O1093">
        <v>5</v>
      </c>
      <c r="P1093">
        <v>3</v>
      </c>
      <c r="Q1093">
        <v>4</v>
      </c>
      <c r="R1093" s="4">
        <v>10553.62</v>
      </c>
      <c r="S1093" t="str">
        <f t="shared" si="85"/>
        <v>PY: Media Crit.</v>
      </c>
      <c r="T1093">
        <f t="shared" si="86"/>
        <v>0</v>
      </c>
      <c r="U1093">
        <f t="shared" si="87"/>
        <v>0</v>
      </c>
      <c r="V1093">
        <f t="shared" si="88"/>
        <v>1</v>
      </c>
      <c r="W1093">
        <f t="shared" si="89"/>
        <v>0</v>
      </c>
      <c r="X1093">
        <v>1</v>
      </c>
      <c r="Y1093" s="2">
        <v>45768</v>
      </c>
      <c r="Z1093" s="3" t="s">
        <v>118</v>
      </c>
      <c r="AA1093" t="s">
        <v>39</v>
      </c>
      <c r="AB1093" t="s">
        <v>49</v>
      </c>
      <c r="AC1093" s="5" t="s">
        <v>50</v>
      </c>
      <c r="AD1093" t="s">
        <v>184</v>
      </c>
    </row>
    <row r="1094" spans="2:30">
      <c r="B1094">
        <v>3</v>
      </c>
      <c r="C1094">
        <v>1020</v>
      </c>
      <c r="D1094" t="s">
        <v>181</v>
      </c>
      <c r="E1094">
        <v>14108944</v>
      </c>
      <c r="F1094" t="s">
        <v>1190</v>
      </c>
      <c r="G1094" t="s">
        <v>52</v>
      </c>
      <c r="H1094" t="s">
        <v>44</v>
      </c>
      <c r="I1094" t="s">
        <v>183</v>
      </c>
      <c r="J1094" t="s">
        <v>45</v>
      </c>
      <c r="K1094" t="s">
        <v>35</v>
      </c>
      <c r="L1094" t="s">
        <v>36</v>
      </c>
      <c r="M1094" t="s">
        <v>69</v>
      </c>
      <c r="N1094">
        <v>9</v>
      </c>
      <c r="O1094">
        <v>7</v>
      </c>
      <c r="P1094">
        <v>1</v>
      </c>
      <c r="Q1094">
        <v>8</v>
      </c>
      <c r="R1094" s="4">
        <v>1351.15</v>
      </c>
      <c r="S1094" t="str">
        <f t="shared" si="85"/>
        <v>PZ: Alta Crit.</v>
      </c>
      <c r="T1094">
        <f t="shared" si="86"/>
        <v>0</v>
      </c>
      <c r="U1094">
        <f t="shared" si="87"/>
        <v>0</v>
      </c>
      <c r="V1094">
        <f t="shared" si="88"/>
        <v>1</v>
      </c>
      <c r="W1094">
        <f t="shared" si="89"/>
        <v>0</v>
      </c>
      <c r="X1094">
        <v>1</v>
      </c>
      <c r="Y1094" s="2">
        <v>45768</v>
      </c>
      <c r="Z1094" s="3" t="s">
        <v>70</v>
      </c>
      <c r="AA1094" t="s">
        <v>39</v>
      </c>
      <c r="AB1094" t="s">
        <v>40</v>
      </c>
      <c r="AC1094" t="s">
        <v>40</v>
      </c>
      <c r="AD1094" t="s">
        <v>184</v>
      </c>
    </row>
    <row r="1095" spans="2:30">
      <c r="B1095">
        <v>3</v>
      </c>
      <c r="C1095">
        <v>1020</v>
      </c>
      <c r="D1095" t="s">
        <v>388</v>
      </c>
      <c r="E1095">
        <v>14114367</v>
      </c>
      <c r="F1095" t="s">
        <v>1191</v>
      </c>
      <c r="G1095" t="s">
        <v>43</v>
      </c>
      <c r="H1095" t="s">
        <v>60</v>
      </c>
      <c r="I1095" t="s">
        <v>390</v>
      </c>
      <c r="J1095" t="s">
        <v>45</v>
      </c>
      <c r="K1095" t="s">
        <v>35</v>
      </c>
      <c r="L1095" t="s">
        <v>175</v>
      </c>
      <c r="M1095" t="s">
        <v>69</v>
      </c>
      <c r="N1095">
        <v>0</v>
      </c>
      <c r="O1095">
        <v>0</v>
      </c>
      <c r="P1095">
        <v>1</v>
      </c>
      <c r="Q1095">
        <v>0</v>
      </c>
      <c r="R1095">
        <v>0</v>
      </c>
      <c r="S1095" t="str">
        <f t="shared" si="85"/>
        <v>PY: Media Crit.</v>
      </c>
      <c r="T1095">
        <f t="shared" si="86"/>
        <v>1</v>
      </c>
      <c r="U1095">
        <f t="shared" si="87"/>
        <v>0</v>
      </c>
      <c r="V1095">
        <f t="shared" si="88"/>
        <v>0</v>
      </c>
      <c r="W1095">
        <f t="shared" si="89"/>
        <v>0</v>
      </c>
      <c r="X1095">
        <v>1</v>
      </c>
      <c r="Y1095" s="2">
        <v>45768</v>
      </c>
      <c r="Z1095" s="3" t="s">
        <v>70</v>
      </c>
      <c r="AA1095" t="s">
        <v>39</v>
      </c>
      <c r="AB1095" t="s">
        <v>49</v>
      </c>
      <c r="AC1095" s="5" t="s">
        <v>50</v>
      </c>
      <c r="AD1095" t="s">
        <v>391</v>
      </c>
    </row>
    <row r="1096" spans="2:30">
      <c r="B1096">
        <v>3</v>
      </c>
      <c r="C1096">
        <v>1020</v>
      </c>
      <c r="D1096" t="s">
        <v>181</v>
      </c>
      <c r="E1096">
        <v>14126595</v>
      </c>
      <c r="F1096" t="s">
        <v>1192</v>
      </c>
      <c r="G1096" t="s">
        <v>43</v>
      </c>
      <c r="H1096" t="s">
        <v>32</v>
      </c>
      <c r="I1096" t="s">
        <v>183</v>
      </c>
      <c r="J1096" t="s">
        <v>45</v>
      </c>
      <c r="K1096" t="s">
        <v>35</v>
      </c>
      <c r="L1096" t="s">
        <v>36</v>
      </c>
      <c r="M1096" t="s">
        <v>55</v>
      </c>
      <c r="N1096">
        <v>16</v>
      </c>
      <c r="O1096">
        <v>11</v>
      </c>
      <c r="P1096">
        <v>4</v>
      </c>
      <c r="Q1096">
        <v>22</v>
      </c>
      <c r="R1096">
        <v>164.1</v>
      </c>
      <c r="S1096" t="str">
        <f t="shared" si="85"/>
        <v>PY: Media Crit.</v>
      </c>
      <c r="T1096">
        <f t="shared" si="86"/>
        <v>0</v>
      </c>
      <c r="U1096">
        <f t="shared" si="87"/>
        <v>0</v>
      </c>
      <c r="V1096">
        <f t="shared" si="88"/>
        <v>0</v>
      </c>
      <c r="W1096">
        <f t="shared" si="89"/>
        <v>1</v>
      </c>
      <c r="X1096">
        <v>1</v>
      </c>
      <c r="Y1096" s="2">
        <v>45768</v>
      </c>
      <c r="Z1096" s="3" t="s">
        <v>56</v>
      </c>
      <c r="AA1096" t="s">
        <v>39</v>
      </c>
      <c r="AB1096" t="s">
        <v>40</v>
      </c>
      <c r="AC1096" t="s">
        <v>40</v>
      </c>
      <c r="AD1096" t="s">
        <v>184</v>
      </c>
    </row>
    <row r="1097" spans="2:30">
      <c r="B1097">
        <v>3</v>
      </c>
      <c r="C1097">
        <v>1020</v>
      </c>
      <c r="D1097" t="s">
        <v>181</v>
      </c>
      <c r="E1097">
        <v>14134410</v>
      </c>
      <c r="F1097" t="s">
        <v>1193</v>
      </c>
      <c r="G1097" t="s">
        <v>43</v>
      </c>
      <c r="H1097" t="s">
        <v>32</v>
      </c>
      <c r="I1097" t="s">
        <v>183</v>
      </c>
      <c r="J1097" t="s">
        <v>45</v>
      </c>
      <c r="K1097" t="s">
        <v>35</v>
      </c>
      <c r="L1097" t="s">
        <v>36</v>
      </c>
      <c r="M1097" t="s">
        <v>55</v>
      </c>
      <c r="N1097">
        <v>50</v>
      </c>
      <c r="O1097">
        <v>26</v>
      </c>
      <c r="P1097">
        <v>10</v>
      </c>
      <c r="Q1097">
        <v>38</v>
      </c>
      <c r="R1097">
        <v>79.540000000000006</v>
      </c>
      <c r="S1097" t="str">
        <f t="shared" si="85"/>
        <v>PY: Media Crit.</v>
      </c>
      <c r="T1097">
        <f t="shared" si="86"/>
        <v>0</v>
      </c>
      <c r="U1097">
        <f t="shared" si="87"/>
        <v>0</v>
      </c>
      <c r="V1097">
        <f t="shared" si="88"/>
        <v>1</v>
      </c>
      <c r="W1097">
        <f t="shared" si="89"/>
        <v>0</v>
      </c>
      <c r="X1097">
        <v>1</v>
      </c>
      <c r="Y1097" s="2">
        <v>45768</v>
      </c>
      <c r="Z1097" s="3" t="s">
        <v>56</v>
      </c>
      <c r="AA1097" t="s">
        <v>39</v>
      </c>
      <c r="AB1097" t="s">
        <v>40</v>
      </c>
      <c r="AC1097" t="s">
        <v>40</v>
      </c>
      <c r="AD1097" t="s">
        <v>184</v>
      </c>
    </row>
    <row r="1098" spans="2:30">
      <c r="B1098">
        <v>3</v>
      </c>
      <c r="C1098">
        <v>1020</v>
      </c>
      <c r="D1098" t="s">
        <v>181</v>
      </c>
      <c r="E1098">
        <v>14135600</v>
      </c>
      <c r="F1098" t="s">
        <v>1194</v>
      </c>
      <c r="G1098" t="s">
        <v>43</v>
      </c>
      <c r="H1098" t="s">
        <v>32</v>
      </c>
      <c r="I1098" t="s">
        <v>183</v>
      </c>
      <c r="J1098" t="s">
        <v>45</v>
      </c>
      <c r="K1098" t="s">
        <v>35</v>
      </c>
      <c r="L1098" t="s">
        <v>36</v>
      </c>
      <c r="M1098" t="s">
        <v>117</v>
      </c>
      <c r="N1098">
        <v>6</v>
      </c>
      <c r="O1098">
        <v>4</v>
      </c>
      <c r="P1098">
        <v>3</v>
      </c>
      <c r="Q1098">
        <v>0</v>
      </c>
      <c r="R1098">
        <v>0</v>
      </c>
      <c r="S1098" t="str">
        <f t="shared" si="85"/>
        <v>PY: Media Crit.</v>
      </c>
      <c r="T1098">
        <f t="shared" si="86"/>
        <v>1</v>
      </c>
      <c r="U1098">
        <f t="shared" si="87"/>
        <v>0</v>
      </c>
      <c r="V1098">
        <f t="shared" si="88"/>
        <v>0</v>
      </c>
      <c r="W1098">
        <f t="shared" si="89"/>
        <v>0</v>
      </c>
      <c r="X1098">
        <v>1</v>
      </c>
      <c r="Y1098" s="2">
        <v>45768</v>
      </c>
      <c r="Z1098" s="3" t="s">
        <v>118</v>
      </c>
      <c r="AA1098" t="s">
        <v>39</v>
      </c>
      <c r="AB1098" t="s">
        <v>49</v>
      </c>
      <c r="AC1098" s="5" t="s">
        <v>50</v>
      </c>
      <c r="AD1098" t="s">
        <v>184</v>
      </c>
    </row>
    <row r="1099" spans="2:30">
      <c r="B1099">
        <v>3</v>
      </c>
      <c r="C1099">
        <v>1020</v>
      </c>
      <c r="D1099" t="s">
        <v>181</v>
      </c>
      <c r="E1099">
        <v>14137367</v>
      </c>
      <c r="F1099" t="s">
        <v>1195</v>
      </c>
      <c r="G1099" t="s">
        <v>52</v>
      </c>
      <c r="H1099" t="s">
        <v>32</v>
      </c>
      <c r="I1099" t="s">
        <v>183</v>
      </c>
      <c r="J1099" t="s">
        <v>45</v>
      </c>
      <c r="K1099" t="s">
        <v>35</v>
      </c>
      <c r="L1099" t="s">
        <v>36</v>
      </c>
      <c r="M1099" t="s">
        <v>46</v>
      </c>
      <c r="N1099">
        <v>4</v>
      </c>
      <c r="O1099">
        <v>3</v>
      </c>
      <c r="P1099">
        <v>1</v>
      </c>
      <c r="Q1099">
        <v>2</v>
      </c>
      <c r="R1099" s="4">
        <v>1236.31</v>
      </c>
      <c r="S1099" t="str">
        <f t="shared" si="85"/>
        <v>PZ: Alta Crit.</v>
      </c>
      <c r="T1099">
        <f t="shared" si="86"/>
        <v>0</v>
      </c>
      <c r="U1099">
        <f t="shared" si="87"/>
        <v>0</v>
      </c>
      <c r="V1099">
        <f t="shared" si="88"/>
        <v>1</v>
      </c>
      <c r="W1099">
        <f t="shared" si="89"/>
        <v>0</v>
      </c>
      <c r="X1099">
        <v>1</v>
      </c>
      <c r="Y1099" s="2">
        <v>45768</v>
      </c>
      <c r="Z1099" s="3" t="s">
        <v>47</v>
      </c>
      <c r="AA1099" t="s">
        <v>39</v>
      </c>
      <c r="AB1099" t="s">
        <v>76</v>
      </c>
      <c r="AC1099" s="5" t="s">
        <v>77</v>
      </c>
      <c r="AD1099" t="s">
        <v>184</v>
      </c>
    </row>
    <row r="1100" spans="2:30">
      <c r="B1100">
        <v>3</v>
      </c>
      <c r="C1100">
        <v>1020</v>
      </c>
      <c r="D1100" t="s">
        <v>181</v>
      </c>
      <c r="E1100">
        <v>14140116</v>
      </c>
      <c r="F1100" t="s">
        <v>1196</v>
      </c>
      <c r="G1100" t="s">
        <v>52</v>
      </c>
      <c r="H1100" t="s">
        <v>44</v>
      </c>
      <c r="I1100" t="s">
        <v>183</v>
      </c>
      <c r="J1100" t="s">
        <v>45</v>
      </c>
      <c r="K1100" t="s">
        <v>35</v>
      </c>
      <c r="L1100" t="s">
        <v>36</v>
      </c>
      <c r="M1100" t="s">
        <v>69</v>
      </c>
      <c r="N1100">
        <v>5</v>
      </c>
      <c r="O1100">
        <v>3</v>
      </c>
      <c r="P1100">
        <v>0</v>
      </c>
      <c r="Q1100">
        <v>5</v>
      </c>
      <c r="R1100" s="4">
        <v>1859.61</v>
      </c>
      <c r="S1100" t="str">
        <f t="shared" si="85"/>
        <v>PZ: Alta Crit.</v>
      </c>
      <c r="T1100">
        <f t="shared" si="86"/>
        <v>0</v>
      </c>
      <c r="U1100">
        <f t="shared" si="87"/>
        <v>0</v>
      </c>
      <c r="V1100">
        <f t="shared" si="88"/>
        <v>1</v>
      </c>
      <c r="W1100">
        <f t="shared" si="89"/>
        <v>0</v>
      </c>
      <c r="X1100">
        <v>1</v>
      </c>
      <c r="Y1100" s="2">
        <v>45768</v>
      </c>
      <c r="Z1100" s="3" t="s">
        <v>70</v>
      </c>
      <c r="AA1100" t="s">
        <v>39</v>
      </c>
      <c r="AB1100" t="s">
        <v>40</v>
      </c>
      <c r="AC1100" t="s">
        <v>40</v>
      </c>
      <c r="AD1100" t="s">
        <v>184</v>
      </c>
    </row>
    <row r="1101" spans="2:30">
      <c r="B1101">
        <v>3</v>
      </c>
      <c r="C1101">
        <v>1020</v>
      </c>
      <c r="D1101" t="s">
        <v>181</v>
      </c>
      <c r="E1101">
        <v>14143912</v>
      </c>
      <c r="F1101" t="s">
        <v>1197</v>
      </c>
      <c r="G1101" t="s">
        <v>52</v>
      </c>
      <c r="H1101" t="s">
        <v>44</v>
      </c>
      <c r="I1101" t="s">
        <v>183</v>
      </c>
      <c r="J1101" t="s">
        <v>45</v>
      </c>
      <c r="K1101" t="s">
        <v>35</v>
      </c>
      <c r="L1101" t="s">
        <v>36</v>
      </c>
      <c r="M1101" t="s">
        <v>69</v>
      </c>
      <c r="N1101">
        <v>5</v>
      </c>
      <c r="O1101">
        <v>3</v>
      </c>
      <c r="P1101">
        <v>1</v>
      </c>
      <c r="Q1101">
        <v>5</v>
      </c>
      <c r="R1101">
        <v>890.71</v>
      </c>
      <c r="S1101" t="str">
        <f t="shared" si="85"/>
        <v>PZ: Alta Crit.</v>
      </c>
      <c r="T1101">
        <f t="shared" si="86"/>
        <v>0</v>
      </c>
      <c r="U1101">
        <f t="shared" si="87"/>
        <v>0</v>
      </c>
      <c r="V1101">
        <f t="shared" si="88"/>
        <v>1</v>
      </c>
      <c r="W1101">
        <f t="shared" si="89"/>
        <v>0</v>
      </c>
      <c r="X1101">
        <v>1</v>
      </c>
      <c r="Y1101" s="2">
        <v>45768</v>
      </c>
      <c r="Z1101" s="3" t="s">
        <v>70</v>
      </c>
      <c r="AA1101" t="s">
        <v>39</v>
      </c>
      <c r="AB1101" t="s">
        <v>40</v>
      </c>
      <c r="AC1101" t="s">
        <v>40</v>
      </c>
      <c r="AD1101" t="s">
        <v>184</v>
      </c>
    </row>
    <row r="1102" spans="2:30">
      <c r="B1102">
        <v>3</v>
      </c>
      <c r="C1102">
        <v>1020</v>
      </c>
      <c r="D1102" t="s">
        <v>172</v>
      </c>
      <c r="E1102">
        <v>14144831</v>
      </c>
      <c r="F1102" t="s">
        <v>1198</v>
      </c>
      <c r="G1102" t="s">
        <v>52</v>
      </c>
      <c r="H1102" t="s">
        <v>32</v>
      </c>
      <c r="I1102" t="s">
        <v>584</v>
      </c>
      <c r="J1102" t="s">
        <v>45</v>
      </c>
      <c r="K1102" t="s">
        <v>35</v>
      </c>
      <c r="L1102" t="s">
        <v>175</v>
      </c>
      <c r="M1102" t="s">
        <v>117</v>
      </c>
      <c r="N1102">
        <v>0</v>
      </c>
      <c r="O1102">
        <v>0</v>
      </c>
      <c r="P1102">
        <v>0</v>
      </c>
      <c r="Q1102">
        <v>0</v>
      </c>
      <c r="R1102">
        <v>0</v>
      </c>
      <c r="S1102" t="str">
        <f t="shared" si="85"/>
        <v>PZ: Alta Crit.</v>
      </c>
      <c r="T1102">
        <f t="shared" si="86"/>
        <v>1</v>
      </c>
      <c r="U1102">
        <f t="shared" si="87"/>
        <v>0</v>
      </c>
      <c r="V1102">
        <f t="shared" si="88"/>
        <v>0</v>
      </c>
      <c r="W1102">
        <f t="shared" si="89"/>
        <v>0</v>
      </c>
      <c r="X1102">
        <v>1</v>
      </c>
      <c r="Y1102" s="2">
        <v>45768</v>
      </c>
      <c r="Z1102" s="3" t="s">
        <v>118</v>
      </c>
      <c r="AA1102" t="s">
        <v>39</v>
      </c>
      <c r="AB1102" t="s">
        <v>40</v>
      </c>
      <c r="AC1102" t="s">
        <v>40</v>
      </c>
      <c r="AD1102" t="s">
        <v>585</v>
      </c>
    </row>
    <row r="1103" spans="2:30">
      <c r="B1103">
        <v>3</v>
      </c>
      <c r="C1103">
        <v>1020</v>
      </c>
      <c r="D1103" t="s">
        <v>181</v>
      </c>
      <c r="E1103">
        <v>14145743</v>
      </c>
      <c r="F1103" t="s">
        <v>1199</v>
      </c>
      <c r="G1103" t="s">
        <v>31</v>
      </c>
      <c r="H1103" t="s">
        <v>60</v>
      </c>
      <c r="I1103" t="s">
        <v>183</v>
      </c>
      <c r="J1103" t="s">
        <v>45</v>
      </c>
      <c r="K1103" t="s">
        <v>35</v>
      </c>
      <c r="L1103" t="s">
        <v>36</v>
      </c>
      <c r="M1103" t="s">
        <v>55</v>
      </c>
      <c r="N1103">
        <v>60</v>
      </c>
      <c r="O1103">
        <v>31</v>
      </c>
      <c r="P1103">
        <v>0</v>
      </c>
      <c r="Q1103">
        <v>40</v>
      </c>
      <c r="R1103">
        <v>610.75</v>
      </c>
      <c r="S1103" t="str">
        <f t="shared" si="85"/>
        <v>PX: Baja Crit.</v>
      </c>
      <c r="T1103">
        <f t="shared" si="86"/>
        <v>0</v>
      </c>
      <c r="U1103">
        <f t="shared" si="87"/>
        <v>0</v>
      </c>
      <c r="V1103">
        <f t="shared" si="88"/>
        <v>1</v>
      </c>
      <c r="W1103">
        <f t="shared" si="89"/>
        <v>0</v>
      </c>
      <c r="X1103">
        <v>1</v>
      </c>
      <c r="Y1103" s="2">
        <v>45768</v>
      </c>
      <c r="Z1103" s="3" t="s">
        <v>56</v>
      </c>
      <c r="AA1103" t="s">
        <v>39</v>
      </c>
      <c r="AB1103" t="s">
        <v>40</v>
      </c>
      <c r="AC1103" t="s">
        <v>40</v>
      </c>
      <c r="AD1103" t="s">
        <v>184</v>
      </c>
    </row>
    <row r="1104" spans="2:30">
      <c r="B1104">
        <v>3</v>
      </c>
      <c r="C1104">
        <v>1020</v>
      </c>
      <c r="D1104" t="s">
        <v>181</v>
      </c>
      <c r="E1104">
        <v>14145752</v>
      </c>
      <c r="F1104" t="s">
        <v>1200</v>
      </c>
      <c r="G1104" t="s">
        <v>31</v>
      </c>
      <c r="H1104" t="s">
        <v>60</v>
      </c>
      <c r="I1104" t="s">
        <v>183</v>
      </c>
      <c r="J1104" t="s">
        <v>45</v>
      </c>
      <c r="K1104" t="s">
        <v>35</v>
      </c>
      <c r="L1104" t="s">
        <v>36</v>
      </c>
      <c r="M1104" t="s">
        <v>55</v>
      </c>
      <c r="N1104">
        <v>60</v>
      </c>
      <c r="O1104">
        <v>31</v>
      </c>
      <c r="P1104">
        <v>0</v>
      </c>
      <c r="Q1104">
        <v>40</v>
      </c>
      <c r="R1104">
        <v>338.87</v>
      </c>
      <c r="S1104" t="str">
        <f t="shared" si="85"/>
        <v>PX: Baja Crit.</v>
      </c>
      <c r="T1104">
        <f t="shared" si="86"/>
        <v>0</v>
      </c>
      <c r="U1104">
        <f t="shared" si="87"/>
        <v>0</v>
      </c>
      <c r="V1104">
        <f t="shared" si="88"/>
        <v>1</v>
      </c>
      <c r="W1104">
        <f t="shared" si="89"/>
        <v>0</v>
      </c>
      <c r="X1104">
        <v>1</v>
      </c>
      <c r="Y1104" s="2">
        <v>45768</v>
      </c>
      <c r="Z1104" s="3" t="s">
        <v>56</v>
      </c>
      <c r="AA1104" t="s">
        <v>39</v>
      </c>
      <c r="AB1104" t="s">
        <v>40</v>
      </c>
      <c r="AC1104" t="s">
        <v>40</v>
      </c>
      <c r="AD1104" t="s">
        <v>184</v>
      </c>
    </row>
    <row r="1105" spans="2:30">
      <c r="B1105">
        <v>3</v>
      </c>
      <c r="C1105">
        <v>1020</v>
      </c>
      <c r="D1105" t="s">
        <v>181</v>
      </c>
      <c r="E1105">
        <v>14149415</v>
      </c>
      <c r="F1105" t="s">
        <v>1201</v>
      </c>
      <c r="G1105" t="s">
        <v>31</v>
      </c>
      <c r="H1105" t="s">
        <v>44</v>
      </c>
      <c r="I1105" t="s">
        <v>183</v>
      </c>
      <c r="J1105" t="s">
        <v>45</v>
      </c>
      <c r="K1105" t="s">
        <v>35</v>
      </c>
      <c r="L1105" t="s">
        <v>36</v>
      </c>
      <c r="M1105" t="s">
        <v>117</v>
      </c>
      <c r="N1105">
        <v>4</v>
      </c>
      <c r="O1105">
        <v>4</v>
      </c>
      <c r="P1105">
        <v>0</v>
      </c>
      <c r="Q1105">
        <v>4</v>
      </c>
      <c r="R1105" s="4">
        <v>1395</v>
      </c>
      <c r="S1105" t="str">
        <f t="shared" si="85"/>
        <v>PX: Baja Crit.</v>
      </c>
      <c r="T1105">
        <f t="shared" si="86"/>
        <v>0</v>
      </c>
      <c r="U1105">
        <f t="shared" si="87"/>
        <v>0</v>
      </c>
      <c r="V1105">
        <f t="shared" si="88"/>
        <v>1</v>
      </c>
      <c r="W1105">
        <f t="shared" si="89"/>
        <v>0</v>
      </c>
      <c r="X1105">
        <v>1</v>
      </c>
      <c r="Y1105" s="2">
        <v>45768</v>
      </c>
      <c r="Z1105" s="3" t="s">
        <v>118</v>
      </c>
      <c r="AA1105" t="s">
        <v>39</v>
      </c>
      <c r="AB1105" t="s">
        <v>40</v>
      </c>
      <c r="AC1105" t="s">
        <v>40</v>
      </c>
      <c r="AD1105" t="s">
        <v>184</v>
      </c>
    </row>
    <row r="1106" spans="2:30">
      <c r="B1106">
        <v>3</v>
      </c>
      <c r="C1106">
        <v>1020</v>
      </c>
      <c r="D1106" t="s">
        <v>384</v>
      </c>
      <c r="E1106">
        <v>14151787</v>
      </c>
      <c r="F1106" t="s">
        <v>1202</v>
      </c>
      <c r="G1106" t="s">
        <v>31</v>
      </c>
      <c r="H1106" t="s">
        <v>32</v>
      </c>
      <c r="I1106" t="s">
        <v>386</v>
      </c>
      <c r="J1106" t="s">
        <v>45</v>
      </c>
      <c r="K1106" t="s">
        <v>35</v>
      </c>
      <c r="L1106" t="s">
        <v>175</v>
      </c>
      <c r="M1106" t="s">
        <v>46</v>
      </c>
      <c r="N1106">
        <v>0</v>
      </c>
      <c r="O1106">
        <v>0</v>
      </c>
      <c r="P1106">
        <v>0</v>
      </c>
      <c r="Q1106">
        <v>1</v>
      </c>
      <c r="R1106" s="4">
        <v>4708.2</v>
      </c>
      <c r="S1106" t="str">
        <f t="shared" si="85"/>
        <v>PX: Baja Crit.</v>
      </c>
      <c r="T1106">
        <f t="shared" si="86"/>
        <v>0</v>
      </c>
      <c r="U1106">
        <f t="shared" si="87"/>
        <v>0</v>
      </c>
      <c r="V1106">
        <f t="shared" si="88"/>
        <v>0</v>
      </c>
      <c r="W1106">
        <f t="shared" si="89"/>
        <v>1</v>
      </c>
      <c r="X1106">
        <v>1</v>
      </c>
      <c r="Y1106" s="2">
        <v>45768</v>
      </c>
      <c r="Z1106" s="3" t="s">
        <v>47</v>
      </c>
      <c r="AA1106" t="s">
        <v>39</v>
      </c>
      <c r="AB1106" t="s">
        <v>40</v>
      </c>
      <c r="AC1106" t="s">
        <v>40</v>
      </c>
      <c r="AD1106" t="s">
        <v>387</v>
      </c>
    </row>
    <row r="1107" spans="2:30">
      <c r="B1107">
        <v>3</v>
      </c>
      <c r="C1107">
        <v>1020</v>
      </c>
      <c r="D1107" t="s">
        <v>181</v>
      </c>
      <c r="E1107">
        <v>14153656</v>
      </c>
      <c r="F1107" t="s">
        <v>1203</v>
      </c>
      <c r="G1107" t="s">
        <v>31</v>
      </c>
      <c r="H1107" t="s">
        <v>60</v>
      </c>
      <c r="I1107" t="s">
        <v>183</v>
      </c>
      <c r="J1107" t="s">
        <v>45</v>
      </c>
      <c r="K1107" t="s">
        <v>35</v>
      </c>
      <c r="L1107" t="s">
        <v>36</v>
      </c>
      <c r="M1107" t="s">
        <v>46</v>
      </c>
      <c r="N1107">
        <v>3</v>
      </c>
      <c r="O1107">
        <v>2</v>
      </c>
      <c r="P1107">
        <v>1</v>
      </c>
      <c r="Q1107">
        <v>3</v>
      </c>
      <c r="R1107" s="4">
        <v>2298.37</v>
      </c>
      <c r="S1107" t="str">
        <f t="shared" si="85"/>
        <v>PX: Baja Crit.</v>
      </c>
      <c r="T1107">
        <f t="shared" si="86"/>
        <v>0</v>
      </c>
      <c r="U1107">
        <f t="shared" si="87"/>
        <v>0</v>
      </c>
      <c r="V1107">
        <f t="shared" si="88"/>
        <v>1</v>
      </c>
      <c r="W1107">
        <f t="shared" si="89"/>
        <v>0</v>
      </c>
      <c r="X1107">
        <v>1</v>
      </c>
      <c r="Y1107" s="2">
        <v>45768</v>
      </c>
      <c r="Z1107" s="3" t="s">
        <v>47</v>
      </c>
      <c r="AA1107" t="s">
        <v>39</v>
      </c>
      <c r="AB1107" t="s">
        <v>40</v>
      </c>
      <c r="AC1107" t="s">
        <v>40</v>
      </c>
      <c r="AD1107" t="s">
        <v>184</v>
      </c>
    </row>
    <row r="1108" spans="2:30">
      <c r="B1108">
        <v>3</v>
      </c>
      <c r="C1108">
        <v>1020</v>
      </c>
      <c r="D1108" t="s">
        <v>181</v>
      </c>
      <c r="E1108">
        <v>14154143</v>
      </c>
      <c r="F1108" t="s">
        <v>1204</v>
      </c>
      <c r="G1108" t="s">
        <v>52</v>
      </c>
      <c r="H1108" t="s">
        <v>44</v>
      </c>
      <c r="I1108" t="s">
        <v>183</v>
      </c>
      <c r="J1108" t="s">
        <v>45</v>
      </c>
      <c r="K1108" t="s">
        <v>35</v>
      </c>
      <c r="L1108" t="s">
        <v>36</v>
      </c>
      <c r="M1108" t="s">
        <v>69</v>
      </c>
      <c r="N1108">
        <v>16</v>
      </c>
      <c r="O1108">
        <v>10</v>
      </c>
      <c r="P1108">
        <v>0</v>
      </c>
      <c r="Q1108">
        <v>3</v>
      </c>
      <c r="R1108">
        <v>604.63</v>
      </c>
      <c r="S1108" t="str">
        <f t="shared" si="85"/>
        <v>PZ: Alta Crit.</v>
      </c>
      <c r="T1108">
        <f t="shared" si="86"/>
        <v>0</v>
      </c>
      <c r="U1108">
        <f t="shared" si="87"/>
        <v>0</v>
      </c>
      <c r="V1108">
        <f t="shared" si="88"/>
        <v>1</v>
      </c>
      <c r="W1108">
        <f t="shared" si="89"/>
        <v>0</v>
      </c>
      <c r="X1108">
        <v>1</v>
      </c>
      <c r="Y1108" s="2">
        <v>45768</v>
      </c>
      <c r="Z1108" s="3" t="s">
        <v>70</v>
      </c>
      <c r="AA1108" t="s">
        <v>39</v>
      </c>
      <c r="AB1108" t="s">
        <v>49</v>
      </c>
      <c r="AC1108" s="5" t="s">
        <v>50</v>
      </c>
      <c r="AD1108" t="s">
        <v>184</v>
      </c>
    </row>
    <row r="1109" spans="2:30">
      <c r="B1109">
        <v>3</v>
      </c>
      <c r="C1109">
        <v>1020</v>
      </c>
      <c r="D1109" t="s">
        <v>181</v>
      </c>
      <c r="E1109">
        <v>14156125</v>
      </c>
      <c r="F1109" t="s">
        <v>1205</v>
      </c>
      <c r="G1109" t="s">
        <v>43</v>
      </c>
      <c r="H1109" t="s">
        <v>60</v>
      </c>
      <c r="I1109" t="s">
        <v>183</v>
      </c>
      <c r="J1109" t="s">
        <v>45</v>
      </c>
      <c r="K1109" t="s">
        <v>35</v>
      </c>
      <c r="L1109" t="s">
        <v>36</v>
      </c>
      <c r="M1109" t="s">
        <v>46</v>
      </c>
      <c r="N1109">
        <v>2</v>
      </c>
      <c r="O1109">
        <v>2</v>
      </c>
      <c r="P1109">
        <v>0</v>
      </c>
      <c r="Q1109">
        <v>2</v>
      </c>
      <c r="R1109" s="4">
        <v>1060.54</v>
      </c>
      <c r="S1109" t="str">
        <f t="shared" si="85"/>
        <v>PY: Media Crit.</v>
      </c>
      <c r="T1109">
        <f t="shared" si="86"/>
        <v>0</v>
      </c>
      <c r="U1109">
        <f t="shared" si="87"/>
        <v>0</v>
      </c>
      <c r="V1109">
        <f t="shared" si="88"/>
        <v>1</v>
      </c>
      <c r="W1109">
        <f t="shared" si="89"/>
        <v>0</v>
      </c>
      <c r="X1109">
        <v>1</v>
      </c>
      <c r="Y1109" s="2">
        <v>45768</v>
      </c>
      <c r="Z1109" s="3" t="s">
        <v>47</v>
      </c>
      <c r="AA1109" t="s">
        <v>39</v>
      </c>
      <c r="AB1109" t="s">
        <v>40</v>
      </c>
      <c r="AC1109" t="s">
        <v>40</v>
      </c>
      <c r="AD1109" t="s">
        <v>184</v>
      </c>
    </row>
    <row r="1110" spans="2:30">
      <c r="B1110">
        <v>3</v>
      </c>
      <c r="C1110">
        <v>1020</v>
      </c>
      <c r="D1110" t="s">
        <v>181</v>
      </c>
      <c r="E1110">
        <v>14156129</v>
      </c>
      <c r="F1110" t="s">
        <v>1206</v>
      </c>
      <c r="G1110" t="s">
        <v>43</v>
      </c>
      <c r="H1110" t="s">
        <v>60</v>
      </c>
      <c r="I1110" t="s">
        <v>183</v>
      </c>
      <c r="J1110" t="s">
        <v>45</v>
      </c>
      <c r="K1110" t="s">
        <v>35</v>
      </c>
      <c r="L1110" t="s">
        <v>36</v>
      </c>
      <c r="M1110" t="s">
        <v>46</v>
      </c>
      <c r="N1110">
        <v>2</v>
      </c>
      <c r="O1110">
        <v>2</v>
      </c>
      <c r="P1110">
        <v>0</v>
      </c>
      <c r="Q1110">
        <v>2</v>
      </c>
      <c r="R1110" s="4">
        <v>1542.68</v>
      </c>
      <c r="S1110" t="str">
        <f t="shared" si="85"/>
        <v>PY: Media Crit.</v>
      </c>
      <c r="T1110">
        <f t="shared" si="86"/>
        <v>0</v>
      </c>
      <c r="U1110">
        <f t="shared" si="87"/>
        <v>0</v>
      </c>
      <c r="V1110">
        <f t="shared" si="88"/>
        <v>1</v>
      </c>
      <c r="W1110">
        <f t="shared" si="89"/>
        <v>0</v>
      </c>
      <c r="X1110">
        <v>1</v>
      </c>
      <c r="Y1110" s="2">
        <v>45768</v>
      </c>
      <c r="Z1110" s="3" t="s">
        <v>47</v>
      </c>
      <c r="AA1110" t="s">
        <v>39</v>
      </c>
      <c r="AB1110" t="s">
        <v>40</v>
      </c>
      <c r="AC1110" t="s">
        <v>40</v>
      </c>
      <c r="AD1110" t="s">
        <v>184</v>
      </c>
    </row>
    <row r="1111" spans="2:30">
      <c r="B1111" s="6">
        <v>3</v>
      </c>
      <c r="C1111" s="6">
        <v>1020</v>
      </c>
      <c r="D1111" s="6" t="s">
        <v>181</v>
      </c>
      <c r="E1111" s="6">
        <v>14029188</v>
      </c>
      <c r="F1111" s="6" t="s">
        <v>1207</v>
      </c>
      <c r="G1111" s="6" t="s">
        <v>52</v>
      </c>
      <c r="H1111" s="6" t="s">
        <v>32</v>
      </c>
      <c r="I1111" s="6" t="s">
        <v>183</v>
      </c>
      <c r="J1111" s="6" t="s">
        <v>45</v>
      </c>
      <c r="K1111" s="6" t="s">
        <v>53</v>
      </c>
      <c r="L1111" s="6" t="s">
        <v>36</v>
      </c>
      <c r="M1111" s="6" t="s">
        <v>46</v>
      </c>
      <c r="N1111" s="6">
        <v>416</v>
      </c>
      <c r="O1111" s="6">
        <v>416</v>
      </c>
      <c r="P1111" s="6">
        <v>208</v>
      </c>
      <c r="Q1111" s="6">
        <v>416</v>
      </c>
      <c r="R1111" s="9">
        <v>23790.32</v>
      </c>
      <c r="S1111" s="6" t="str">
        <f t="shared" si="85"/>
        <v>PZ: Alta Crit.</v>
      </c>
      <c r="T1111" s="6">
        <f t="shared" si="86"/>
        <v>0</v>
      </c>
      <c r="U1111" s="6">
        <f t="shared" si="87"/>
        <v>0</v>
      </c>
      <c r="V1111" s="6">
        <f t="shared" si="88"/>
        <v>1</v>
      </c>
      <c r="W1111" s="6">
        <f t="shared" si="89"/>
        <v>0</v>
      </c>
      <c r="X1111" s="6">
        <v>1</v>
      </c>
      <c r="Y1111" s="10">
        <v>45768</v>
      </c>
      <c r="Z1111" s="11" t="s">
        <v>47</v>
      </c>
      <c r="AA1111" s="6" t="s">
        <v>39</v>
      </c>
      <c r="AB1111" s="6" t="s">
        <v>40</v>
      </c>
      <c r="AC1111" s="6" t="s">
        <v>40</v>
      </c>
      <c r="AD1111" s="6" t="s">
        <v>184</v>
      </c>
    </row>
    <row r="1112" spans="2:30">
      <c r="B1112">
        <v>3</v>
      </c>
      <c r="C1112">
        <v>1020</v>
      </c>
      <c r="D1112" t="s">
        <v>181</v>
      </c>
      <c r="E1112">
        <v>14157050</v>
      </c>
      <c r="F1112" t="s">
        <v>1208</v>
      </c>
      <c r="G1112" t="s">
        <v>52</v>
      </c>
      <c r="H1112" t="s">
        <v>44</v>
      </c>
      <c r="I1112" t="s">
        <v>183</v>
      </c>
      <c r="J1112" t="s">
        <v>45</v>
      </c>
      <c r="K1112" t="s">
        <v>35</v>
      </c>
      <c r="L1112" t="s">
        <v>36</v>
      </c>
      <c r="M1112" t="s">
        <v>37</v>
      </c>
      <c r="N1112">
        <v>20</v>
      </c>
      <c r="O1112">
        <v>10</v>
      </c>
      <c r="P1112">
        <v>0</v>
      </c>
      <c r="Q1112">
        <v>1</v>
      </c>
      <c r="R1112">
        <v>0</v>
      </c>
      <c r="S1112" t="str">
        <f t="shared" si="85"/>
        <v>PZ: Alta Crit.</v>
      </c>
      <c r="T1112">
        <f t="shared" si="86"/>
        <v>0</v>
      </c>
      <c r="U1112">
        <f t="shared" si="87"/>
        <v>0</v>
      </c>
      <c r="V1112">
        <f t="shared" si="88"/>
        <v>1</v>
      </c>
      <c r="W1112">
        <f t="shared" si="89"/>
        <v>0</v>
      </c>
      <c r="X1112">
        <v>1</v>
      </c>
      <c r="Y1112" s="2">
        <v>45768</v>
      </c>
      <c r="Z1112" s="3" t="s">
        <v>38</v>
      </c>
      <c r="AA1112" t="s">
        <v>39</v>
      </c>
      <c r="AB1112" t="s">
        <v>76</v>
      </c>
      <c r="AC1112" s="5" t="s">
        <v>77</v>
      </c>
      <c r="AD1112" t="s">
        <v>184</v>
      </c>
    </row>
    <row r="1113" spans="2:30">
      <c r="B1113">
        <v>3</v>
      </c>
      <c r="C1113">
        <v>1020</v>
      </c>
      <c r="D1113" t="s">
        <v>181</v>
      </c>
      <c r="E1113">
        <v>14161190</v>
      </c>
      <c r="F1113" t="s">
        <v>1209</v>
      </c>
      <c r="G1113" t="s">
        <v>31</v>
      </c>
      <c r="H1113" t="s">
        <v>44</v>
      </c>
      <c r="I1113" t="s">
        <v>183</v>
      </c>
      <c r="J1113" t="s">
        <v>45</v>
      </c>
      <c r="K1113" t="s">
        <v>35</v>
      </c>
      <c r="L1113" t="s">
        <v>36</v>
      </c>
      <c r="M1113" t="s">
        <v>46</v>
      </c>
      <c r="N1113">
        <v>2</v>
      </c>
      <c r="O1113">
        <v>1</v>
      </c>
      <c r="P1113">
        <v>0</v>
      </c>
      <c r="Q1113">
        <v>0</v>
      </c>
      <c r="R1113">
        <v>0</v>
      </c>
      <c r="S1113" t="str">
        <f t="shared" si="85"/>
        <v>PX: Baja Crit.</v>
      </c>
      <c r="T1113">
        <f t="shared" si="86"/>
        <v>1</v>
      </c>
      <c r="U1113">
        <f t="shared" si="87"/>
        <v>0</v>
      </c>
      <c r="V1113">
        <f t="shared" si="88"/>
        <v>0</v>
      </c>
      <c r="W1113">
        <f t="shared" si="89"/>
        <v>0</v>
      </c>
      <c r="X1113">
        <v>1</v>
      </c>
      <c r="Y1113" s="2">
        <v>45768</v>
      </c>
      <c r="Z1113" s="3" t="s">
        <v>47</v>
      </c>
      <c r="AA1113" t="s">
        <v>39</v>
      </c>
      <c r="AB1113" t="s">
        <v>76</v>
      </c>
      <c r="AC1113" s="5" t="s">
        <v>77</v>
      </c>
      <c r="AD1113" t="s">
        <v>184</v>
      </c>
    </row>
    <row r="1114" spans="2:30">
      <c r="B1114">
        <v>3</v>
      </c>
      <c r="C1114">
        <v>1020</v>
      </c>
      <c r="D1114" t="s">
        <v>181</v>
      </c>
      <c r="E1114">
        <v>14163346</v>
      </c>
      <c r="F1114" t="s">
        <v>1210</v>
      </c>
      <c r="G1114" t="s">
        <v>31</v>
      </c>
      <c r="H1114" t="s">
        <v>32</v>
      </c>
      <c r="I1114" t="s">
        <v>183</v>
      </c>
      <c r="J1114" t="s">
        <v>45</v>
      </c>
      <c r="K1114" t="s">
        <v>35</v>
      </c>
      <c r="L1114" t="s">
        <v>36</v>
      </c>
      <c r="M1114" t="s">
        <v>69</v>
      </c>
      <c r="N1114">
        <v>10</v>
      </c>
      <c r="O1114">
        <v>6</v>
      </c>
      <c r="P1114">
        <v>3</v>
      </c>
      <c r="Q1114">
        <v>10</v>
      </c>
      <c r="R1114" s="4">
        <v>3927.92</v>
      </c>
      <c r="S1114" t="str">
        <f t="shared" si="85"/>
        <v>PX: Baja Crit.</v>
      </c>
      <c r="T1114">
        <f t="shared" si="86"/>
        <v>0</v>
      </c>
      <c r="U1114">
        <f t="shared" si="87"/>
        <v>0</v>
      </c>
      <c r="V1114">
        <f t="shared" si="88"/>
        <v>1</v>
      </c>
      <c r="W1114">
        <f t="shared" si="89"/>
        <v>0</v>
      </c>
      <c r="X1114">
        <v>1</v>
      </c>
      <c r="Y1114" s="2">
        <v>45768</v>
      </c>
      <c r="Z1114" s="3" t="s">
        <v>70</v>
      </c>
      <c r="AA1114" t="s">
        <v>39</v>
      </c>
      <c r="AB1114" t="s">
        <v>40</v>
      </c>
      <c r="AC1114" t="s">
        <v>40</v>
      </c>
      <c r="AD1114" t="s">
        <v>184</v>
      </c>
    </row>
    <row r="1115" spans="2:30">
      <c r="B1115">
        <v>3</v>
      </c>
      <c r="C1115">
        <v>1020</v>
      </c>
      <c r="D1115" t="s">
        <v>181</v>
      </c>
      <c r="E1115">
        <v>14163553</v>
      </c>
      <c r="F1115" t="s">
        <v>1211</v>
      </c>
      <c r="G1115" t="s">
        <v>52</v>
      </c>
      <c r="H1115" t="s">
        <v>60</v>
      </c>
      <c r="I1115" t="s">
        <v>183</v>
      </c>
      <c r="J1115" t="s">
        <v>45</v>
      </c>
      <c r="K1115" t="s">
        <v>35</v>
      </c>
      <c r="L1115" t="s">
        <v>36</v>
      </c>
      <c r="M1115" t="s">
        <v>37</v>
      </c>
      <c r="N1115">
        <v>30</v>
      </c>
      <c r="O1115">
        <v>11</v>
      </c>
      <c r="P1115">
        <v>0</v>
      </c>
      <c r="Q1115">
        <v>10</v>
      </c>
      <c r="R1115" s="4">
        <v>1059.96</v>
      </c>
      <c r="S1115" t="str">
        <f t="shared" si="85"/>
        <v>PZ: Alta Crit.</v>
      </c>
      <c r="T1115">
        <f t="shared" si="86"/>
        <v>0</v>
      </c>
      <c r="U1115">
        <f t="shared" si="87"/>
        <v>0</v>
      </c>
      <c r="V1115">
        <f t="shared" si="88"/>
        <v>1</v>
      </c>
      <c r="W1115">
        <f t="shared" si="89"/>
        <v>0</v>
      </c>
      <c r="X1115">
        <v>1</v>
      </c>
      <c r="Y1115" s="2">
        <v>45768</v>
      </c>
      <c r="Z1115" s="3" t="s">
        <v>38</v>
      </c>
      <c r="AA1115" t="s">
        <v>39</v>
      </c>
      <c r="AB1115" t="s">
        <v>49</v>
      </c>
      <c r="AC1115" s="5" t="s">
        <v>50</v>
      </c>
      <c r="AD1115" t="s">
        <v>184</v>
      </c>
    </row>
    <row r="1116" spans="2:30">
      <c r="B1116">
        <v>3</v>
      </c>
      <c r="C1116">
        <v>1020</v>
      </c>
      <c r="D1116" t="s">
        <v>181</v>
      </c>
      <c r="E1116">
        <v>14163554</v>
      </c>
      <c r="F1116" t="s">
        <v>1212</v>
      </c>
      <c r="G1116" t="s">
        <v>52</v>
      </c>
      <c r="H1116" t="s">
        <v>44</v>
      </c>
      <c r="I1116" t="s">
        <v>183</v>
      </c>
      <c r="J1116" t="s">
        <v>45</v>
      </c>
      <c r="K1116" t="s">
        <v>35</v>
      </c>
      <c r="L1116" t="s">
        <v>36</v>
      </c>
      <c r="M1116" t="s">
        <v>37</v>
      </c>
      <c r="N1116">
        <v>20</v>
      </c>
      <c r="O1116">
        <v>10</v>
      </c>
      <c r="P1116">
        <v>0</v>
      </c>
      <c r="Q1116">
        <v>20</v>
      </c>
      <c r="R1116" s="4">
        <v>1530.87</v>
      </c>
      <c r="S1116" t="str">
        <f t="shared" si="85"/>
        <v>PZ: Alta Crit.</v>
      </c>
      <c r="T1116">
        <f t="shared" si="86"/>
        <v>0</v>
      </c>
      <c r="U1116">
        <f t="shared" si="87"/>
        <v>0</v>
      </c>
      <c r="V1116">
        <f t="shared" si="88"/>
        <v>1</v>
      </c>
      <c r="W1116">
        <f t="shared" si="89"/>
        <v>0</v>
      </c>
      <c r="X1116">
        <v>1</v>
      </c>
      <c r="Y1116" s="2">
        <v>45768</v>
      </c>
      <c r="Z1116" s="3" t="s">
        <v>38</v>
      </c>
      <c r="AA1116" t="s">
        <v>39</v>
      </c>
      <c r="AB1116" t="s">
        <v>40</v>
      </c>
      <c r="AC1116" t="s">
        <v>40</v>
      </c>
      <c r="AD1116" t="s">
        <v>184</v>
      </c>
    </row>
    <row r="1117" spans="2:30">
      <c r="B1117">
        <v>3</v>
      </c>
      <c r="C1117">
        <v>1020</v>
      </c>
      <c r="D1117" t="s">
        <v>181</v>
      </c>
      <c r="E1117">
        <v>14166883</v>
      </c>
      <c r="F1117" t="s">
        <v>1213</v>
      </c>
      <c r="G1117" t="s">
        <v>43</v>
      </c>
      <c r="H1117" t="s">
        <v>60</v>
      </c>
      <c r="I1117" t="s">
        <v>183</v>
      </c>
      <c r="J1117" t="s">
        <v>45</v>
      </c>
      <c r="K1117" t="s">
        <v>35</v>
      </c>
      <c r="L1117" t="s">
        <v>36</v>
      </c>
      <c r="M1117" t="s">
        <v>117</v>
      </c>
      <c r="N1117">
        <v>1</v>
      </c>
      <c r="O1117">
        <v>1</v>
      </c>
      <c r="P1117">
        <v>0</v>
      </c>
      <c r="Q1117">
        <v>0</v>
      </c>
      <c r="R1117">
        <v>0</v>
      </c>
      <c r="S1117" t="str">
        <f t="shared" si="85"/>
        <v>PY: Media Crit.</v>
      </c>
      <c r="T1117">
        <f t="shared" si="86"/>
        <v>1</v>
      </c>
      <c r="U1117">
        <f t="shared" si="87"/>
        <v>0</v>
      </c>
      <c r="V1117">
        <f t="shared" si="88"/>
        <v>0</v>
      </c>
      <c r="W1117">
        <f t="shared" si="89"/>
        <v>0</v>
      </c>
      <c r="X1117">
        <v>1</v>
      </c>
      <c r="Y1117" s="2">
        <v>45768</v>
      </c>
      <c r="Z1117" s="3" t="s">
        <v>118</v>
      </c>
      <c r="AA1117" t="s">
        <v>39</v>
      </c>
      <c r="AB1117" t="s">
        <v>40</v>
      </c>
      <c r="AC1117" t="s">
        <v>40</v>
      </c>
      <c r="AD1117" t="s">
        <v>184</v>
      </c>
    </row>
    <row r="1118" spans="2:30">
      <c r="B1118">
        <v>3</v>
      </c>
      <c r="C1118">
        <v>1020</v>
      </c>
      <c r="D1118" t="s">
        <v>181</v>
      </c>
      <c r="E1118">
        <v>14171701</v>
      </c>
      <c r="F1118" t="s">
        <v>1214</v>
      </c>
      <c r="G1118" t="s">
        <v>43</v>
      </c>
      <c r="H1118" t="s">
        <v>60</v>
      </c>
      <c r="I1118" t="s">
        <v>183</v>
      </c>
      <c r="J1118" t="s">
        <v>45</v>
      </c>
      <c r="K1118" t="s">
        <v>35</v>
      </c>
      <c r="L1118" t="s">
        <v>36</v>
      </c>
      <c r="M1118" t="s">
        <v>46</v>
      </c>
      <c r="N1118">
        <v>2</v>
      </c>
      <c r="O1118">
        <v>2</v>
      </c>
      <c r="P1118">
        <v>0</v>
      </c>
      <c r="Q1118">
        <v>2</v>
      </c>
      <c r="R1118">
        <v>332.2</v>
      </c>
      <c r="S1118" t="str">
        <f t="shared" si="85"/>
        <v>PY: Media Crit.</v>
      </c>
      <c r="T1118">
        <f t="shared" si="86"/>
        <v>0</v>
      </c>
      <c r="U1118">
        <f t="shared" si="87"/>
        <v>0</v>
      </c>
      <c r="V1118">
        <f t="shared" si="88"/>
        <v>1</v>
      </c>
      <c r="W1118">
        <f t="shared" si="89"/>
        <v>0</v>
      </c>
      <c r="X1118">
        <v>1</v>
      </c>
      <c r="Y1118" s="2">
        <v>45768</v>
      </c>
      <c r="Z1118" s="3" t="s">
        <v>47</v>
      </c>
      <c r="AA1118" t="s">
        <v>39</v>
      </c>
      <c r="AB1118" t="s">
        <v>40</v>
      </c>
      <c r="AC1118" t="s">
        <v>40</v>
      </c>
      <c r="AD1118" t="s">
        <v>184</v>
      </c>
    </row>
    <row r="1119" spans="2:30">
      <c r="B1119">
        <v>3</v>
      </c>
      <c r="C1119">
        <v>1020</v>
      </c>
      <c r="D1119" t="s">
        <v>181</v>
      </c>
      <c r="E1119">
        <v>14175699</v>
      </c>
      <c r="F1119" t="s">
        <v>1215</v>
      </c>
      <c r="G1119" t="s">
        <v>31</v>
      </c>
      <c r="H1119" t="s">
        <v>32</v>
      </c>
      <c r="I1119" t="s">
        <v>183</v>
      </c>
      <c r="J1119" t="s">
        <v>45</v>
      </c>
      <c r="K1119" t="s">
        <v>35</v>
      </c>
      <c r="L1119" t="s">
        <v>36</v>
      </c>
      <c r="M1119" t="s">
        <v>69</v>
      </c>
      <c r="N1119">
        <v>8</v>
      </c>
      <c r="O1119">
        <v>4</v>
      </c>
      <c r="P1119">
        <v>0</v>
      </c>
      <c r="Q1119">
        <v>8</v>
      </c>
      <c r="R1119" s="4">
        <v>2296.9299999999998</v>
      </c>
      <c r="S1119" t="str">
        <f t="shared" si="85"/>
        <v>PX: Baja Crit.</v>
      </c>
      <c r="T1119">
        <f t="shared" si="86"/>
        <v>0</v>
      </c>
      <c r="U1119">
        <f t="shared" si="87"/>
        <v>0</v>
      </c>
      <c r="V1119">
        <f t="shared" si="88"/>
        <v>1</v>
      </c>
      <c r="W1119">
        <f t="shared" si="89"/>
        <v>0</v>
      </c>
      <c r="X1119">
        <v>1</v>
      </c>
      <c r="Y1119" s="2">
        <v>45768</v>
      </c>
      <c r="Z1119" s="3" t="s">
        <v>70</v>
      </c>
      <c r="AA1119" t="s">
        <v>39</v>
      </c>
      <c r="AB1119" t="s">
        <v>40</v>
      </c>
      <c r="AC1119" t="s">
        <v>40</v>
      </c>
      <c r="AD1119" t="s">
        <v>184</v>
      </c>
    </row>
    <row r="1120" spans="2:30">
      <c r="B1120">
        <v>3</v>
      </c>
      <c r="C1120">
        <v>1020</v>
      </c>
      <c r="D1120" t="s">
        <v>181</v>
      </c>
      <c r="E1120">
        <v>14175893</v>
      </c>
      <c r="F1120" t="s">
        <v>1216</v>
      </c>
      <c r="G1120" t="s">
        <v>43</v>
      </c>
      <c r="H1120" t="s">
        <v>60</v>
      </c>
      <c r="I1120" t="s">
        <v>183</v>
      </c>
      <c r="J1120" t="s">
        <v>45</v>
      </c>
      <c r="K1120" t="s">
        <v>35</v>
      </c>
      <c r="L1120" t="s">
        <v>36</v>
      </c>
      <c r="M1120" t="s">
        <v>117</v>
      </c>
      <c r="N1120">
        <v>8</v>
      </c>
      <c r="O1120">
        <v>4</v>
      </c>
      <c r="P1120">
        <v>0</v>
      </c>
      <c r="Q1120">
        <v>0</v>
      </c>
      <c r="R1120">
        <v>0</v>
      </c>
      <c r="S1120" t="str">
        <f t="shared" si="85"/>
        <v>PY: Media Crit.</v>
      </c>
      <c r="T1120">
        <f t="shared" si="86"/>
        <v>1</v>
      </c>
      <c r="U1120">
        <f t="shared" si="87"/>
        <v>0</v>
      </c>
      <c r="V1120">
        <f t="shared" si="88"/>
        <v>0</v>
      </c>
      <c r="W1120">
        <f t="shared" si="89"/>
        <v>0</v>
      </c>
      <c r="X1120">
        <v>1</v>
      </c>
      <c r="Y1120" s="2">
        <v>45768</v>
      </c>
      <c r="Z1120" s="3" t="s">
        <v>118</v>
      </c>
      <c r="AA1120" t="s">
        <v>39</v>
      </c>
      <c r="AB1120" t="s">
        <v>76</v>
      </c>
      <c r="AC1120" s="5" t="s">
        <v>77</v>
      </c>
      <c r="AD1120" t="s">
        <v>184</v>
      </c>
    </row>
    <row r="1121" spans="2:30">
      <c r="B1121">
        <v>3</v>
      </c>
      <c r="C1121">
        <v>1020</v>
      </c>
      <c r="D1121" t="s">
        <v>181</v>
      </c>
      <c r="E1121">
        <v>14176473</v>
      </c>
      <c r="F1121" t="s">
        <v>1217</v>
      </c>
      <c r="G1121" t="s">
        <v>52</v>
      </c>
      <c r="H1121" t="s">
        <v>44</v>
      </c>
      <c r="I1121" t="s">
        <v>183</v>
      </c>
      <c r="J1121" t="s">
        <v>45</v>
      </c>
      <c r="K1121" t="s">
        <v>35</v>
      </c>
      <c r="L1121" t="s">
        <v>36</v>
      </c>
      <c r="M1121" t="s">
        <v>117</v>
      </c>
      <c r="N1121">
        <v>4</v>
      </c>
      <c r="O1121">
        <v>3</v>
      </c>
      <c r="P1121">
        <v>0</v>
      </c>
      <c r="Q1121">
        <v>4</v>
      </c>
      <c r="R1121">
        <v>680.04</v>
      </c>
      <c r="S1121" t="str">
        <f t="shared" si="85"/>
        <v>PZ: Alta Crit.</v>
      </c>
      <c r="T1121">
        <f t="shared" si="86"/>
        <v>0</v>
      </c>
      <c r="U1121">
        <f t="shared" si="87"/>
        <v>0</v>
      </c>
      <c r="V1121">
        <f t="shared" si="88"/>
        <v>1</v>
      </c>
      <c r="W1121">
        <f t="shared" si="89"/>
        <v>0</v>
      </c>
      <c r="X1121">
        <v>1</v>
      </c>
      <c r="Y1121" s="2">
        <v>45768</v>
      </c>
      <c r="Z1121" s="3" t="s">
        <v>118</v>
      </c>
      <c r="AA1121" t="s">
        <v>39</v>
      </c>
      <c r="AB1121" t="s">
        <v>40</v>
      </c>
      <c r="AC1121" t="s">
        <v>40</v>
      </c>
      <c r="AD1121" t="s">
        <v>184</v>
      </c>
    </row>
    <row r="1122" spans="2:30">
      <c r="B1122">
        <v>3</v>
      </c>
      <c r="C1122">
        <v>1020</v>
      </c>
      <c r="D1122" t="s">
        <v>181</v>
      </c>
      <c r="E1122">
        <v>14177439</v>
      </c>
      <c r="F1122" t="s">
        <v>1218</v>
      </c>
      <c r="G1122" t="s">
        <v>43</v>
      </c>
      <c r="H1122" t="s">
        <v>60</v>
      </c>
      <c r="I1122" t="s">
        <v>183</v>
      </c>
      <c r="J1122" t="s">
        <v>45</v>
      </c>
      <c r="K1122" t="s">
        <v>35</v>
      </c>
      <c r="L1122" t="s">
        <v>36</v>
      </c>
      <c r="M1122" t="s">
        <v>46</v>
      </c>
      <c r="N1122">
        <v>12</v>
      </c>
      <c r="O1122">
        <v>6</v>
      </c>
      <c r="P1122">
        <v>3</v>
      </c>
      <c r="Q1122">
        <v>8</v>
      </c>
      <c r="R1122" s="4">
        <v>5201.3500000000004</v>
      </c>
      <c r="S1122" t="str">
        <f t="shared" si="85"/>
        <v>PY: Media Crit.</v>
      </c>
      <c r="T1122">
        <f t="shared" si="86"/>
        <v>0</v>
      </c>
      <c r="U1122">
        <f t="shared" si="87"/>
        <v>0</v>
      </c>
      <c r="V1122">
        <f t="shared" si="88"/>
        <v>1</v>
      </c>
      <c r="W1122">
        <f t="shared" si="89"/>
        <v>0</v>
      </c>
      <c r="X1122">
        <v>1</v>
      </c>
      <c r="Y1122" s="2">
        <v>45768</v>
      </c>
      <c r="Z1122" s="3" t="s">
        <v>47</v>
      </c>
      <c r="AA1122" t="s">
        <v>39</v>
      </c>
      <c r="AB1122" t="s">
        <v>40</v>
      </c>
      <c r="AC1122" t="s">
        <v>40</v>
      </c>
      <c r="AD1122" t="s">
        <v>184</v>
      </c>
    </row>
    <row r="1123" spans="2:30">
      <c r="B1123">
        <v>3</v>
      </c>
      <c r="C1123">
        <v>1020</v>
      </c>
      <c r="D1123" t="s">
        <v>181</v>
      </c>
      <c r="E1123">
        <v>14192323</v>
      </c>
      <c r="F1123" t="s">
        <v>1219</v>
      </c>
      <c r="G1123" t="s">
        <v>43</v>
      </c>
      <c r="H1123" t="s">
        <v>32</v>
      </c>
      <c r="I1123" t="s">
        <v>183</v>
      </c>
      <c r="J1123" t="s">
        <v>45</v>
      </c>
      <c r="K1123" t="s">
        <v>35</v>
      </c>
      <c r="L1123" t="s">
        <v>36</v>
      </c>
      <c r="M1123" t="s">
        <v>46</v>
      </c>
      <c r="N1123">
        <v>2</v>
      </c>
      <c r="O1123">
        <v>1</v>
      </c>
      <c r="P1123">
        <v>0</v>
      </c>
      <c r="Q1123">
        <v>5</v>
      </c>
      <c r="R1123">
        <v>280.08</v>
      </c>
      <c r="S1123" t="str">
        <f t="shared" si="85"/>
        <v>PY: Media Crit.</v>
      </c>
      <c r="T1123">
        <f t="shared" si="86"/>
        <v>0</v>
      </c>
      <c r="U1123">
        <f t="shared" si="87"/>
        <v>0</v>
      </c>
      <c r="V1123">
        <f t="shared" si="88"/>
        <v>0</v>
      </c>
      <c r="W1123">
        <f t="shared" si="89"/>
        <v>1</v>
      </c>
      <c r="X1123">
        <v>1</v>
      </c>
      <c r="Y1123" s="2">
        <v>45768</v>
      </c>
      <c r="Z1123" s="3" t="s">
        <v>47</v>
      </c>
      <c r="AA1123" t="s">
        <v>39</v>
      </c>
      <c r="AB1123" t="s">
        <v>49</v>
      </c>
      <c r="AC1123" s="5" t="s">
        <v>50</v>
      </c>
      <c r="AD1123" t="s">
        <v>184</v>
      </c>
    </row>
    <row r="1124" spans="2:30">
      <c r="B1124">
        <v>3</v>
      </c>
      <c r="C1124">
        <v>1020</v>
      </c>
      <c r="D1124" t="s">
        <v>181</v>
      </c>
      <c r="E1124">
        <v>14192353</v>
      </c>
      <c r="F1124" t="s">
        <v>1220</v>
      </c>
      <c r="G1124" t="s">
        <v>43</v>
      </c>
      <c r="H1124" t="s">
        <v>44</v>
      </c>
      <c r="I1124" t="s">
        <v>183</v>
      </c>
      <c r="J1124" t="s">
        <v>45</v>
      </c>
      <c r="K1124" t="s">
        <v>35</v>
      </c>
      <c r="L1124" t="s">
        <v>36</v>
      </c>
      <c r="M1124" t="s">
        <v>46</v>
      </c>
      <c r="N1124">
        <v>2</v>
      </c>
      <c r="O1124">
        <v>2</v>
      </c>
      <c r="P1124">
        <v>0</v>
      </c>
      <c r="Q1124">
        <v>2</v>
      </c>
      <c r="R1124">
        <v>116.99</v>
      </c>
      <c r="S1124" t="str">
        <f t="shared" si="85"/>
        <v>PY: Media Crit.</v>
      </c>
      <c r="T1124">
        <f t="shared" si="86"/>
        <v>0</v>
      </c>
      <c r="U1124">
        <f t="shared" si="87"/>
        <v>0</v>
      </c>
      <c r="V1124">
        <f t="shared" si="88"/>
        <v>1</v>
      </c>
      <c r="W1124">
        <f t="shared" si="89"/>
        <v>0</v>
      </c>
      <c r="X1124">
        <v>1</v>
      </c>
      <c r="Y1124" s="2">
        <v>45768</v>
      </c>
      <c r="Z1124" s="3" t="s">
        <v>47</v>
      </c>
      <c r="AA1124" t="s">
        <v>39</v>
      </c>
      <c r="AB1124" t="s">
        <v>40</v>
      </c>
      <c r="AC1124" t="s">
        <v>40</v>
      </c>
      <c r="AD1124" t="s">
        <v>184</v>
      </c>
    </row>
    <row r="1125" spans="2:30">
      <c r="B1125">
        <v>3</v>
      </c>
      <c r="C1125">
        <v>1020</v>
      </c>
      <c r="D1125" t="s">
        <v>181</v>
      </c>
      <c r="E1125">
        <v>14219621</v>
      </c>
      <c r="F1125" t="s">
        <v>1221</v>
      </c>
      <c r="G1125" t="s">
        <v>52</v>
      </c>
      <c r="H1125" t="s">
        <v>44</v>
      </c>
      <c r="I1125" t="s">
        <v>183</v>
      </c>
      <c r="J1125" t="s">
        <v>45</v>
      </c>
      <c r="K1125" t="s">
        <v>35</v>
      </c>
      <c r="L1125" t="s">
        <v>36</v>
      </c>
      <c r="M1125" t="s">
        <v>69</v>
      </c>
      <c r="N1125">
        <v>6</v>
      </c>
      <c r="O1125">
        <v>4</v>
      </c>
      <c r="P1125">
        <v>0</v>
      </c>
      <c r="Q1125">
        <v>4</v>
      </c>
      <c r="R1125" s="4">
        <v>5984.97</v>
      </c>
      <c r="S1125" t="str">
        <f t="shared" si="85"/>
        <v>PZ: Alta Crit.</v>
      </c>
      <c r="T1125">
        <f t="shared" si="86"/>
        <v>0</v>
      </c>
      <c r="U1125">
        <f t="shared" si="87"/>
        <v>0</v>
      </c>
      <c r="V1125">
        <f t="shared" si="88"/>
        <v>1</v>
      </c>
      <c r="W1125">
        <f t="shared" si="89"/>
        <v>0</v>
      </c>
      <c r="X1125">
        <v>1</v>
      </c>
      <c r="Y1125" s="2">
        <v>45768</v>
      </c>
      <c r="Z1125" s="3" t="s">
        <v>70</v>
      </c>
      <c r="AA1125" t="s">
        <v>39</v>
      </c>
      <c r="AB1125" t="s">
        <v>40</v>
      </c>
      <c r="AC1125" t="s">
        <v>40</v>
      </c>
      <c r="AD1125" t="s">
        <v>184</v>
      </c>
    </row>
    <row r="1126" spans="2:30">
      <c r="B1126">
        <v>3</v>
      </c>
      <c r="C1126">
        <v>1020</v>
      </c>
      <c r="D1126" t="s">
        <v>181</v>
      </c>
      <c r="E1126">
        <v>14226723</v>
      </c>
      <c r="F1126" t="s">
        <v>1222</v>
      </c>
      <c r="G1126" t="s">
        <v>43</v>
      </c>
      <c r="H1126" t="s">
        <v>60</v>
      </c>
      <c r="I1126" t="s">
        <v>183</v>
      </c>
      <c r="J1126" t="s">
        <v>45</v>
      </c>
      <c r="K1126" t="s">
        <v>35</v>
      </c>
      <c r="L1126" t="s">
        <v>36</v>
      </c>
      <c r="M1126" t="s">
        <v>46</v>
      </c>
      <c r="N1126">
        <v>6</v>
      </c>
      <c r="O1126">
        <v>3</v>
      </c>
      <c r="P1126">
        <v>0</v>
      </c>
      <c r="Q1126">
        <v>6</v>
      </c>
      <c r="R1126" s="4">
        <v>4883.59</v>
      </c>
      <c r="S1126" t="str">
        <f t="shared" si="85"/>
        <v>PY: Media Crit.</v>
      </c>
      <c r="T1126">
        <f t="shared" si="86"/>
        <v>0</v>
      </c>
      <c r="U1126">
        <f t="shared" si="87"/>
        <v>0</v>
      </c>
      <c r="V1126">
        <f t="shared" si="88"/>
        <v>1</v>
      </c>
      <c r="W1126">
        <f t="shared" si="89"/>
        <v>0</v>
      </c>
      <c r="X1126">
        <v>1</v>
      </c>
      <c r="Y1126" s="2">
        <v>45768</v>
      </c>
      <c r="Z1126" s="3" t="s">
        <v>47</v>
      </c>
      <c r="AA1126" t="s">
        <v>39</v>
      </c>
      <c r="AB1126" t="s">
        <v>40</v>
      </c>
      <c r="AC1126" t="s">
        <v>40</v>
      </c>
      <c r="AD1126" t="s">
        <v>184</v>
      </c>
    </row>
    <row r="1127" spans="2:30">
      <c r="B1127">
        <v>3</v>
      </c>
      <c r="C1127">
        <v>1020</v>
      </c>
      <c r="D1127" t="s">
        <v>181</v>
      </c>
      <c r="E1127">
        <v>14227409</v>
      </c>
      <c r="F1127" t="s">
        <v>1223</v>
      </c>
      <c r="G1127" t="s">
        <v>43</v>
      </c>
      <c r="H1127" t="s">
        <v>60</v>
      </c>
      <c r="I1127" t="s">
        <v>183</v>
      </c>
      <c r="J1127" t="s">
        <v>45</v>
      </c>
      <c r="K1127" t="s">
        <v>35</v>
      </c>
      <c r="L1127" t="s">
        <v>36</v>
      </c>
      <c r="M1127" t="s">
        <v>117</v>
      </c>
      <c r="N1127">
        <v>3</v>
      </c>
      <c r="O1127">
        <v>2</v>
      </c>
      <c r="P1127">
        <v>0</v>
      </c>
      <c r="Q1127">
        <v>4</v>
      </c>
      <c r="R1127" s="4">
        <v>1420</v>
      </c>
      <c r="S1127" t="str">
        <f t="shared" si="85"/>
        <v>PY: Media Crit.</v>
      </c>
      <c r="T1127">
        <f t="shared" si="86"/>
        <v>0</v>
      </c>
      <c r="U1127">
        <f t="shared" si="87"/>
        <v>0</v>
      </c>
      <c r="V1127">
        <f t="shared" si="88"/>
        <v>0</v>
      </c>
      <c r="W1127">
        <f t="shared" si="89"/>
        <v>1</v>
      </c>
      <c r="X1127">
        <v>1</v>
      </c>
      <c r="Y1127" s="2">
        <v>45768</v>
      </c>
      <c r="Z1127" s="3" t="s">
        <v>118</v>
      </c>
      <c r="AA1127" t="s">
        <v>39</v>
      </c>
      <c r="AB1127" t="s">
        <v>40</v>
      </c>
      <c r="AC1127" t="s">
        <v>40</v>
      </c>
      <c r="AD1127" t="s">
        <v>184</v>
      </c>
    </row>
    <row r="1128" spans="2:30">
      <c r="B1128">
        <v>3</v>
      </c>
      <c r="C1128">
        <v>1020</v>
      </c>
      <c r="D1128" t="s">
        <v>181</v>
      </c>
      <c r="E1128">
        <v>14227411</v>
      </c>
      <c r="F1128" t="s">
        <v>1224</v>
      </c>
      <c r="G1128" t="s">
        <v>43</v>
      </c>
      <c r="H1128" t="s">
        <v>60</v>
      </c>
      <c r="I1128" t="s">
        <v>183</v>
      </c>
      <c r="J1128" t="s">
        <v>45</v>
      </c>
      <c r="K1128" t="s">
        <v>35</v>
      </c>
      <c r="L1128" t="s">
        <v>36</v>
      </c>
      <c r="M1128" t="s">
        <v>117</v>
      </c>
      <c r="N1128">
        <v>3</v>
      </c>
      <c r="O1128">
        <v>2</v>
      </c>
      <c r="P1128">
        <v>0</v>
      </c>
      <c r="Q1128">
        <v>3</v>
      </c>
      <c r="R1128" s="4">
        <v>1236.93</v>
      </c>
      <c r="S1128" t="str">
        <f t="shared" si="85"/>
        <v>PY: Media Crit.</v>
      </c>
      <c r="T1128">
        <f t="shared" si="86"/>
        <v>0</v>
      </c>
      <c r="U1128">
        <f t="shared" si="87"/>
        <v>0</v>
      </c>
      <c r="V1128">
        <f t="shared" si="88"/>
        <v>1</v>
      </c>
      <c r="W1128">
        <f t="shared" si="89"/>
        <v>0</v>
      </c>
      <c r="X1128">
        <v>1</v>
      </c>
      <c r="Y1128" s="2">
        <v>45768</v>
      </c>
      <c r="Z1128" s="3" t="s">
        <v>118</v>
      </c>
      <c r="AA1128" t="s">
        <v>39</v>
      </c>
      <c r="AB1128" t="s">
        <v>40</v>
      </c>
      <c r="AC1128" t="s">
        <v>40</v>
      </c>
      <c r="AD1128" t="s">
        <v>184</v>
      </c>
    </row>
    <row r="1129" spans="2:30">
      <c r="B1129">
        <v>3</v>
      </c>
      <c r="C1129">
        <v>1020</v>
      </c>
      <c r="D1129" t="s">
        <v>388</v>
      </c>
      <c r="E1129">
        <v>14227859</v>
      </c>
      <c r="F1129" t="s">
        <v>1225</v>
      </c>
      <c r="G1129" t="s">
        <v>31</v>
      </c>
      <c r="H1129" t="s">
        <v>44</v>
      </c>
      <c r="I1129" t="s">
        <v>390</v>
      </c>
      <c r="J1129" t="s">
        <v>45</v>
      </c>
      <c r="K1129" t="s">
        <v>35</v>
      </c>
      <c r="L1129" t="s">
        <v>175</v>
      </c>
      <c r="M1129" t="s">
        <v>117</v>
      </c>
      <c r="N1129">
        <v>0</v>
      </c>
      <c r="O1129">
        <v>0</v>
      </c>
      <c r="P1129">
        <v>4</v>
      </c>
      <c r="Q1129">
        <v>3</v>
      </c>
      <c r="R1129" s="4">
        <v>1756.77</v>
      </c>
      <c r="S1129" t="str">
        <f t="shared" si="85"/>
        <v>PX: Baja Crit.</v>
      </c>
      <c r="T1129">
        <f t="shared" si="86"/>
        <v>0</v>
      </c>
      <c r="U1129">
        <f t="shared" si="87"/>
        <v>1</v>
      </c>
      <c r="V1129">
        <f t="shared" si="88"/>
        <v>0</v>
      </c>
      <c r="W1129">
        <f t="shared" si="89"/>
        <v>1</v>
      </c>
      <c r="X1129">
        <v>1</v>
      </c>
      <c r="Y1129" s="2">
        <v>45768</v>
      </c>
      <c r="Z1129" s="3" t="s">
        <v>118</v>
      </c>
      <c r="AA1129" t="s">
        <v>39</v>
      </c>
      <c r="AB1129" t="s">
        <v>49</v>
      </c>
      <c r="AC1129" s="5" t="s">
        <v>50</v>
      </c>
      <c r="AD1129" t="s">
        <v>391</v>
      </c>
    </row>
    <row r="1130" spans="2:30">
      <c r="B1130">
        <v>3</v>
      </c>
      <c r="C1130">
        <v>1020</v>
      </c>
      <c r="D1130" t="s">
        <v>181</v>
      </c>
      <c r="E1130">
        <v>14229907</v>
      </c>
      <c r="F1130" t="s">
        <v>1226</v>
      </c>
      <c r="G1130" t="s">
        <v>52</v>
      </c>
      <c r="H1130" t="s">
        <v>32</v>
      </c>
      <c r="I1130" t="s">
        <v>183</v>
      </c>
      <c r="J1130" t="s">
        <v>45</v>
      </c>
      <c r="K1130" t="s">
        <v>35</v>
      </c>
      <c r="L1130" t="s">
        <v>36</v>
      </c>
      <c r="M1130" t="s">
        <v>117</v>
      </c>
      <c r="N1130">
        <v>1</v>
      </c>
      <c r="O1130">
        <v>1</v>
      </c>
      <c r="P1130">
        <v>0</v>
      </c>
      <c r="Q1130">
        <v>0</v>
      </c>
      <c r="R1130">
        <v>0</v>
      </c>
      <c r="S1130" t="str">
        <f t="shared" si="85"/>
        <v>PZ: Alta Crit.</v>
      </c>
      <c r="T1130">
        <f t="shared" si="86"/>
        <v>1</v>
      </c>
      <c r="U1130">
        <f t="shared" si="87"/>
        <v>0</v>
      </c>
      <c r="V1130">
        <f t="shared" si="88"/>
        <v>0</v>
      </c>
      <c r="W1130">
        <f t="shared" si="89"/>
        <v>0</v>
      </c>
      <c r="X1130">
        <v>1</v>
      </c>
      <c r="Y1130" s="2">
        <v>45768</v>
      </c>
      <c r="Z1130" s="3" t="s">
        <v>118</v>
      </c>
      <c r="AA1130" t="s">
        <v>39</v>
      </c>
      <c r="AB1130" t="s">
        <v>49</v>
      </c>
      <c r="AC1130" s="5" t="s">
        <v>50</v>
      </c>
      <c r="AD1130" t="s">
        <v>184</v>
      </c>
    </row>
    <row r="1131" spans="2:30">
      <c r="B1131">
        <v>3</v>
      </c>
      <c r="C1131">
        <v>1020</v>
      </c>
      <c r="D1131" t="s">
        <v>181</v>
      </c>
      <c r="E1131">
        <v>14241122</v>
      </c>
      <c r="F1131" t="s">
        <v>1227</v>
      </c>
      <c r="G1131" t="s">
        <v>52</v>
      </c>
      <c r="H1131" t="s">
        <v>32</v>
      </c>
      <c r="I1131" t="s">
        <v>183</v>
      </c>
      <c r="J1131" t="s">
        <v>45</v>
      </c>
      <c r="K1131" t="s">
        <v>35</v>
      </c>
      <c r="L1131" t="s">
        <v>36</v>
      </c>
      <c r="M1131" t="s">
        <v>37</v>
      </c>
      <c r="N1131">
        <v>100</v>
      </c>
      <c r="O1131">
        <v>51</v>
      </c>
      <c r="P1131">
        <v>10</v>
      </c>
      <c r="Q1131">
        <v>49</v>
      </c>
      <c r="R1131" s="4">
        <v>1060.03</v>
      </c>
      <c r="S1131" t="str">
        <f t="shared" si="85"/>
        <v>PZ: Alta Crit.</v>
      </c>
      <c r="T1131">
        <f t="shared" si="86"/>
        <v>0</v>
      </c>
      <c r="U1131">
        <f t="shared" si="87"/>
        <v>0</v>
      </c>
      <c r="V1131">
        <f t="shared" si="88"/>
        <v>1</v>
      </c>
      <c r="W1131">
        <f t="shared" si="89"/>
        <v>0</v>
      </c>
      <c r="X1131">
        <v>1</v>
      </c>
      <c r="Y1131" s="2">
        <v>45768</v>
      </c>
      <c r="Z1131" s="3" t="s">
        <v>38</v>
      </c>
      <c r="AA1131" t="s">
        <v>39</v>
      </c>
      <c r="AB1131" t="s">
        <v>76</v>
      </c>
      <c r="AC1131" s="5" t="s">
        <v>77</v>
      </c>
      <c r="AD1131" t="s">
        <v>184</v>
      </c>
    </row>
    <row r="1132" spans="2:30">
      <c r="B1132">
        <v>3</v>
      </c>
      <c r="C1132">
        <v>1020</v>
      </c>
      <c r="D1132" t="s">
        <v>388</v>
      </c>
      <c r="E1132">
        <v>14270169</v>
      </c>
      <c r="F1132" t="s">
        <v>1228</v>
      </c>
      <c r="G1132" t="s">
        <v>52</v>
      </c>
      <c r="H1132" t="s">
        <v>44</v>
      </c>
      <c r="I1132" t="s">
        <v>390</v>
      </c>
      <c r="J1132" t="s">
        <v>45</v>
      </c>
      <c r="K1132" t="s">
        <v>35</v>
      </c>
      <c r="L1132" t="s">
        <v>175</v>
      </c>
      <c r="M1132" t="s">
        <v>69</v>
      </c>
      <c r="N1132">
        <v>0</v>
      </c>
      <c r="O1132">
        <v>0</v>
      </c>
      <c r="P1132">
        <v>1</v>
      </c>
      <c r="Q1132">
        <v>1</v>
      </c>
      <c r="R1132" s="4">
        <v>2322.7399999999998</v>
      </c>
      <c r="S1132" t="str">
        <f t="shared" si="85"/>
        <v>PZ: Alta Crit.</v>
      </c>
      <c r="T1132">
        <f t="shared" si="86"/>
        <v>0</v>
      </c>
      <c r="U1132">
        <f t="shared" si="87"/>
        <v>1</v>
      </c>
      <c r="V1132">
        <f t="shared" si="88"/>
        <v>0</v>
      </c>
      <c r="W1132">
        <f t="shared" si="89"/>
        <v>1</v>
      </c>
      <c r="X1132">
        <v>1</v>
      </c>
      <c r="Y1132" s="2">
        <v>45768</v>
      </c>
      <c r="Z1132" s="3" t="s">
        <v>70</v>
      </c>
      <c r="AA1132" t="s">
        <v>39</v>
      </c>
      <c r="AB1132" t="s">
        <v>40</v>
      </c>
      <c r="AC1132" t="s">
        <v>40</v>
      </c>
      <c r="AD1132" t="s">
        <v>391</v>
      </c>
    </row>
    <row r="1133" spans="2:30">
      <c r="B1133">
        <v>3</v>
      </c>
      <c r="C1133">
        <v>1020</v>
      </c>
      <c r="D1133" t="s">
        <v>388</v>
      </c>
      <c r="E1133">
        <v>14270172</v>
      </c>
      <c r="F1133" t="s">
        <v>1229</v>
      </c>
      <c r="G1133" t="s">
        <v>52</v>
      </c>
      <c r="H1133" t="s">
        <v>44</v>
      </c>
      <c r="I1133" t="s">
        <v>390</v>
      </c>
      <c r="J1133" t="s">
        <v>45</v>
      </c>
      <c r="K1133" t="s">
        <v>35</v>
      </c>
      <c r="L1133" t="s">
        <v>175</v>
      </c>
      <c r="M1133" t="s">
        <v>69</v>
      </c>
      <c r="N1133">
        <v>0</v>
      </c>
      <c r="O1133">
        <v>0</v>
      </c>
      <c r="P1133">
        <v>1</v>
      </c>
      <c r="Q1133">
        <v>4</v>
      </c>
      <c r="R1133" s="4">
        <v>1281.1300000000001</v>
      </c>
      <c r="S1133" t="str">
        <f t="shared" si="85"/>
        <v>PZ: Alta Crit.</v>
      </c>
      <c r="T1133">
        <f t="shared" si="86"/>
        <v>0</v>
      </c>
      <c r="U1133">
        <f t="shared" si="87"/>
        <v>0</v>
      </c>
      <c r="V1133">
        <f t="shared" si="88"/>
        <v>0</v>
      </c>
      <c r="W1133">
        <f t="shared" si="89"/>
        <v>1</v>
      </c>
      <c r="X1133">
        <v>1</v>
      </c>
      <c r="Y1133" s="2">
        <v>45768</v>
      </c>
      <c r="Z1133" s="3" t="s">
        <v>70</v>
      </c>
      <c r="AA1133" t="s">
        <v>39</v>
      </c>
      <c r="AB1133" t="s">
        <v>40</v>
      </c>
      <c r="AC1133" t="s">
        <v>40</v>
      </c>
      <c r="AD1133" t="s">
        <v>391</v>
      </c>
    </row>
    <row r="1134" spans="2:30">
      <c r="B1134">
        <v>3</v>
      </c>
      <c r="C1134">
        <v>1020</v>
      </c>
      <c r="D1134" t="s">
        <v>388</v>
      </c>
      <c r="E1134">
        <v>14270175</v>
      </c>
      <c r="F1134" t="s">
        <v>1230</v>
      </c>
      <c r="G1134" t="s">
        <v>52</v>
      </c>
      <c r="H1134" t="s">
        <v>44</v>
      </c>
      <c r="I1134" t="s">
        <v>390</v>
      </c>
      <c r="J1134" t="s">
        <v>45</v>
      </c>
      <c r="K1134" t="s">
        <v>35</v>
      </c>
      <c r="L1134" t="s">
        <v>175</v>
      </c>
      <c r="M1134" t="s">
        <v>69</v>
      </c>
      <c r="N1134">
        <v>0</v>
      </c>
      <c r="O1134">
        <v>0</v>
      </c>
      <c r="P1134">
        <v>2</v>
      </c>
      <c r="Q1134">
        <v>5</v>
      </c>
      <c r="R1134" s="4">
        <v>6535.65</v>
      </c>
      <c r="S1134" t="str">
        <f t="shared" si="85"/>
        <v>PZ: Alta Crit.</v>
      </c>
      <c r="T1134">
        <f t="shared" si="86"/>
        <v>0</v>
      </c>
      <c r="U1134">
        <f t="shared" si="87"/>
        <v>0</v>
      </c>
      <c r="V1134">
        <f t="shared" si="88"/>
        <v>0</v>
      </c>
      <c r="W1134">
        <f t="shared" si="89"/>
        <v>1</v>
      </c>
      <c r="X1134">
        <v>1</v>
      </c>
      <c r="Y1134" s="2">
        <v>45768</v>
      </c>
      <c r="Z1134" s="3" t="s">
        <v>70</v>
      </c>
      <c r="AA1134" t="s">
        <v>39</v>
      </c>
      <c r="AB1134" t="s">
        <v>40</v>
      </c>
      <c r="AC1134" t="s">
        <v>40</v>
      </c>
      <c r="AD1134" t="s">
        <v>391</v>
      </c>
    </row>
    <row r="1135" spans="2:30">
      <c r="B1135">
        <v>3</v>
      </c>
      <c r="C1135">
        <v>1020</v>
      </c>
      <c r="D1135" t="s">
        <v>388</v>
      </c>
      <c r="E1135">
        <v>14270472</v>
      </c>
      <c r="F1135" t="s">
        <v>1231</v>
      </c>
      <c r="G1135" t="s">
        <v>52</v>
      </c>
      <c r="H1135" t="s">
        <v>44</v>
      </c>
      <c r="I1135" t="s">
        <v>390</v>
      </c>
      <c r="J1135" t="s">
        <v>45</v>
      </c>
      <c r="K1135" t="s">
        <v>35</v>
      </c>
      <c r="L1135" t="s">
        <v>175</v>
      </c>
      <c r="M1135" t="s">
        <v>69</v>
      </c>
      <c r="N1135">
        <v>0</v>
      </c>
      <c r="O1135">
        <v>0</v>
      </c>
      <c r="P1135">
        <v>1</v>
      </c>
      <c r="Q1135">
        <v>15</v>
      </c>
      <c r="R1135" s="4">
        <v>165915.04</v>
      </c>
      <c r="S1135" t="str">
        <f t="shared" si="85"/>
        <v>PZ: Alta Crit.</v>
      </c>
      <c r="T1135">
        <f t="shared" si="86"/>
        <v>0</v>
      </c>
      <c r="U1135">
        <f t="shared" si="87"/>
        <v>0</v>
      </c>
      <c r="V1135">
        <f t="shared" si="88"/>
        <v>0</v>
      </c>
      <c r="W1135">
        <f t="shared" si="89"/>
        <v>1</v>
      </c>
      <c r="X1135">
        <v>1</v>
      </c>
      <c r="Y1135" s="2">
        <v>45768</v>
      </c>
      <c r="Z1135" s="3" t="s">
        <v>70</v>
      </c>
      <c r="AA1135" t="s">
        <v>39</v>
      </c>
      <c r="AB1135" t="s">
        <v>40</v>
      </c>
      <c r="AC1135" t="s">
        <v>40</v>
      </c>
      <c r="AD1135" t="s">
        <v>391</v>
      </c>
    </row>
    <row r="1136" spans="2:30">
      <c r="B1136">
        <v>3</v>
      </c>
      <c r="C1136">
        <v>1020</v>
      </c>
      <c r="D1136" t="s">
        <v>388</v>
      </c>
      <c r="E1136">
        <v>14280363</v>
      </c>
      <c r="F1136" t="s">
        <v>1232</v>
      </c>
      <c r="G1136" t="s">
        <v>43</v>
      </c>
      <c r="H1136" t="s">
        <v>60</v>
      </c>
      <c r="I1136" t="s">
        <v>390</v>
      </c>
      <c r="J1136" t="s">
        <v>45</v>
      </c>
      <c r="K1136" t="s">
        <v>35</v>
      </c>
      <c r="L1136" t="s">
        <v>175</v>
      </c>
      <c r="M1136" t="s">
        <v>69</v>
      </c>
      <c r="N1136">
        <v>0</v>
      </c>
      <c r="O1136">
        <v>0</v>
      </c>
      <c r="P1136">
        <v>1</v>
      </c>
      <c r="Q1136">
        <v>1</v>
      </c>
      <c r="R1136" s="4">
        <v>17121.2</v>
      </c>
      <c r="S1136" t="str">
        <f t="shared" si="85"/>
        <v>PY: Media Crit.</v>
      </c>
      <c r="T1136">
        <f t="shared" si="86"/>
        <v>0</v>
      </c>
      <c r="U1136">
        <f t="shared" si="87"/>
        <v>1</v>
      </c>
      <c r="V1136">
        <f t="shared" si="88"/>
        <v>0</v>
      </c>
      <c r="W1136">
        <f t="shared" si="89"/>
        <v>1</v>
      </c>
      <c r="X1136">
        <v>1</v>
      </c>
      <c r="Y1136" s="2">
        <v>45768</v>
      </c>
      <c r="Z1136" s="3" t="s">
        <v>70</v>
      </c>
      <c r="AA1136" t="s">
        <v>39</v>
      </c>
      <c r="AB1136" t="s">
        <v>40</v>
      </c>
      <c r="AC1136" t="s">
        <v>40</v>
      </c>
      <c r="AD1136" t="s">
        <v>391</v>
      </c>
    </row>
    <row r="1137" spans="2:30">
      <c r="B1137">
        <v>3</v>
      </c>
      <c r="C1137">
        <v>1020</v>
      </c>
      <c r="D1137" t="s">
        <v>181</v>
      </c>
      <c r="E1137">
        <v>14286672</v>
      </c>
      <c r="F1137" t="s">
        <v>1233</v>
      </c>
      <c r="G1137" t="s">
        <v>43</v>
      </c>
      <c r="H1137" t="s">
        <v>60</v>
      </c>
      <c r="I1137" t="s">
        <v>183</v>
      </c>
      <c r="J1137" t="s">
        <v>45</v>
      </c>
      <c r="K1137" t="s">
        <v>35</v>
      </c>
      <c r="L1137" t="s">
        <v>36</v>
      </c>
      <c r="M1137" t="s">
        <v>69</v>
      </c>
      <c r="N1137">
        <v>1</v>
      </c>
      <c r="O1137">
        <v>1</v>
      </c>
      <c r="P1137">
        <v>0</v>
      </c>
      <c r="Q1137">
        <v>1</v>
      </c>
      <c r="R1137" s="4">
        <v>9871.76</v>
      </c>
      <c r="S1137" t="str">
        <f t="shared" si="85"/>
        <v>PY: Media Crit.</v>
      </c>
      <c r="T1137">
        <f t="shared" si="86"/>
        <v>0</v>
      </c>
      <c r="U1137">
        <f t="shared" si="87"/>
        <v>0</v>
      </c>
      <c r="V1137">
        <f t="shared" si="88"/>
        <v>1</v>
      </c>
      <c r="W1137">
        <f t="shared" si="89"/>
        <v>0</v>
      </c>
      <c r="X1137">
        <v>1</v>
      </c>
      <c r="Y1137" s="2">
        <v>45768</v>
      </c>
      <c r="Z1137" s="3" t="s">
        <v>70</v>
      </c>
      <c r="AA1137" t="s">
        <v>39</v>
      </c>
      <c r="AB1137" t="s">
        <v>40</v>
      </c>
      <c r="AC1137" t="s">
        <v>40</v>
      </c>
      <c r="AD1137" t="s">
        <v>184</v>
      </c>
    </row>
    <row r="1138" spans="2:30">
      <c r="B1138">
        <v>3</v>
      </c>
      <c r="C1138">
        <v>1020</v>
      </c>
      <c r="D1138" t="s">
        <v>181</v>
      </c>
      <c r="E1138">
        <v>14289956</v>
      </c>
      <c r="F1138" t="s">
        <v>1234</v>
      </c>
      <c r="G1138" t="s">
        <v>43</v>
      </c>
      <c r="H1138" t="s">
        <v>60</v>
      </c>
      <c r="I1138" t="s">
        <v>183</v>
      </c>
      <c r="J1138" t="s">
        <v>45</v>
      </c>
      <c r="K1138" t="s">
        <v>35</v>
      </c>
      <c r="L1138" t="s">
        <v>36</v>
      </c>
      <c r="M1138" t="s">
        <v>69</v>
      </c>
      <c r="N1138">
        <v>5</v>
      </c>
      <c r="O1138">
        <v>3</v>
      </c>
      <c r="P1138">
        <v>0</v>
      </c>
      <c r="Q1138">
        <v>4</v>
      </c>
      <c r="R1138">
        <v>239.6</v>
      </c>
      <c r="S1138" t="str">
        <f t="shared" si="85"/>
        <v>PY: Media Crit.</v>
      </c>
      <c r="T1138">
        <f t="shared" si="86"/>
        <v>0</v>
      </c>
      <c r="U1138">
        <f t="shared" si="87"/>
        <v>0</v>
      </c>
      <c r="V1138">
        <f t="shared" si="88"/>
        <v>1</v>
      </c>
      <c r="W1138">
        <f t="shared" si="89"/>
        <v>0</v>
      </c>
      <c r="X1138">
        <v>1</v>
      </c>
      <c r="Y1138" s="2">
        <v>45768</v>
      </c>
      <c r="Z1138" s="3" t="s">
        <v>70</v>
      </c>
      <c r="AA1138" t="s">
        <v>39</v>
      </c>
      <c r="AB1138" t="s">
        <v>40</v>
      </c>
      <c r="AC1138" t="s">
        <v>40</v>
      </c>
      <c r="AD1138" t="s">
        <v>184</v>
      </c>
    </row>
    <row r="1139" spans="2:30">
      <c r="B1139">
        <v>3</v>
      </c>
      <c r="C1139">
        <v>1020</v>
      </c>
      <c r="D1139" t="s">
        <v>181</v>
      </c>
      <c r="E1139">
        <v>14295535</v>
      </c>
      <c r="F1139" t="s">
        <v>1235</v>
      </c>
      <c r="G1139" t="s">
        <v>31</v>
      </c>
      <c r="H1139" t="s">
        <v>44</v>
      </c>
      <c r="I1139" t="s">
        <v>183</v>
      </c>
      <c r="J1139" t="s">
        <v>45</v>
      </c>
      <c r="K1139" t="s">
        <v>35</v>
      </c>
      <c r="L1139" t="s">
        <v>36</v>
      </c>
      <c r="M1139" t="s">
        <v>46</v>
      </c>
      <c r="N1139">
        <v>4</v>
      </c>
      <c r="O1139">
        <v>3</v>
      </c>
      <c r="P1139">
        <v>1</v>
      </c>
      <c r="Q1139">
        <v>4</v>
      </c>
      <c r="R1139" s="4">
        <v>1886.87</v>
      </c>
      <c r="S1139" t="str">
        <f t="shared" si="85"/>
        <v>PX: Baja Crit.</v>
      </c>
      <c r="T1139">
        <f t="shared" si="86"/>
        <v>0</v>
      </c>
      <c r="U1139">
        <f t="shared" si="87"/>
        <v>0</v>
      </c>
      <c r="V1139">
        <f t="shared" si="88"/>
        <v>1</v>
      </c>
      <c r="W1139">
        <f t="shared" si="89"/>
        <v>0</v>
      </c>
      <c r="X1139">
        <v>1</v>
      </c>
      <c r="Y1139" s="2">
        <v>45768</v>
      </c>
      <c r="Z1139" s="3" t="s">
        <v>47</v>
      </c>
      <c r="AA1139" t="s">
        <v>39</v>
      </c>
      <c r="AB1139" t="s">
        <v>40</v>
      </c>
      <c r="AC1139" t="s">
        <v>40</v>
      </c>
      <c r="AD1139" t="s">
        <v>184</v>
      </c>
    </row>
    <row r="1140" spans="2:30">
      <c r="B1140">
        <v>3</v>
      </c>
      <c r="C1140">
        <v>1020</v>
      </c>
      <c r="D1140" t="s">
        <v>181</v>
      </c>
      <c r="E1140">
        <v>14296793</v>
      </c>
      <c r="F1140" t="s">
        <v>1236</v>
      </c>
      <c r="G1140" t="s">
        <v>31</v>
      </c>
      <c r="H1140" t="s">
        <v>44</v>
      </c>
      <c r="I1140" t="s">
        <v>183</v>
      </c>
      <c r="J1140" t="s">
        <v>45</v>
      </c>
      <c r="K1140" t="s">
        <v>35</v>
      </c>
      <c r="L1140" t="s">
        <v>36</v>
      </c>
      <c r="M1140" t="s">
        <v>37</v>
      </c>
      <c r="N1140">
        <v>14</v>
      </c>
      <c r="O1140">
        <v>8</v>
      </c>
      <c r="P1140">
        <v>0</v>
      </c>
      <c r="Q1140">
        <v>4</v>
      </c>
      <c r="R1140" s="4">
        <v>1914.28</v>
      </c>
      <c r="S1140" t="str">
        <f t="shared" si="85"/>
        <v>PX: Baja Crit.</v>
      </c>
      <c r="T1140">
        <f t="shared" si="86"/>
        <v>0</v>
      </c>
      <c r="U1140">
        <f t="shared" si="87"/>
        <v>0</v>
      </c>
      <c r="V1140">
        <f t="shared" si="88"/>
        <v>1</v>
      </c>
      <c r="W1140">
        <f t="shared" si="89"/>
        <v>0</v>
      </c>
      <c r="X1140">
        <v>1</v>
      </c>
      <c r="Y1140" s="2">
        <v>45768</v>
      </c>
      <c r="Z1140" s="3" t="s">
        <v>38</v>
      </c>
      <c r="AA1140" t="s">
        <v>39</v>
      </c>
      <c r="AB1140" t="s">
        <v>76</v>
      </c>
      <c r="AC1140" s="5" t="s">
        <v>77</v>
      </c>
      <c r="AD1140" t="s">
        <v>184</v>
      </c>
    </row>
    <row r="1141" spans="2:30">
      <c r="B1141">
        <v>3</v>
      </c>
      <c r="C1141">
        <v>1020</v>
      </c>
      <c r="D1141" t="s">
        <v>388</v>
      </c>
      <c r="E1141">
        <v>14299206</v>
      </c>
      <c r="F1141" t="s">
        <v>1237</v>
      </c>
      <c r="G1141" t="s">
        <v>43</v>
      </c>
      <c r="H1141" t="s">
        <v>60</v>
      </c>
      <c r="I1141" t="s">
        <v>390</v>
      </c>
      <c r="J1141" t="s">
        <v>45</v>
      </c>
      <c r="K1141" t="s">
        <v>35</v>
      </c>
      <c r="L1141" t="s">
        <v>175</v>
      </c>
      <c r="M1141" t="s">
        <v>69</v>
      </c>
      <c r="N1141">
        <v>0</v>
      </c>
      <c r="O1141">
        <v>0</v>
      </c>
      <c r="P1141">
        <v>1</v>
      </c>
      <c r="Q1141">
        <v>0</v>
      </c>
      <c r="R1141">
        <v>0</v>
      </c>
      <c r="S1141" t="str">
        <f t="shared" si="85"/>
        <v>PY: Media Crit.</v>
      </c>
      <c r="T1141">
        <f t="shared" si="86"/>
        <v>1</v>
      </c>
      <c r="U1141">
        <f t="shared" si="87"/>
        <v>0</v>
      </c>
      <c r="V1141">
        <f t="shared" si="88"/>
        <v>0</v>
      </c>
      <c r="W1141">
        <f t="shared" si="89"/>
        <v>0</v>
      </c>
      <c r="X1141">
        <v>1</v>
      </c>
      <c r="Y1141" s="2">
        <v>45768</v>
      </c>
      <c r="Z1141" s="3" t="s">
        <v>70</v>
      </c>
      <c r="AA1141" t="s">
        <v>39</v>
      </c>
      <c r="AB1141" t="s">
        <v>49</v>
      </c>
      <c r="AC1141" s="5" t="s">
        <v>50</v>
      </c>
      <c r="AD1141" t="s">
        <v>391</v>
      </c>
    </row>
    <row r="1142" spans="2:30">
      <c r="B1142">
        <v>3</v>
      </c>
      <c r="C1142">
        <v>1020</v>
      </c>
      <c r="D1142" t="s">
        <v>388</v>
      </c>
      <c r="E1142">
        <v>14299208</v>
      </c>
      <c r="F1142" t="s">
        <v>1238</v>
      </c>
      <c r="G1142" t="s">
        <v>43</v>
      </c>
      <c r="H1142" t="s">
        <v>60</v>
      </c>
      <c r="I1142" t="s">
        <v>390</v>
      </c>
      <c r="J1142" t="s">
        <v>45</v>
      </c>
      <c r="K1142" t="s">
        <v>35</v>
      </c>
      <c r="L1142" t="s">
        <v>175</v>
      </c>
      <c r="M1142" t="s">
        <v>69</v>
      </c>
      <c r="N1142">
        <v>0</v>
      </c>
      <c r="O1142">
        <v>0</v>
      </c>
      <c r="P1142">
        <v>1</v>
      </c>
      <c r="Q1142">
        <v>0</v>
      </c>
      <c r="R1142">
        <v>0</v>
      </c>
      <c r="S1142" t="str">
        <f t="shared" si="85"/>
        <v>PY: Media Crit.</v>
      </c>
      <c r="T1142">
        <f t="shared" si="86"/>
        <v>1</v>
      </c>
      <c r="U1142">
        <f t="shared" si="87"/>
        <v>0</v>
      </c>
      <c r="V1142">
        <f t="shared" si="88"/>
        <v>0</v>
      </c>
      <c r="W1142">
        <f t="shared" si="89"/>
        <v>0</v>
      </c>
      <c r="X1142">
        <v>1</v>
      </c>
      <c r="Y1142" s="2">
        <v>45768</v>
      </c>
      <c r="Z1142" s="3" t="s">
        <v>70</v>
      </c>
      <c r="AA1142" t="s">
        <v>39</v>
      </c>
      <c r="AB1142" t="s">
        <v>49</v>
      </c>
      <c r="AC1142" s="5" t="s">
        <v>50</v>
      </c>
      <c r="AD1142" t="s">
        <v>391</v>
      </c>
    </row>
    <row r="1143" spans="2:30">
      <c r="B1143">
        <v>3</v>
      </c>
      <c r="C1143">
        <v>1020</v>
      </c>
      <c r="D1143" t="s">
        <v>388</v>
      </c>
      <c r="E1143">
        <v>14299363</v>
      </c>
      <c r="F1143" t="s">
        <v>1239</v>
      </c>
      <c r="G1143" t="s">
        <v>43</v>
      </c>
      <c r="H1143" t="s">
        <v>60</v>
      </c>
      <c r="I1143" t="s">
        <v>390</v>
      </c>
      <c r="J1143" t="s">
        <v>45</v>
      </c>
      <c r="K1143" t="s">
        <v>35</v>
      </c>
      <c r="L1143" t="s">
        <v>175</v>
      </c>
      <c r="M1143" t="s">
        <v>69</v>
      </c>
      <c r="N1143">
        <v>0</v>
      </c>
      <c r="O1143">
        <v>0</v>
      </c>
      <c r="P1143">
        <v>1</v>
      </c>
      <c r="Q1143">
        <v>0</v>
      </c>
      <c r="R1143">
        <v>0</v>
      </c>
      <c r="S1143" t="str">
        <f t="shared" si="85"/>
        <v>PY: Media Crit.</v>
      </c>
      <c r="T1143">
        <f t="shared" si="86"/>
        <v>1</v>
      </c>
      <c r="U1143">
        <f t="shared" si="87"/>
        <v>0</v>
      </c>
      <c r="V1143">
        <f t="shared" si="88"/>
        <v>0</v>
      </c>
      <c r="W1143">
        <f t="shared" si="89"/>
        <v>0</v>
      </c>
      <c r="X1143">
        <v>1</v>
      </c>
      <c r="Y1143" s="2">
        <v>45768</v>
      </c>
      <c r="Z1143" s="3" t="s">
        <v>70</v>
      </c>
      <c r="AA1143" t="s">
        <v>39</v>
      </c>
      <c r="AB1143" t="s">
        <v>49</v>
      </c>
      <c r="AC1143" s="5" t="s">
        <v>50</v>
      </c>
      <c r="AD1143" t="s">
        <v>391</v>
      </c>
    </row>
    <row r="1144" spans="2:30">
      <c r="B1144">
        <v>3</v>
      </c>
      <c r="C1144">
        <v>1020</v>
      </c>
      <c r="D1144" t="s">
        <v>388</v>
      </c>
      <c r="E1144">
        <v>14299400</v>
      </c>
      <c r="F1144" t="s">
        <v>1240</v>
      </c>
      <c r="G1144" t="s">
        <v>52</v>
      </c>
      <c r="H1144" t="s">
        <v>44</v>
      </c>
      <c r="I1144" t="s">
        <v>390</v>
      </c>
      <c r="J1144" t="s">
        <v>45</v>
      </c>
      <c r="K1144" t="s">
        <v>35</v>
      </c>
      <c r="L1144" t="s">
        <v>175</v>
      </c>
      <c r="M1144" t="s">
        <v>117</v>
      </c>
      <c r="N1144">
        <v>0</v>
      </c>
      <c r="O1144">
        <v>0</v>
      </c>
      <c r="P1144">
        <v>3</v>
      </c>
      <c r="Q1144">
        <v>0</v>
      </c>
      <c r="R1144">
        <v>0</v>
      </c>
      <c r="S1144" t="str">
        <f t="shared" si="85"/>
        <v>PZ: Alta Crit.</v>
      </c>
      <c r="T1144">
        <f t="shared" si="86"/>
        <v>1</v>
      </c>
      <c r="U1144">
        <f t="shared" si="87"/>
        <v>0</v>
      </c>
      <c r="V1144">
        <f t="shared" si="88"/>
        <v>0</v>
      </c>
      <c r="W1144">
        <f t="shared" si="89"/>
        <v>0</v>
      </c>
      <c r="X1144">
        <v>1</v>
      </c>
      <c r="Y1144" s="2">
        <v>45768</v>
      </c>
      <c r="Z1144" s="3" t="s">
        <v>118</v>
      </c>
      <c r="AA1144" t="s">
        <v>39</v>
      </c>
      <c r="AB1144" t="s">
        <v>49</v>
      </c>
      <c r="AC1144" s="5" t="s">
        <v>50</v>
      </c>
      <c r="AD1144" t="s">
        <v>391</v>
      </c>
    </row>
    <row r="1145" spans="2:30">
      <c r="B1145">
        <v>3</v>
      </c>
      <c r="C1145">
        <v>1020</v>
      </c>
      <c r="D1145" t="s">
        <v>181</v>
      </c>
      <c r="E1145">
        <v>14302775</v>
      </c>
      <c r="F1145" t="s">
        <v>1241</v>
      </c>
      <c r="G1145" t="s">
        <v>43</v>
      </c>
      <c r="H1145" t="s">
        <v>60</v>
      </c>
      <c r="I1145" t="s">
        <v>183</v>
      </c>
      <c r="J1145" t="s">
        <v>45</v>
      </c>
      <c r="K1145" t="s">
        <v>35</v>
      </c>
      <c r="L1145" t="s">
        <v>36</v>
      </c>
      <c r="M1145" t="s">
        <v>117</v>
      </c>
      <c r="N1145">
        <v>10</v>
      </c>
      <c r="O1145">
        <v>6</v>
      </c>
      <c r="P1145">
        <v>0</v>
      </c>
      <c r="Q1145">
        <v>0</v>
      </c>
      <c r="R1145">
        <v>0</v>
      </c>
      <c r="S1145" t="str">
        <f t="shared" si="85"/>
        <v>PY: Media Crit.</v>
      </c>
      <c r="T1145">
        <f t="shared" si="86"/>
        <v>1</v>
      </c>
      <c r="U1145">
        <f t="shared" si="87"/>
        <v>0</v>
      </c>
      <c r="V1145">
        <f t="shared" si="88"/>
        <v>0</v>
      </c>
      <c r="W1145">
        <f t="shared" si="89"/>
        <v>0</v>
      </c>
      <c r="X1145">
        <v>1</v>
      </c>
      <c r="Y1145" s="2">
        <v>45768</v>
      </c>
      <c r="Z1145" s="3" t="s">
        <v>118</v>
      </c>
      <c r="AA1145" t="s">
        <v>39</v>
      </c>
      <c r="AB1145" t="s">
        <v>49</v>
      </c>
      <c r="AC1145" s="5" t="s">
        <v>50</v>
      </c>
      <c r="AD1145" t="s">
        <v>184</v>
      </c>
    </row>
    <row r="1146" spans="2:30">
      <c r="B1146">
        <v>3</v>
      </c>
      <c r="C1146">
        <v>1020</v>
      </c>
      <c r="D1146" t="s">
        <v>181</v>
      </c>
      <c r="E1146">
        <v>14302776</v>
      </c>
      <c r="F1146" t="s">
        <v>1242</v>
      </c>
      <c r="G1146" t="s">
        <v>43</v>
      </c>
      <c r="H1146" t="s">
        <v>60</v>
      </c>
      <c r="I1146" t="s">
        <v>183</v>
      </c>
      <c r="J1146" t="s">
        <v>45</v>
      </c>
      <c r="K1146" t="s">
        <v>35</v>
      </c>
      <c r="L1146" t="s">
        <v>36</v>
      </c>
      <c r="M1146" t="s">
        <v>117</v>
      </c>
      <c r="N1146">
        <v>5</v>
      </c>
      <c r="O1146">
        <v>3</v>
      </c>
      <c r="P1146">
        <v>0</v>
      </c>
      <c r="Q1146">
        <v>0</v>
      </c>
      <c r="R1146">
        <v>0</v>
      </c>
      <c r="S1146" t="str">
        <f t="shared" si="85"/>
        <v>PY: Media Crit.</v>
      </c>
      <c r="T1146">
        <f t="shared" si="86"/>
        <v>1</v>
      </c>
      <c r="U1146">
        <f t="shared" si="87"/>
        <v>0</v>
      </c>
      <c r="V1146">
        <f t="shared" si="88"/>
        <v>0</v>
      </c>
      <c r="W1146">
        <f t="shared" si="89"/>
        <v>0</v>
      </c>
      <c r="X1146">
        <v>1</v>
      </c>
      <c r="Y1146" s="2">
        <v>45768</v>
      </c>
      <c r="Z1146" s="3" t="s">
        <v>118</v>
      </c>
      <c r="AA1146" t="s">
        <v>39</v>
      </c>
      <c r="AB1146" t="s">
        <v>49</v>
      </c>
      <c r="AC1146" s="5" t="s">
        <v>50</v>
      </c>
      <c r="AD1146" t="s">
        <v>184</v>
      </c>
    </row>
    <row r="1147" spans="2:30">
      <c r="B1147">
        <v>3</v>
      </c>
      <c r="C1147">
        <v>1020</v>
      </c>
      <c r="D1147" t="s">
        <v>181</v>
      </c>
      <c r="E1147">
        <v>14304783</v>
      </c>
      <c r="F1147" t="s">
        <v>1243</v>
      </c>
      <c r="G1147" t="s">
        <v>43</v>
      </c>
      <c r="H1147" t="s">
        <v>60</v>
      </c>
      <c r="I1147" t="s">
        <v>183</v>
      </c>
      <c r="J1147" t="s">
        <v>45</v>
      </c>
      <c r="K1147" t="s">
        <v>35</v>
      </c>
      <c r="L1147" t="s">
        <v>36</v>
      </c>
      <c r="M1147" t="s">
        <v>69</v>
      </c>
      <c r="N1147">
        <v>1</v>
      </c>
      <c r="O1147">
        <v>1</v>
      </c>
      <c r="P1147">
        <v>0</v>
      </c>
      <c r="Q1147">
        <v>0</v>
      </c>
      <c r="R1147">
        <v>0</v>
      </c>
      <c r="S1147" t="str">
        <f t="shared" si="85"/>
        <v>PY: Media Crit.</v>
      </c>
      <c r="T1147">
        <f t="shared" si="86"/>
        <v>1</v>
      </c>
      <c r="U1147">
        <f t="shared" si="87"/>
        <v>0</v>
      </c>
      <c r="V1147">
        <f t="shared" si="88"/>
        <v>0</v>
      </c>
      <c r="W1147">
        <f t="shared" si="89"/>
        <v>0</v>
      </c>
      <c r="X1147">
        <v>1</v>
      </c>
      <c r="Y1147" s="2">
        <v>45768</v>
      </c>
      <c r="Z1147" s="3" t="s">
        <v>70</v>
      </c>
      <c r="AA1147" t="s">
        <v>39</v>
      </c>
      <c r="AB1147" t="s">
        <v>76</v>
      </c>
      <c r="AC1147" s="5" t="s">
        <v>77</v>
      </c>
      <c r="AD1147" t="s">
        <v>184</v>
      </c>
    </row>
    <row r="1148" spans="2:30">
      <c r="B1148">
        <v>3</v>
      </c>
      <c r="C1148">
        <v>1020</v>
      </c>
      <c r="D1148" t="s">
        <v>181</v>
      </c>
      <c r="E1148">
        <v>14315099</v>
      </c>
      <c r="F1148" t="s">
        <v>1244</v>
      </c>
      <c r="G1148" t="s">
        <v>43</v>
      </c>
      <c r="H1148" t="s">
        <v>44</v>
      </c>
      <c r="I1148" t="s">
        <v>183</v>
      </c>
      <c r="J1148" t="s">
        <v>45</v>
      </c>
      <c r="K1148" t="s">
        <v>35</v>
      </c>
      <c r="L1148" t="s">
        <v>36</v>
      </c>
      <c r="M1148" t="s">
        <v>46</v>
      </c>
      <c r="N1148">
        <v>3</v>
      </c>
      <c r="O1148">
        <v>2</v>
      </c>
      <c r="P1148">
        <v>0</v>
      </c>
      <c r="Q1148">
        <v>1</v>
      </c>
      <c r="R1148" s="4">
        <v>4474.63</v>
      </c>
      <c r="S1148" t="str">
        <f t="shared" si="85"/>
        <v>PY: Media Crit.</v>
      </c>
      <c r="T1148">
        <f t="shared" si="86"/>
        <v>0</v>
      </c>
      <c r="U1148">
        <f t="shared" si="87"/>
        <v>0</v>
      </c>
      <c r="V1148">
        <f t="shared" si="88"/>
        <v>1</v>
      </c>
      <c r="W1148">
        <f t="shared" si="89"/>
        <v>0</v>
      </c>
      <c r="X1148">
        <v>1</v>
      </c>
      <c r="Y1148" s="2">
        <v>45768</v>
      </c>
      <c r="Z1148" s="3" t="s">
        <v>47</v>
      </c>
      <c r="AA1148" t="s">
        <v>39</v>
      </c>
      <c r="AB1148" t="s">
        <v>49</v>
      </c>
      <c r="AC1148" s="5" t="s">
        <v>50</v>
      </c>
      <c r="AD1148" t="s">
        <v>184</v>
      </c>
    </row>
    <row r="1149" spans="2:30">
      <c r="B1149">
        <v>3</v>
      </c>
      <c r="C1149">
        <v>1020</v>
      </c>
      <c r="D1149" t="s">
        <v>181</v>
      </c>
      <c r="E1149">
        <v>14338353</v>
      </c>
      <c r="F1149" t="s">
        <v>1245</v>
      </c>
      <c r="G1149" t="s">
        <v>43</v>
      </c>
      <c r="H1149" t="s">
        <v>44</v>
      </c>
      <c r="I1149" t="s">
        <v>183</v>
      </c>
      <c r="J1149" t="s">
        <v>45</v>
      </c>
      <c r="K1149" t="s">
        <v>35</v>
      </c>
      <c r="L1149" t="s">
        <v>36</v>
      </c>
      <c r="M1149" t="s">
        <v>69</v>
      </c>
      <c r="N1149">
        <v>32</v>
      </c>
      <c r="O1149">
        <v>16</v>
      </c>
      <c r="P1149">
        <v>0</v>
      </c>
      <c r="Q1149">
        <v>16</v>
      </c>
      <c r="R1149" s="4">
        <v>10705.27</v>
      </c>
      <c r="S1149" t="str">
        <f t="shared" si="85"/>
        <v>PY: Media Crit.</v>
      </c>
      <c r="T1149">
        <f t="shared" si="86"/>
        <v>0</v>
      </c>
      <c r="U1149">
        <f t="shared" si="87"/>
        <v>0</v>
      </c>
      <c r="V1149">
        <f t="shared" si="88"/>
        <v>1</v>
      </c>
      <c r="W1149">
        <f t="shared" si="89"/>
        <v>0</v>
      </c>
      <c r="X1149">
        <v>1</v>
      </c>
      <c r="Y1149" s="2">
        <v>45768</v>
      </c>
      <c r="Z1149" s="3" t="s">
        <v>70</v>
      </c>
      <c r="AA1149" t="s">
        <v>39</v>
      </c>
      <c r="AB1149" t="s">
        <v>40</v>
      </c>
      <c r="AC1149" t="s">
        <v>40</v>
      </c>
      <c r="AD1149" t="s">
        <v>184</v>
      </c>
    </row>
    <row r="1150" spans="2:30">
      <c r="B1150">
        <v>3</v>
      </c>
      <c r="C1150">
        <v>1020</v>
      </c>
      <c r="D1150" t="s">
        <v>181</v>
      </c>
      <c r="E1150">
        <v>14349272</v>
      </c>
      <c r="F1150" t="s">
        <v>1246</v>
      </c>
      <c r="G1150" t="s">
        <v>31</v>
      </c>
      <c r="H1150" t="s">
        <v>44</v>
      </c>
      <c r="I1150" t="s">
        <v>183</v>
      </c>
      <c r="J1150" t="s">
        <v>45</v>
      </c>
      <c r="K1150" t="s">
        <v>35</v>
      </c>
      <c r="L1150" t="s">
        <v>36</v>
      </c>
      <c r="M1150" t="s">
        <v>46</v>
      </c>
      <c r="N1150" s="8">
        <v>1500</v>
      </c>
      <c r="O1150">
        <v>800</v>
      </c>
      <c r="P1150">
        <v>300</v>
      </c>
      <c r="Q1150">
        <v>300</v>
      </c>
      <c r="R1150" s="4">
        <v>1071.5999999999999</v>
      </c>
      <c r="S1150" t="str">
        <f t="shared" si="85"/>
        <v>PX: Baja Crit.</v>
      </c>
      <c r="T1150">
        <f t="shared" si="86"/>
        <v>0</v>
      </c>
      <c r="U1150">
        <f t="shared" si="87"/>
        <v>1</v>
      </c>
      <c r="V1150">
        <f t="shared" si="88"/>
        <v>0</v>
      </c>
      <c r="W1150">
        <f t="shared" si="89"/>
        <v>0</v>
      </c>
      <c r="X1150">
        <v>1</v>
      </c>
      <c r="Y1150" s="2">
        <v>45768</v>
      </c>
      <c r="Z1150" s="3" t="s">
        <v>47</v>
      </c>
      <c r="AA1150" t="s">
        <v>39</v>
      </c>
      <c r="AB1150" t="s">
        <v>49</v>
      </c>
      <c r="AC1150" s="5" t="s">
        <v>50</v>
      </c>
      <c r="AD1150" t="s">
        <v>184</v>
      </c>
    </row>
    <row r="1151" spans="2:30">
      <c r="B1151">
        <v>2</v>
      </c>
      <c r="C1151">
        <v>1020</v>
      </c>
      <c r="D1151" t="s">
        <v>388</v>
      </c>
      <c r="E1151">
        <v>10009143</v>
      </c>
      <c r="F1151" t="s">
        <v>1247</v>
      </c>
      <c r="G1151" t="s">
        <v>43</v>
      </c>
      <c r="H1151" t="s">
        <v>32</v>
      </c>
      <c r="I1151" t="s">
        <v>390</v>
      </c>
      <c r="J1151" t="s">
        <v>45</v>
      </c>
      <c r="K1151" t="s">
        <v>35</v>
      </c>
      <c r="L1151" t="s">
        <v>175</v>
      </c>
      <c r="M1151" t="s">
        <v>69</v>
      </c>
      <c r="N1151">
        <v>0</v>
      </c>
      <c r="O1151">
        <v>0</v>
      </c>
      <c r="P1151">
        <v>7</v>
      </c>
      <c r="Q1151">
        <v>7</v>
      </c>
      <c r="R1151" s="4">
        <v>1590.09</v>
      </c>
      <c r="S1151" t="str">
        <f t="shared" si="85"/>
        <v>PY: Media Crit.</v>
      </c>
      <c r="T1151">
        <f t="shared" si="86"/>
        <v>0</v>
      </c>
      <c r="U1151">
        <f t="shared" si="87"/>
        <v>1</v>
      </c>
      <c r="V1151">
        <f t="shared" si="88"/>
        <v>0</v>
      </c>
      <c r="W1151">
        <f t="shared" si="89"/>
        <v>1</v>
      </c>
      <c r="X1151">
        <v>1</v>
      </c>
      <c r="Y1151" s="2">
        <v>45768</v>
      </c>
      <c r="Z1151" s="3" t="s">
        <v>70</v>
      </c>
      <c r="AA1151" t="s">
        <v>39</v>
      </c>
      <c r="AB1151" t="s">
        <v>40</v>
      </c>
      <c r="AC1151" t="s">
        <v>40</v>
      </c>
      <c r="AD1151" t="s">
        <v>391</v>
      </c>
    </row>
    <row r="1152" spans="2:30">
      <c r="B1152">
        <v>2</v>
      </c>
      <c r="C1152">
        <v>1020</v>
      </c>
      <c r="D1152" t="s">
        <v>181</v>
      </c>
      <c r="E1152">
        <v>10019325</v>
      </c>
      <c r="F1152" t="s">
        <v>1248</v>
      </c>
      <c r="G1152" t="s">
        <v>43</v>
      </c>
      <c r="H1152" t="s">
        <v>32</v>
      </c>
      <c r="I1152" t="s">
        <v>183</v>
      </c>
      <c r="J1152" t="s">
        <v>45</v>
      </c>
      <c r="K1152" t="s">
        <v>35</v>
      </c>
      <c r="L1152" t="s">
        <v>36</v>
      </c>
      <c r="M1152" t="s">
        <v>55</v>
      </c>
      <c r="N1152">
        <v>80</v>
      </c>
      <c r="O1152">
        <v>41</v>
      </c>
      <c r="P1152">
        <v>10</v>
      </c>
      <c r="Q1152">
        <v>56</v>
      </c>
      <c r="R1152">
        <v>46.61</v>
      </c>
      <c r="S1152" t="str">
        <f t="shared" si="85"/>
        <v>PY: Media Crit.</v>
      </c>
      <c r="T1152">
        <f t="shared" si="86"/>
        <v>0</v>
      </c>
      <c r="U1152">
        <f t="shared" si="87"/>
        <v>0</v>
      </c>
      <c r="V1152">
        <f t="shared" si="88"/>
        <v>1</v>
      </c>
      <c r="W1152">
        <f t="shared" si="89"/>
        <v>0</v>
      </c>
      <c r="X1152">
        <v>1</v>
      </c>
      <c r="Y1152" s="2">
        <v>45768</v>
      </c>
      <c r="Z1152" s="3" t="s">
        <v>56</v>
      </c>
      <c r="AA1152" t="s">
        <v>39</v>
      </c>
      <c r="AB1152" t="s">
        <v>40</v>
      </c>
      <c r="AC1152" t="s">
        <v>40</v>
      </c>
      <c r="AD1152" t="s">
        <v>184</v>
      </c>
    </row>
    <row r="1153" spans="2:30">
      <c r="B1153">
        <v>2</v>
      </c>
      <c r="C1153">
        <v>1020</v>
      </c>
      <c r="D1153" t="s">
        <v>181</v>
      </c>
      <c r="E1153">
        <v>10022239</v>
      </c>
      <c r="F1153" t="s">
        <v>1249</v>
      </c>
      <c r="G1153" t="s">
        <v>52</v>
      </c>
      <c r="H1153" t="s">
        <v>32</v>
      </c>
      <c r="I1153" t="s">
        <v>183</v>
      </c>
      <c r="J1153" t="s">
        <v>45</v>
      </c>
      <c r="K1153" t="s">
        <v>35</v>
      </c>
      <c r="L1153" t="s">
        <v>36</v>
      </c>
      <c r="M1153" t="s">
        <v>46</v>
      </c>
      <c r="N1153">
        <v>6</v>
      </c>
      <c r="O1153">
        <v>4</v>
      </c>
      <c r="P1153">
        <v>2</v>
      </c>
      <c r="Q1153">
        <v>6</v>
      </c>
      <c r="R1153">
        <v>360.4</v>
      </c>
      <c r="S1153" t="str">
        <f t="shared" si="85"/>
        <v>PZ: Alta Crit.</v>
      </c>
      <c r="T1153">
        <f t="shared" si="86"/>
        <v>0</v>
      </c>
      <c r="U1153">
        <f t="shared" si="87"/>
        <v>0</v>
      </c>
      <c r="V1153">
        <f t="shared" si="88"/>
        <v>1</v>
      </c>
      <c r="W1153">
        <f t="shared" si="89"/>
        <v>0</v>
      </c>
      <c r="X1153">
        <v>1</v>
      </c>
      <c r="Y1153" s="2">
        <v>45768</v>
      </c>
      <c r="Z1153" s="3" t="s">
        <v>47</v>
      </c>
      <c r="AA1153" t="s">
        <v>39</v>
      </c>
      <c r="AB1153" t="s">
        <v>40</v>
      </c>
      <c r="AC1153" t="s">
        <v>40</v>
      </c>
      <c r="AD1153" t="s">
        <v>184</v>
      </c>
    </row>
    <row r="1154" spans="2:30">
      <c r="B1154">
        <v>2</v>
      </c>
      <c r="C1154">
        <v>1020</v>
      </c>
      <c r="D1154" t="s">
        <v>181</v>
      </c>
      <c r="E1154">
        <v>10033971</v>
      </c>
      <c r="F1154" t="s">
        <v>1250</v>
      </c>
      <c r="G1154" t="s">
        <v>43</v>
      </c>
      <c r="H1154" t="s">
        <v>32</v>
      </c>
      <c r="I1154" t="s">
        <v>183</v>
      </c>
      <c r="J1154" t="s">
        <v>45</v>
      </c>
      <c r="K1154" t="s">
        <v>260</v>
      </c>
      <c r="L1154" t="s">
        <v>36</v>
      </c>
      <c r="M1154" t="s">
        <v>37</v>
      </c>
      <c r="N1154">
        <v>4</v>
      </c>
      <c r="O1154">
        <v>3</v>
      </c>
      <c r="P1154">
        <v>1</v>
      </c>
      <c r="Q1154">
        <v>4</v>
      </c>
      <c r="R1154" s="4">
        <v>2948.72</v>
      </c>
      <c r="S1154" t="str">
        <f t="shared" ref="S1154:S1217" si="90">+IF(G1154="PZ", "PZ: Alta Crit.",IF(G1154="PY","PY: Media Crit.", "PX: Baja Crit."))</f>
        <v>PY: Media Crit.</v>
      </c>
      <c r="T1154">
        <f t="shared" ref="T1154:T1217" si="91">+IF(Q1154=0,1,0)</f>
        <v>0</v>
      </c>
      <c r="U1154">
        <f t="shared" ref="U1154:U1217" si="92">+IF(AND(Q1154&lt;=P1154,Q1154&gt;0),1,0)</f>
        <v>0</v>
      </c>
      <c r="V1154">
        <f t="shared" ref="V1154:V1217" si="93">+IF(AND(Q1154&gt;P1154,Q1154&lt;=N1154),1,0)</f>
        <v>1</v>
      </c>
      <c r="W1154">
        <f t="shared" ref="W1154:W1217" si="94">+IF(Q1154&gt;N1154,1,0)</f>
        <v>0</v>
      </c>
      <c r="X1154">
        <v>1</v>
      </c>
      <c r="Y1154" s="2">
        <v>45768</v>
      </c>
      <c r="Z1154" s="3" t="s">
        <v>38</v>
      </c>
      <c r="AA1154" t="s">
        <v>39</v>
      </c>
      <c r="AB1154" t="s">
        <v>40</v>
      </c>
      <c r="AC1154" t="s">
        <v>40</v>
      </c>
      <c r="AD1154" t="s">
        <v>184</v>
      </c>
    </row>
    <row r="1155" spans="2:30">
      <c r="B1155">
        <v>2</v>
      </c>
      <c r="C1155">
        <v>1020</v>
      </c>
      <c r="D1155" t="s">
        <v>693</v>
      </c>
      <c r="E1155">
        <v>10040376</v>
      </c>
      <c r="F1155" t="s">
        <v>1251</v>
      </c>
      <c r="G1155" t="s">
        <v>52</v>
      </c>
      <c r="H1155" t="s">
        <v>32</v>
      </c>
      <c r="I1155" t="s">
        <v>695</v>
      </c>
      <c r="J1155" t="s">
        <v>45</v>
      </c>
      <c r="K1155" t="s">
        <v>35</v>
      </c>
      <c r="L1155" t="s">
        <v>175</v>
      </c>
      <c r="M1155" t="s">
        <v>46</v>
      </c>
      <c r="N1155">
        <v>0</v>
      </c>
      <c r="O1155">
        <v>0</v>
      </c>
      <c r="P1155">
        <v>0</v>
      </c>
      <c r="Q1155">
        <v>0</v>
      </c>
      <c r="R1155">
        <v>0</v>
      </c>
      <c r="S1155" t="str">
        <f t="shared" si="90"/>
        <v>PZ: Alta Crit.</v>
      </c>
      <c r="T1155">
        <f t="shared" si="91"/>
        <v>1</v>
      </c>
      <c r="U1155">
        <f t="shared" si="92"/>
        <v>0</v>
      </c>
      <c r="V1155">
        <f t="shared" si="93"/>
        <v>0</v>
      </c>
      <c r="W1155">
        <f t="shared" si="94"/>
        <v>0</v>
      </c>
      <c r="X1155">
        <v>1</v>
      </c>
      <c r="Y1155" s="2">
        <v>45768</v>
      </c>
      <c r="Z1155" s="3" t="s">
        <v>47</v>
      </c>
      <c r="AA1155" t="s">
        <v>39</v>
      </c>
      <c r="AB1155" t="s">
        <v>40</v>
      </c>
      <c r="AC1155" t="s">
        <v>40</v>
      </c>
      <c r="AD1155" t="s">
        <v>696</v>
      </c>
    </row>
    <row r="1156" spans="2:30">
      <c r="B1156">
        <v>2</v>
      </c>
      <c r="C1156">
        <v>1020</v>
      </c>
      <c r="D1156" t="s">
        <v>693</v>
      </c>
      <c r="E1156">
        <v>10040425</v>
      </c>
      <c r="F1156" t="s">
        <v>1252</v>
      </c>
      <c r="G1156" t="s">
        <v>52</v>
      </c>
      <c r="H1156" t="s">
        <v>32</v>
      </c>
      <c r="I1156" t="s">
        <v>695</v>
      </c>
      <c r="J1156" t="s">
        <v>45</v>
      </c>
      <c r="K1156" t="s">
        <v>35</v>
      </c>
      <c r="L1156" t="s">
        <v>175</v>
      </c>
      <c r="M1156" t="s">
        <v>88</v>
      </c>
      <c r="N1156">
        <v>0</v>
      </c>
      <c r="O1156">
        <v>0</v>
      </c>
      <c r="P1156">
        <v>0</v>
      </c>
      <c r="Q1156">
        <v>0</v>
      </c>
      <c r="R1156">
        <v>0</v>
      </c>
      <c r="S1156" t="str">
        <f t="shared" si="90"/>
        <v>PZ: Alta Crit.</v>
      </c>
      <c r="T1156">
        <f t="shared" si="91"/>
        <v>1</v>
      </c>
      <c r="U1156">
        <f t="shared" si="92"/>
        <v>0</v>
      </c>
      <c r="V1156">
        <f t="shared" si="93"/>
        <v>0</v>
      </c>
      <c r="W1156">
        <f t="shared" si="94"/>
        <v>0</v>
      </c>
      <c r="X1156">
        <v>1</v>
      </c>
      <c r="Y1156" s="2">
        <v>45768</v>
      </c>
      <c r="Z1156" s="3" t="s">
        <v>89</v>
      </c>
      <c r="AA1156" t="s">
        <v>39</v>
      </c>
      <c r="AB1156" t="s">
        <v>40</v>
      </c>
      <c r="AC1156" t="s">
        <v>40</v>
      </c>
      <c r="AD1156" t="s">
        <v>696</v>
      </c>
    </row>
    <row r="1157" spans="2:30">
      <c r="B1157">
        <v>2</v>
      </c>
      <c r="C1157">
        <v>1020</v>
      </c>
      <c r="D1157" t="s">
        <v>388</v>
      </c>
      <c r="E1157">
        <v>10040503</v>
      </c>
      <c r="F1157" t="s">
        <v>1253</v>
      </c>
      <c r="G1157" t="s">
        <v>31</v>
      </c>
      <c r="H1157" t="s">
        <v>32</v>
      </c>
      <c r="I1157" t="s">
        <v>390</v>
      </c>
      <c r="J1157" t="s">
        <v>45</v>
      </c>
      <c r="K1157" t="s">
        <v>35</v>
      </c>
      <c r="L1157" t="s">
        <v>175</v>
      </c>
      <c r="M1157" t="s">
        <v>117</v>
      </c>
      <c r="N1157">
        <v>0</v>
      </c>
      <c r="O1157">
        <v>0</v>
      </c>
      <c r="P1157">
        <v>1</v>
      </c>
      <c r="Q1157">
        <v>2</v>
      </c>
      <c r="R1157" s="4">
        <v>52867.9</v>
      </c>
      <c r="S1157" t="str">
        <f t="shared" si="90"/>
        <v>PX: Baja Crit.</v>
      </c>
      <c r="T1157">
        <f t="shared" si="91"/>
        <v>0</v>
      </c>
      <c r="U1157">
        <f t="shared" si="92"/>
        <v>0</v>
      </c>
      <c r="V1157">
        <f t="shared" si="93"/>
        <v>0</v>
      </c>
      <c r="W1157">
        <f t="shared" si="94"/>
        <v>1</v>
      </c>
      <c r="X1157">
        <v>1</v>
      </c>
      <c r="Y1157" s="2">
        <v>45768</v>
      </c>
      <c r="Z1157" s="3" t="s">
        <v>118</v>
      </c>
      <c r="AA1157" t="s">
        <v>39</v>
      </c>
      <c r="AB1157" t="s">
        <v>40</v>
      </c>
      <c r="AC1157" t="s">
        <v>40</v>
      </c>
      <c r="AD1157" t="s">
        <v>391</v>
      </c>
    </row>
    <row r="1158" spans="2:30">
      <c r="B1158">
        <v>2</v>
      </c>
      <c r="C1158">
        <v>1020</v>
      </c>
      <c r="D1158" t="s">
        <v>181</v>
      </c>
      <c r="E1158">
        <v>10040979</v>
      </c>
      <c r="F1158" t="s">
        <v>1254</v>
      </c>
      <c r="G1158" t="s">
        <v>43</v>
      </c>
      <c r="H1158" t="s">
        <v>32</v>
      </c>
      <c r="I1158" t="s">
        <v>183</v>
      </c>
      <c r="J1158" t="s">
        <v>45</v>
      </c>
      <c r="K1158" t="s">
        <v>35</v>
      </c>
      <c r="L1158" t="s">
        <v>36</v>
      </c>
      <c r="M1158" t="s">
        <v>69</v>
      </c>
      <c r="N1158">
        <v>5</v>
      </c>
      <c r="O1158">
        <v>3</v>
      </c>
      <c r="P1158">
        <v>1</v>
      </c>
      <c r="Q1158">
        <v>5</v>
      </c>
      <c r="R1158">
        <v>793.82</v>
      </c>
      <c r="S1158" t="str">
        <f t="shared" si="90"/>
        <v>PY: Media Crit.</v>
      </c>
      <c r="T1158">
        <f t="shared" si="91"/>
        <v>0</v>
      </c>
      <c r="U1158">
        <f t="shared" si="92"/>
        <v>0</v>
      </c>
      <c r="V1158">
        <f t="shared" si="93"/>
        <v>1</v>
      </c>
      <c r="W1158">
        <f t="shared" si="94"/>
        <v>0</v>
      </c>
      <c r="X1158">
        <v>1</v>
      </c>
      <c r="Y1158" s="2">
        <v>45768</v>
      </c>
      <c r="Z1158" s="3" t="s">
        <v>70</v>
      </c>
      <c r="AA1158" t="s">
        <v>39</v>
      </c>
      <c r="AB1158" t="s">
        <v>40</v>
      </c>
      <c r="AC1158" t="s">
        <v>40</v>
      </c>
      <c r="AD1158" t="s">
        <v>184</v>
      </c>
    </row>
    <row r="1159" spans="2:30">
      <c r="B1159">
        <v>2</v>
      </c>
      <c r="C1159">
        <v>1020</v>
      </c>
      <c r="D1159" t="s">
        <v>181</v>
      </c>
      <c r="E1159">
        <v>10041029</v>
      </c>
      <c r="F1159" t="s">
        <v>1255</v>
      </c>
      <c r="G1159" t="s">
        <v>43</v>
      </c>
      <c r="H1159" t="s">
        <v>32</v>
      </c>
      <c r="I1159" t="s">
        <v>183</v>
      </c>
      <c r="J1159" t="s">
        <v>45</v>
      </c>
      <c r="K1159" t="s">
        <v>35</v>
      </c>
      <c r="L1159" t="s">
        <v>36</v>
      </c>
      <c r="M1159" t="s">
        <v>69</v>
      </c>
      <c r="N1159">
        <v>7</v>
      </c>
      <c r="O1159">
        <v>5</v>
      </c>
      <c r="P1159">
        <v>3</v>
      </c>
      <c r="Q1159">
        <v>3</v>
      </c>
      <c r="R1159" s="4">
        <v>1540.79</v>
      </c>
      <c r="S1159" t="str">
        <f t="shared" si="90"/>
        <v>PY: Media Crit.</v>
      </c>
      <c r="T1159">
        <f t="shared" si="91"/>
        <v>0</v>
      </c>
      <c r="U1159">
        <f t="shared" si="92"/>
        <v>1</v>
      </c>
      <c r="V1159">
        <f t="shared" si="93"/>
        <v>0</v>
      </c>
      <c r="W1159">
        <f t="shared" si="94"/>
        <v>0</v>
      </c>
      <c r="X1159">
        <v>1</v>
      </c>
      <c r="Y1159" s="2">
        <v>45768</v>
      </c>
      <c r="Z1159" s="3" t="s">
        <v>70</v>
      </c>
      <c r="AA1159" t="s">
        <v>39</v>
      </c>
      <c r="AB1159" t="s">
        <v>49</v>
      </c>
      <c r="AC1159" s="5" t="s">
        <v>50</v>
      </c>
      <c r="AD1159" t="s">
        <v>184</v>
      </c>
    </row>
    <row r="1160" spans="2:30">
      <c r="B1160">
        <v>2</v>
      </c>
      <c r="C1160">
        <v>1020</v>
      </c>
      <c r="D1160" t="s">
        <v>388</v>
      </c>
      <c r="E1160">
        <v>10041131</v>
      </c>
      <c r="F1160" t="s">
        <v>1256</v>
      </c>
      <c r="G1160" t="s">
        <v>52</v>
      </c>
      <c r="H1160" t="s">
        <v>44</v>
      </c>
      <c r="I1160" t="s">
        <v>390</v>
      </c>
      <c r="J1160" t="s">
        <v>45</v>
      </c>
      <c r="K1160" t="s">
        <v>252</v>
      </c>
      <c r="L1160" t="s">
        <v>175</v>
      </c>
      <c r="M1160" t="s">
        <v>37</v>
      </c>
      <c r="N1160">
        <v>0</v>
      </c>
      <c r="O1160">
        <v>0</v>
      </c>
      <c r="P1160">
        <v>340</v>
      </c>
      <c r="Q1160">
        <v>340</v>
      </c>
      <c r="R1160" s="4">
        <v>4516.32</v>
      </c>
      <c r="S1160" t="str">
        <f t="shared" si="90"/>
        <v>PZ: Alta Crit.</v>
      </c>
      <c r="T1160">
        <f t="shared" si="91"/>
        <v>0</v>
      </c>
      <c r="U1160">
        <f t="shared" si="92"/>
        <v>1</v>
      </c>
      <c r="V1160">
        <f t="shared" si="93"/>
        <v>0</v>
      </c>
      <c r="W1160">
        <f t="shared" si="94"/>
        <v>1</v>
      </c>
      <c r="X1160">
        <v>1</v>
      </c>
      <c r="Y1160" s="2">
        <v>45768</v>
      </c>
      <c r="Z1160" s="3" t="s">
        <v>38</v>
      </c>
      <c r="AA1160" t="s">
        <v>39</v>
      </c>
      <c r="AB1160" t="s">
        <v>40</v>
      </c>
      <c r="AC1160" t="s">
        <v>40</v>
      </c>
      <c r="AD1160" t="s">
        <v>391</v>
      </c>
    </row>
    <row r="1161" spans="2:30">
      <c r="B1161">
        <v>2</v>
      </c>
      <c r="C1161">
        <v>1020</v>
      </c>
      <c r="D1161" t="s">
        <v>181</v>
      </c>
      <c r="E1161">
        <v>10041143</v>
      </c>
      <c r="F1161" t="s">
        <v>1257</v>
      </c>
      <c r="G1161" t="s">
        <v>52</v>
      </c>
      <c r="H1161" t="s">
        <v>60</v>
      </c>
      <c r="I1161" t="s">
        <v>183</v>
      </c>
      <c r="J1161" t="s">
        <v>45</v>
      </c>
      <c r="K1161" t="s">
        <v>252</v>
      </c>
      <c r="L1161" t="s">
        <v>36</v>
      </c>
      <c r="M1161" t="s">
        <v>37</v>
      </c>
      <c r="N1161">
        <v>162</v>
      </c>
      <c r="O1161">
        <v>82</v>
      </c>
      <c r="P1161">
        <v>81</v>
      </c>
      <c r="Q1161">
        <v>324</v>
      </c>
      <c r="R1161" s="4">
        <v>9001.65</v>
      </c>
      <c r="S1161" t="str">
        <f t="shared" si="90"/>
        <v>PZ: Alta Crit.</v>
      </c>
      <c r="T1161">
        <f t="shared" si="91"/>
        <v>0</v>
      </c>
      <c r="U1161">
        <f t="shared" si="92"/>
        <v>0</v>
      </c>
      <c r="V1161">
        <f t="shared" si="93"/>
        <v>0</v>
      </c>
      <c r="W1161">
        <f t="shared" si="94"/>
        <v>1</v>
      </c>
      <c r="X1161">
        <v>1</v>
      </c>
      <c r="Y1161" s="2">
        <v>45768</v>
      </c>
      <c r="Z1161" s="3" t="s">
        <v>38</v>
      </c>
      <c r="AA1161" t="s">
        <v>39</v>
      </c>
      <c r="AB1161" t="s">
        <v>40</v>
      </c>
      <c r="AC1161" t="s">
        <v>40</v>
      </c>
      <c r="AD1161" t="s">
        <v>184</v>
      </c>
    </row>
    <row r="1162" spans="2:30">
      <c r="B1162">
        <v>2</v>
      </c>
      <c r="C1162">
        <v>1020</v>
      </c>
      <c r="D1162" t="s">
        <v>181</v>
      </c>
      <c r="E1162">
        <v>10041211</v>
      </c>
      <c r="F1162" t="s">
        <v>1258</v>
      </c>
      <c r="G1162" t="s">
        <v>43</v>
      </c>
      <c r="H1162" t="s">
        <v>32</v>
      </c>
      <c r="I1162" t="s">
        <v>183</v>
      </c>
      <c r="J1162" t="s">
        <v>45</v>
      </c>
      <c r="K1162" t="s">
        <v>252</v>
      </c>
      <c r="L1162" t="s">
        <v>36</v>
      </c>
      <c r="M1162" t="s">
        <v>69</v>
      </c>
      <c r="N1162">
        <v>200</v>
      </c>
      <c r="O1162">
        <v>176</v>
      </c>
      <c r="P1162">
        <v>100</v>
      </c>
      <c r="Q1162">
        <v>200</v>
      </c>
      <c r="R1162" s="4">
        <v>4795.3599999999997</v>
      </c>
      <c r="S1162" t="str">
        <f t="shared" si="90"/>
        <v>PY: Media Crit.</v>
      </c>
      <c r="T1162">
        <f t="shared" si="91"/>
        <v>0</v>
      </c>
      <c r="U1162">
        <f t="shared" si="92"/>
        <v>0</v>
      </c>
      <c r="V1162">
        <f t="shared" si="93"/>
        <v>1</v>
      </c>
      <c r="W1162">
        <f t="shared" si="94"/>
        <v>0</v>
      </c>
      <c r="X1162">
        <v>1</v>
      </c>
      <c r="Y1162" s="2">
        <v>45768</v>
      </c>
      <c r="Z1162" s="3" t="s">
        <v>70</v>
      </c>
      <c r="AA1162" t="s">
        <v>39</v>
      </c>
      <c r="AB1162" t="s">
        <v>40</v>
      </c>
      <c r="AC1162" t="s">
        <v>40</v>
      </c>
      <c r="AD1162" t="s">
        <v>184</v>
      </c>
    </row>
    <row r="1163" spans="2:30">
      <c r="B1163">
        <v>2</v>
      </c>
      <c r="C1163">
        <v>1020</v>
      </c>
      <c r="D1163" t="s">
        <v>181</v>
      </c>
      <c r="E1163">
        <v>10041237</v>
      </c>
      <c r="F1163" t="s">
        <v>1259</v>
      </c>
      <c r="G1163" t="s">
        <v>43</v>
      </c>
      <c r="H1163" t="s">
        <v>32</v>
      </c>
      <c r="I1163" t="s">
        <v>183</v>
      </c>
      <c r="J1163" t="s">
        <v>45</v>
      </c>
      <c r="K1163" t="s">
        <v>252</v>
      </c>
      <c r="L1163" t="s">
        <v>36</v>
      </c>
      <c r="M1163" t="s">
        <v>69</v>
      </c>
      <c r="N1163">
        <v>200</v>
      </c>
      <c r="O1163">
        <v>101</v>
      </c>
      <c r="P1163">
        <v>50</v>
      </c>
      <c r="Q1163">
        <v>200</v>
      </c>
      <c r="R1163">
        <v>439.56</v>
      </c>
      <c r="S1163" t="str">
        <f t="shared" si="90"/>
        <v>PY: Media Crit.</v>
      </c>
      <c r="T1163">
        <f t="shared" si="91"/>
        <v>0</v>
      </c>
      <c r="U1163">
        <f t="shared" si="92"/>
        <v>0</v>
      </c>
      <c r="V1163">
        <f t="shared" si="93"/>
        <v>1</v>
      </c>
      <c r="W1163">
        <f t="shared" si="94"/>
        <v>0</v>
      </c>
      <c r="X1163">
        <v>1</v>
      </c>
      <c r="Y1163" s="2">
        <v>45768</v>
      </c>
      <c r="Z1163" s="3" t="s">
        <v>70</v>
      </c>
      <c r="AA1163" t="s">
        <v>39</v>
      </c>
      <c r="AB1163" t="s">
        <v>40</v>
      </c>
      <c r="AC1163" t="s">
        <v>40</v>
      </c>
      <c r="AD1163" t="s">
        <v>184</v>
      </c>
    </row>
    <row r="1164" spans="2:30">
      <c r="B1164">
        <v>2</v>
      </c>
      <c r="C1164">
        <v>1020</v>
      </c>
      <c r="D1164" t="s">
        <v>181</v>
      </c>
      <c r="E1164">
        <v>10041267</v>
      </c>
      <c r="F1164" t="s">
        <v>1260</v>
      </c>
      <c r="G1164" t="s">
        <v>31</v>
      </c>
      <c r="H1164" t="s">
        <v>60</v>
      </c>
      <c r="I1164" t="s">
        <v>183</v>
      </c>
      <c r="J1164" t="s">
        <v>45</v>
      </c>
      <c r="K1164" t="s">
        <v>252</v>
      </c>
      <c r="L1164" t="s">
        <v>36</v>
      </c>
      <c r="M1164" t="s">
        <v>69</v>
      </c>
      <c r="N1164">
        <v>201</v>
      </c>
      <c r="O1164">
        <v>101</v>
      </c>
      <c r="P1164">
        <v>100</v>
      </c>
      <c r="Q1164">
        <v>400</v>
      </c>
      <c r="R1164" s="4">
        <v>2574.2399999999998</v>
      </c>
      <c r="S1164" t="str">
        <f t="shared" si="90"/>
        <v>PX: Baja Crit.</v>
      </c>
      <c r="T1164">
        <f t="shared" si="91"/>
        <v>0</v>
      </c>
      <c r="U1164">
        <f t="shared" si="92"/>
        <v>0</v>
      </c>
      <c r="V1164">
        <f t="shared" si="93"/>
        <v>0</v>
      </c>
      <c r="W1164">
        <f t="shared" si="94"/>
        <v>1</v>
      </c>
      <c r="X1164">
        <v>1</v>
      </c>
      <c r="Y1164" s="2">
        <v>45768</v>
      </c>
      <c r="Z1164" s="3" t="s">
        <v>70</v>
      </c>
      <c r="AA1164" t="s">
        <v>39</v>
      </c>
      <c r="AB1164" t="s">
        <v>40</v>
      </c>
      <c r="AC1164" t="s">
        <v>40</v>
      </c>
      <c r="AD1164" t="s">
        <v>184</v>
      </c>
    </row>
    <row r="1165" spans="2:30">
      <c r="B1165">
        <v>2</v>
      </c>
      <c r="C1165">
        <v>1020</v>
      </c>
      <c r="D1165" t="s">
        <v>181</v>
      </c>
      <c r="E1165">
        <v>10041410</v>
      </c>
      <c r="F1165" t="s">
        <v>1261</v>
      </c>
      <c r="G1165" t="s">
        <v>31</v>
      </c>
      <c r="H1165" t="s">
        <v>32</v>
      </c>
      <c r="I1165" t="s">
        <v>183</v>
      </c>
      <c r="J1165" t="s">
        <v>45</v>
      </c>
      <c r="K1165" t="s">
        <v>35</v>
      </c>
      <c r="L1165" t="s">
        <v>36</v>
      </c>
      <c r="M1165" t="s">
        <v>46</v>
      </c>
      <c r="N1165">
        <v>8</v>
      </c>
      <c r="O1165">
        <v>4</v>
      </c>
      <c r="P1165">
        <v>0</v>
      </c>
      <c r="Q1165">
        <v>75</v>
      </c>
      <c r="R1165" s="4">
        <v>1983.51</v>
      </c>
      <c r="S1165" t="str">
        <f t="shared" si="90"/>
        <v>PX: Baja Crit.</v>
      </c>
      <c r="T1165">
        <f t="shared" si="91"/>
        <v>0</v>
      </c>
      <c r="U1165">
        <f t="shared" si="92"/>
        <v>0</v>
      </c>
      <c r="V1165">
        <f t="shared" si="93"/>
        <v>0</v>
      </c>
      <c r="W1165">
        <f t="shared" si="94"/>
        <v>1</v>
      </c>
      <c r="X1165">
        <v>1</v>
      </c>
      <c r="Y1165" s="2">
        <v>45768</v>
      </c>
      <c r="Z1165" s="3" t="s">
        <v>47</v>
      </c>
      <c r="AA1165" t="s">
        <v>39</v>
      </c>
      <c r="AB1165" t="s">
        <v>40</v>
      </c>
      <c r="AC1165" t="s">
        <v>40</v>
      </c>
      <c r="AD1165" t="s">
        <v>184</v>
      </c>
    </row>
    <row r="1166" spans="2:30">
      <c r="B1166">
        <v>2</v>
      </c>
      <c r="C1166">
        <v>1020</v>
      </c>
      <c r="D1166" t="s">
        <v>181</v>
      </c>
      <c r="E1166">
        <v>10041539</v>
      </c>
      <c r="F1166" t="s">
        <v>1262</v>
      </c>
      <c r="G1166" t="s">
        <v>31</v>
      </c>
      <c r="H1166" t="s">
        <v>44</v>
      </c>
      <c r="I1166" t="s">
        <v>183</v>
      </c>
      <c r="J1166" t="s">
        <v>34</v>
      </c>
      <c r="K1166" t="s">
        <v>35</v>
      </c>
      <c r="L1166" t="s">
        <v>36</v>
      </c>
      <c r="M1166" t="s">
        <v>69</v>
      </c>
      <c r="N1166">
        <v>4</v>
      </c>
      <c r="O1166">
        <v>3</v>
      </c>
      <c r="P1166">
        <v>2</v>
      </c>
      <c r="Q1166">
        <v>4</v>
      </c>
      <c r="R1166" s="4">
        <v>10680.78</v>
      </c>
      <c r="S1166" t="str">
        <f t="shared" si="90"/>
        <v>PX: Baja Crit.</v>
      </c>
      <c r="T1166">
        <f t="shared" si="91"/>
        <v>0</v>
      </c>
      <c r="U1166">
        <f t="shared" si="92"/>
        <v>0</v>
      </c>
      <c r="V1166">
        <f t="shared" si="93"/>
        <v>1</v>
      </c>
      <c r="W1166">
        <f t="shared" si="94"/>
        <v>0</v>
      </c>
      <c r="X1166">
        <v>1</v>
      </c>
      <c r="Y1166" s="2">
        <v>45768</v>
      </c>
      <c r="Z1166" s="3" t="s">
        <v>70</v>
      </c>
      <c r="AA1166" t="s">
        <v>39</v>
      </c>
      <c r="AB1166" t="s">
        <v>40</v>
      </c>
      <c r="AC1166" t="s">
        <v>40</v>
      </c>
      <c r="AD1166" t="s">
        <v>184</v>
      </c>
    </row>
    <row r="1167" spans="2:30">
      <c r="B1167">
        <v>2</v>
      </c>
      <c r="C1167">
        <v>1020</v>
      </c>
      <c r="D1167" t="s">
        <v>172</v>
      </c>
      <c r="E1167">
        <v>10041678</v>
      </c>
      <c r="F1167" t="s">
        <v>1263</v>
      </c>
      <c r="G1167" t="s">
        <v>52</v>
      </c>
      <c r="H1167" t="s">
        <v>32</v>
      </c>
      <c r="I1167" t="s">
        <v>584</v>
      </c>
      <c r="J1167" t="s">
        <v>45</v>
      </c>
      <c r="K1167" t="s">
        <v>35</v>
      </c>
      <c r="L1167" t="s">
        <v>175</v>
      </c>
      <c r="M1167" t="s">
        <v>117</v>
      </c>
      <c r="N1167">
        <v>0</v>
      </c>
      <c r="O1167">
        <v>0</v>
      </c>
      <c r="P1167">
        <v>0</v>
      </c>
      <c r="Q1167">
        <v>7</v>
      </c>
      <c r="R1167" s="4">
        <v>157768.20000000001</v>
      </c>
      <c r="S1167" t="str">
        <f t="shared" si="90"/>
        <v>PZ: Alta Crit.</v>
      </c>
      <c r="T1167">
        <f t="shared" si="91"/>
        <v>0</v>
      </c>
      <c r="U1167">
        <f t="shared" si="92"/>
        <v>0</v>
      </c>
      <c r="V1167">
        <f t="shared" si="93"/>
        <v>0</v>
      </c>
      <c r="W1167">
        <f t="shared" si="94"/>
        <v>1</v>
      </c>
      <c r="X1167">
        <v>1</v>
      </c>
      <c r="Y1167" s="2">
        <v>45768</v>
      </c>
      <c r="Z1167" s="3" t="s">
        <v>118</v>
      </c>
      <c r="AA1167" t="s">
        <v>39</v>
      </c>
      <c r="AB1167" t="s">
        <v>40</v>
      </c>
      <c r="AC1167" t="s">
        <v>40</v>
      </c>
      <c r="AD1167" t="s">
        <v>585</v>
      </c>
    </row>
    <row r="1168" spans="2:30">
      <c r="B1168">
        <v>2</v>
      </c>
      <c r="C1168">
        <v>1020</v>
      </c>
      <c r="D1168" t="s">
        <v>181</v>
      </c>
      <c r="E1168">
        <v>10041852</v>
      </c>
      <c r="F1168" t="s">
        <v>1264</v>
      </c>
      <c r="G1168" t="s">
        <v>52</v>
      </c>
      <c r="H1168" t="s">
        <v>32</v>
      </c>
      <c r="I1168" t="s">
        <v>183</v>
      </c>
      <c r="J1168" t="s">
        <v>45</v>
      </c>
      <c r="K1168" t="s">
        <v>35</v>
      </c>
      <c r="L1168" t="s">
        <v>36</v>
      </c>
      <c r="M1168" t="s">
        <v>37</v>
      </c>
      <c r="N1168">
        <v>12</v>
      </c>
      <c r="O1168">
        <v>6</v>
      </c>
      <c r="P1168">
        <v>3</v>
      </c>
      <c r="Q1168">
        <v>6</v>
      </c>
      <c r="R1168">
        <v>580.88</v>
      </c>
      <c r="S1168" t="str">
        <f t="shared" si="90"/>
        <v>PZ: Alta Crit.</v>
      </c>
      <c r="T1168">
        <f t="shared" si="91"/>
        <v>0</v>
      </c>
      <c r="U1168">
        <f t="shared" si="92"/>
        <v>0</v>
      </c>
      <c r="V1168">
        <f t="shared" si="93"/>
        <v>1</v>
      </c>
      <c r="W1168">
        <f t="shared" si="94"/>
        <v>0</v>
      </c>
      <c r="X1168">
        <v>1</v>
      </c>
      <c r="Y1168" s="2">
        <v>45768</v>
      </c>
      <c r="Z1168" s="3" t="s">
        <v>38</v>
      </c>
      <c r="AA1168" t="s">
        <v>39</v>
      </c>
      <c r="AB1168" t="s">
        <v>40</v>
      </c>
      <c r="AC1168" t="s">
        <v>40</v>
      </c>
      <c r="AD1168" t="s">
        <v>184</v>
      </c>
    </row>
    <row r="1169" spans="2:30">
      <c r="B1169">
        <v>2</v>
      </c>
      <c r="C1169">
        <v>1020</v>
      </c>
      <c r="D1169" t="s">
        <v>181</v>
      </c>
      <c r="E1169">
        <v>10041976</v>
      </c>
      <c r="F1169" t="s">
        <v>1265</v>
      </c>
      <c r="G1169" t="s">
        <v>31</v>
      </c>
      <c r="H1169" t="s">
        <v>32</v>
      </c>
      <c r="I1169" t="s">
        <v>183</v>
      </c>
      <c r="J1169" t="s">
        <v>45</v>
      </c>
      <c r="K1169" t="s">
        <v>35</v>
      </c>
      <c r="L1169" t="s">
        <v>36</v>
      </c>
      <c r="M1169" t="s">
        <v>117</v>
      </c>
      <c r="N1169">
        <v>3</v>
      </c>
      <c r="O1169">
        <v>2</v>
      </c>
      <c r="P1169">
        <v>0</v>
      </c>
      <c r="Q1169">
        <v>3</v>
      </c>
      <c r="R1169" s="4">
        <v>3562.96</v>
      </c>
      <c r="S1169" t="str">
        <f t="shared" si="90"/>
        <v>PX: Baja Crit.</v>
      </c>
      <c r="T1169">
        <f t="shared" si="91"/>
        <v>0</v>
      </c>
      <c r="U1169">
        <f t="shared" si="92"/>
        <v>0</v>
      </c>
      <c r="V1169">
        <f t="shared" si="93"/>
        <v>1</v>
      </c>
      <c r="W1169">
        <f t="shared" si="94"/>
        <v>0</v>
      </c>
      <c r="X1169">
        <v>1</v>
      </c>
      <c r="Y1169" s="2">
        <v>45768</v>
      </c>
      <c r="Z1169" s="3" t="s">
        <v>118</v>
      </c>
      <c r="AA1169" t="s">
        <v>39</v>
      </c>
      <c r="AB1169" t="s">
        <v>40</v>
      </c>
      <c r="AC1169" t="s">
        <v>40</v>
      </c>
      <c r="AD1169" t="s">
        <v>184</v>
      </c>
    </row>
    <row r="1170" spans="2:30">
      <c r="B1170">
        <v>2</v>
      </c>
      <c r="C1170">
        <v>1020</v>
      </c>
      <c r="D1170" t="s">
        <v>181</v>
      </c>
      <c r="E1170">
        <v>10042116</v>
      </c>
      <c r="F1170" t="s">
        <v>1266</v>
      </c>
      <c r="G1170" t="s">
        <v>31</v>
      </c>
      <c r="H1170" t="s">
        <v>60</v>
      </c>
      <c r="I1170" t="s">
        <v>183</v>
      </c>
      <c r="J1170" t="s">
        <v>34</v>
      </c>
      <c r="K1170" t="s">
        <v>35</v>
      </c>
      <c r="L1170" t="s">
        <v>36</v>
      </c>
      <c r="M1170" t="s">
        <v>117</v>
      </c>
      <c r="N1170">
        <v>4</v>
      </c>
      <c r="O1170">
        <v>3</v>
      </c>
      <c r="P1170">
        <v>1</v>
      </c>
      <c r="Q1170">
        <v>4</v>
      </c>
      <c r="R1170" s="4">
        <v>3026.92</v>
      </c>
      <c r="S1170" t="str">
        <f t="shared" si="90"/>
        <v>PX: Baja Crit.</v>
      </c>
      <c r="T1170">
        <f t="shared" si="91"/>
        <v>0</v>
      </c>
      <c r="U1170">
        <f t="shared" si="92"/>
        <v>0</v>
      </c>
      <c r="V1170">
        <f t="shared" si="93"/>
        <v>1</v>
      </c>
      <c r="W1170">
        <f t="shared" si="94"/>
        <v>0</v>
      </c>
      <c r="X1170">
        <v>1</v>
      </c>
      <c r="Y1170" s="2">
        <v>45768</v>
      </c>
      <c r="Z1170" s="3" t="s">
        <v>118</v>
      </c>
      <c r="AA1170" t="s">
        <v>39</v>
      </c>
      <c r="AB1170" t="s">
        <v>40</v>
      </c>
      <c r="AC1170" t="s">
        <v>40</v>
      </c>
      <c r="AD1170" t="s">
        <v>184</v>
      </c>
    </row>
    <row r="1171" spans="2:30">
      <c r="B1171">
        <v>2</v>
      </c>
      <c r="C1171">
        <v>1020</v>
      </c>
      <c r="D1171" t="s">
        <v>181</v>
      </c>
      <c r="E1171">
        <v>10042232</v>
      </c>
      <c r="F1171" t="s">
        <v>1267</v>
      </c>
      <c r="G1171" t="s">
        <v>31</v>
      </c>
      <c r="H1171" t="s">
        <v>32</v>
      </c>
      <c r="I1171" t="s">
        <v>183</v>
      </c>
      <c r="J1171" t="s">
        <v>45</v>
      </c>
      <c r="K1171" t="s">
        <v>35</v>
      </c>
      <c r="L1171" t="s">
        <v>36</v>
      </c>
      <c r="M1171" t="s">
        <v>117</v>
      </c>
      <c r="N1171">
        <v>2</v>
      </c>
      <c r="O1171">
        <v>1</v>
      </c>
      <c r="P1171">
        <v>0</v>
      </c>
      <c r="Q1171">
        <v>2</v>
      </c>
      <c r="R1171" s="4">
        <v>5145.87</v>
      </c>
      <c r="S1171" t="str">
        <f t="shared" si="90"/>
        <v>PX: Baja Crit.</v>
      </c>
      <c r="T1171">
        <f t="shared" si="91"/>
        <v>0</v>
      </c>
      <c r="U1171">
        <f t="shared" si="92"/>
        <v>0</v>
      </c>
      <c r="V1171">
        <f t="shared" si="93"/>
        <v>1</v>
      </c>
      <c r="W1171">
        <f t="shared" si="94"/>
        <v>0</v>
      </c>
      <c r="X1171">
        <v>1</v>
      </c>
      <c r="Y1171" s="2">
        <v>45768</v>
      </c>
      <c r="Z1171" s="3" t="s">
        <v>118</v>
      </c>
      <c r="AA1171" t="s">
        <v>39</v>
      </c>
      <c r="AB1171" t="s">
        <v>40</v>
      </c>
      <c r="AC1171" t="s">
        <v>40</v>
      </c>
      <c r="AD1171" t="s">
        <v>184</v>
      </c>
    </row>
    <row r="1172" spans="2:30">
      <c r="B1172">
        <v>2</v>
      </c>
      <c r="C1172">
        <v>1020</v>
      </c>
      <c r="D1172" t="s">
        <v>181</v>
      </c>
      <c r="E1172">
        <v>10042233</v>
      </c>
      <c r="F1172" t="s">
        <v>1268</v>
      </c>
      <c r="G1172" t="s">
        <v>31</v>
      </c>
      <c r="H1172" t="s">
        <v>32</v>
      </c>
      <c r="I1172" t="s">
        <v>183</v>
      </c>
      <c r="J1172" t="s">
        <v>45</v>
      </c>
      <c r="K1172" t="s">
        <v>35</v>
      </c>
      <c r="L1172" t="s">
        <v>36</v>
      </c>
      <c r="M1172" t="s">
        <v>117</v>
      </c>
      <c r="N1172">
        <v>2</v>
      </c>
      <c r="O1172">
        <v>2</v>
      </c>
      <c r="P1172">
        <v>0</v>
      </c>
      <c r="Q1172">
        <v>2</v>
      </c>
      <c r="R1172" s="4">
        <v>3250.43</v>
      </c>
      <c r="S1172" t="str">
        <f t="shared" si="90"/>
        <v>PX: Baja Crit.</v>
      </c>
      <c r="T1172">
        <f t="shared" si="91"/>
        <v>0</v>
      </c>
      <c r="U1172">
        <f t="shared" si="92"/>
        <v>0</v>
      </c>
      <c r="V1172">
        <f t="shared" si="93"/>
        <v>1</v>
      </c>
      <c r="W1172">
        <f t="shared" si="94"/>
        <v>0</v>
      </c>
      <c r="X1172">
        <v>1</v>
      </c>
      <c r="Y1172" s="2">
        <v>45768</v>
      </c>
      <c r="Z1172" s="3" t="s">
        <v>118</v>
      </c>
      <c r="AA1172" t="s">
        <v>39</v>
      </c>
      <c r="AB1172" t="s">
        <v>40</v>
      </c>
      <c r="AC1172" t="s">
        <v>40</v>
      </c>
      <c r="AD1172" t="s">
        <v>184</v>
      </c>
    </row>
    <row r="1173" spans="2:30">
      <c r="B1173">
        <v>2</v>
      </c>
      <c r="C1173">
        <v>1020</v>
      </c>
      <c r="D1173" t="s">
        <v>384</v>
      </c>
      <c r="E1173">
        <v>10042827</v>
      </c>
      <c r="F1173" t="s">
        <v>1269</v>
      </c>
      <c r="G1173" t="s">
        <v>43</v>
      </c>
      <c r="H1173" t="s">
        <v>44</v>
      </c>
      <c r="I1173" t="s">
        <v>386</v>
      </c>
      <c r="J1173" t="s">
        <v>45</v>
      </c>
      <c r="K1173" t="s">
        <v>35</v>
      </c>
      <c r="L1173" t="s">
        <v>175</v>
      </c>
      <c r="M1173" t="s">
        <v>117</v>
      </c>
      <c r="N1173">
        <v>0</v>
      </c>
      <c r="O1173">
        <v>0</v>
      </c>
      <c r="P1173">
        <v>0</v>
      </c>
      <c r="Q1173">
        <v>15</v>
      </c>
      <c r="R1173" s="4">
        <v>1996.08</v>
      </c>
      <c r="S1173" t="str">
        <f t="shared" si="90"/>
        <v>PY: Media Crit.</v>
      </c>
      <c r="T1173">
        <f t="shared" si="91"/>
        <v>0</v>
      </c>
      <c r="U1173">
        <f t="shared" si="92"/>
        <v>0</v>
      </c>
      <c r="V1173">
        <f t="shared" si="93"/>
        <v>0</v>
      </c>
      <c r="W1173">
        <f t="shared" si="94"/>
        <v>1</v>
      </c>
      <c r="X1173">
        <v>1</v>
      </c>
      <c r="Y1173" s="2">
        <v>45768</v>
      </c>
      <c r="Z1173" s="3" t="s">
        <v>118</v>
      </c>
      <c r="AA1173" t="s">
        <v>39</v>
      </c>
      <c r="AB1173" t="s">
        <v>40</v>
      </c>
      <c r="AC1173" t="s">
        <v>40</v>
      </c>
      <c r="AD1173" t="s">
        <v>387</v>
      </c>
    </row>
    <row r="1174" spans="2:30">
      <c r="B1174">
        <v>2</v>
      </c>
      <c r="C1174">
        <v>1020</v>
      </c>
      <c r="D1174" t="s">
        <v>181</v>
      </c>
      <c r="E1174">
        <v>10042848</v>
      </c>
      <c r="F1174" t="s">
        <v>1270</v>
      </c>
      <c r="G1174" t="s">
        <v>52</v>
      </c>
      <c r="H1174" t="s">
        <v>32</v>
      </c>
      <c r="I1174" t="s">
        <v>183</v>
      </c>
      <c r="J1174" t="s">
        <v>45</v>
      </c>
      <c r="K1174" t="s">
        <v>35</v>
      </c>
      <c r="L1174" t="s">
        <v>36</v>
      </c>
      <c r="M1174" t="s">
        <v>117</v>
      </c>
      <c r="N1174">
        <v>4</v>
      </c>
      <c r="O1174">
        <v>3</v>
      </c>
      <c r="P1174">
        <v>2</v>
      </c>
      <c r="Q1174">
        <v>4</v>
      </c>
      <c r="R1174" s="4">
        <v>2335</v>
      </c>
      <c r="S1174" t="str">
        <f t="shared" si="90"/>
        <v>PZ: Alta Crit.</v>
      </c>
      <c r="T1174">
        <f t="shared" si="91"/>
        <v>0</v>
      </c>
      <c r="U1174">
        <f t="shared" si="92"/>
        <v>0</v>
      </c>
      <c r="V1174">
        <f t="shared" si="93"/>
        <v>1</v>
      </c>
      <c r="W1174">
        <f t="shared" si="94"/>
        <v>0</v>
      </c>
      <c r="X1174">
        <v>1</v>
      </c>
      <c r="Y1174" s="2">
        <v>45768</v>
      </c>
      <c r="Z1174" s="3" t="s">
        <v>118</v>
      </c>
      <c r="AA1174" t="s">
        <v>39</v>
      </c>
      <c r="AB1174" t="s">
        <v>40</v>
      </c>
      <c r="AC1174" t="s">
        <v>40</v>
      </c>
      <c r="AD1174" t="s">
        <v>184</v>
      </c>
    </row>
    <row r="1175" spans="2:30">
      <c r="B1175">
        <v>2</v>
      </c>
      <c r="C1175">
        <v>1020</v>
      </c>
      <c r="D1175" t="s">
        <v>172</v>
      </c>
      <c r="E1175">
        <v>10042985</v>
      </c>
      <c r="F1175" t="s">
        <v>1271</v>
      </c>
      <c r="G1175" t="s">
        <v>52</v>
      </c>
      <c r="H1175" t="s">
        <v>32</v>
      </c>
      <c r="I1175" t="s">
        <v>584</v>
      </c>
      <c r="J1175" t="s">
        <v>45</v>
      </c>
      <c r="K1175" t="s">
        <v>35</v>
      </c>
      <c r="L1175" t="s">
        <v>175</v>
      </c>
      <c r="M1175" t="s">
        <v>117</v>
      </c>
      <c r="N1175">
        <v>0</v>
      </c>
      <c r="O1175">
        <v>0</v>
      </c>
      <c r="P1175">
        <v>0</v>
      </c>
      <c r="Q1175">
        <v>8</v>
      </c>
      <c r="R1175" s="4">
        <v>236038.43</v>
      </c>
      <c r="S1175" t="str">
        <f t="shared" si="90"/>
        <v>PZ: Alta Crit.</v>
      </c>
      <c r="T1175">
        <f t="shared" si="91"/>
        <v>0</v>
      </c>
      <c r="U1175">
        <f t="shared" si="92"/>
        <v>0</v>
      </c>
      <c r="V1175">
        <f t="shared" si="93"/>
        <v>0</v>
      </c>
      <c r="W1175">
        <f t="shared" si="94"/>
        <v>1</v>
      </c>
      <c r="X1175">
        <v>1</v>
      </c>
      <c r="Y1175" s="2">
        <v>45768</v>
      </c>
      <c r="Z1175" s="3" t="s">
        <v>118</v>
      </c>
      <c r="AA1175" t="s">
        <v>39</v>
      </c>
      <c r="AB1175" t="s">
        <v>76</v>
      </c>
      <c r="AC1175" s="5" t="s">
        <v>77</v>
      </c>
      <c r="AD1175" t="s">
        <v>585</v>
      </c>
    </row>
    <row r="1176" spans="2:30">
      <c r="B1176">
        <v>2</v>
      </c>
      <c r="C1176">
        <v>1020</v>
      </c>
      <c r="D1176" t="s">
        <v>181</v>
      </c>
      <c r="E1176">
        <v>10043115</v>
      </c>
      <c r="F1176" t="s">
        <v>1272</v>
      </c>
      <c r="G1176" t="s">
        <v>43</v>
      </c>
      <c r="H1176" t="s">
        <v>32</v>
      </c>
      <c r="I1176" t="s">
        <v>183</v>
      </c>
      <c r="J1176" t="s">
        <v>45</v>
      </c>
      <c r="K1176" t="s">
        <v>35</v>
      </c>
      <c r="L1176" t="s">
        <v>36</v>
      </c>
      <c r="M1176" t="s">
        <v>46</v>
      </c>
      <c r="N1176">
        <v>7</v>
      </c>
      <c r="O1176">
        <v>4</v>
      </c>
      <c r="P1176">
        <v>2</v>
      </c>
      <c r="Q1176">
        <v>370</v>
      </c>
      <c r="R1176" s="4">
        <v>7529.76</v>
      </c>
      <c r="S1176" t="str">
        <f t="shared" si="90"/>
        <v>PY: Media Crit.</v>
      </c>
      <c r="T1176">
        <f t="shared" si="91"/>
        <v>0</v>
      </c>
      <c r="U1176">
        <f t="shared" si="92"/>
        <v>0</v>
      </c>
      <c r="V1176">
        <f t="shared" si="93"/>
        <v>0</v>
      </c>
      <c r="W1176">
        <f t="shared" si="94"/>
        <v>1</v>
      </c>
      <c r="X1176">
        <v>1</v>
      </c>
      <c r="Y1176" s="2">
        <v>45768</v>
      </c>
      <c r="Z1176" s="3" t="s">
        <v>47</v>
      </c>
      <c r="AA1176" t="s">
        <v>39</v>
      </c>
      <c r="AB1176" t="s">
        <v>76</v>
      </c>
      <c r="AC1176" s="5" t="s">
        <v>77</v>
      </c>
      <c r="AD1176" t="s">
        <v>184</v>
      </c>
    </row>
    <row r="1177" spans="2:30">
      <c r="B1177">
        <v>2</v>
      </c>
      <c r="C1177">
        <v>1020</v>
      </c>
      <c r="D1177" t="s">
        <v>181</v>
      </c>
      <c r="E1177">
        <v>10043354</v>
      </c>
      <c r="F1177" t="s">
        <v>1273</v>
      </c>
      <c r="G1177" t="s">
        <v>43</v>
      </c>
      <c r="H1177" t="s">
        <v>44</v>
      </c>
      <c r="I1177" t="s">
        <v>183</v>
      </c>
      <c r="J1177" t="s">
        <v>45</v>
      </c>
      <c r="K1177" t="s">
        <v>65</v>
      </c>
      <c r="L1177" t="s">
        <v>36</v>
      </c>
      <c r="M1177" t="s">
        <v>37</v>
      </c>
      <c r="N1177">
        <v>90</v>
      </c>
      <c r="O1177">
        <v>60</v>
      </c>
      <c r="P1177">
        <v>30</v>
      </c>
      <c r="Q1177">
        <v>75</v>
      </c>
      <c r="R1177" s="4">
        <v>9184.1</v>
      </c>
      <c r="S1177" t="str">
        <f t="shared" si="90"/>
        <v>PY: Media Crit.</v>
      </c>
      <c r="T1177">
        <f t="shared" si="91"/>
        <v>0</v>
      </c>
      <c r="U1177">
        <f t="shared" si="92"/>
        <v>0</v>
      </c>
      <c r="V1177">
        <f t="shared" si="93"/>
        <v>1</v>
      </c>
      <c r="W1177">
        <f t="shared" si="94"/>
        <v>0</v>
      </c>
      <c r="X1177">
        <v>1</v>
      </c>
      <c r="Y1177" s="2">
        <v>45768</v>
      </c>
      <c r="Z1177" s="3" t="s">
        <v>38</v>
      </c>
      <c r="AA1177" t="s">
        <v>39</v>
      </c>
      <c r="AB1177" t="s">
        <v>40</v>
      </c>
      <c r="AC1177" t="s">
        <v>40</v>
      </c>
      <c r="AD1177" t="s">
        <v>184</v>
      </c>
    </row>
    <row r="1178" spans="2:30">
      <c r="B1178">
        <v>2</v>
      </c>
      <c r="C1178">
        <v>1020</v>
      </c>
      <c r="D1178" t="s">
        <v>388</v>
      </c>
      <c r="E1178">
        <v>10043970</v>
      </c>
      <c r="F1178" t="s">
        <v>1274</v>
      </c>
      <c r="G1178" t="s">
        <v>52</v>
      </c>
      <c r="H1178" t="s">
        <v>32</v>
      </c>
      <c r="I1178" t="s">
        <v>390</v>
      </c>
      <c r="J1178" t="s">
        <v>45</v>
      </c>
      <c r="K1178" t="s">
        <v>35</v>
      </c>
      <c r="L1178" t="s">
        <v>175</v>
      </c>
      <c r="M1178" t="s">
        <v>117</v>
      </c>
      <c r="N1178">
        <v>0</v>
      </c>
      <c r="O1178">
        <v>0</v>
      </c>
      <c r="P1178">
        <v>10</v>
      </c>
      <c r="Q1178">
        <v>5</v>
      </c>
      <c r="R1178" s="4">
        <v>13208.96</v>
      </c>
      <c r="S1178" t="str">
        <f t="shared" si="90"/>
        <v>PZ: Alta Crit.</v>
      </c>
      <c r="T1178">
        <f t="shared" si="91"/>
        <v>0</v>
      </c>
      <c r="U1178">
        <f t="shared" si="92"/>
        <v>1</v>
      </c>
      <c r="V1178">
        <f t="shared" si="93"/>
        <v>0</v>
      </c>
      <c r="W1178">
        <f t="shared" si="94"/>
        <v>1</v>
      </c>
      <c r="X1178">
        <v>1</v>
      </c>
      <c r="Y1178" s="2">
        <v>45768</v>
      </c>
      <c r="Z1178" s="3" t="s">
        <v>118</v>
      </c>
      <c r="AA1178" t="s">
        <v>39</v>
      </c>
      <c r="AB1178" t="s">
        <v>49</v>
      </c>
      <c r="AC1178" s="5" t="s">
        <v>50</v>
      </c>
      <c r="AD1178" t="s">
        <v>391</v>
      </c>
    </row>
    <row r="1179" spans="2:30">
      <c r="B1179">
        <v>2</v>
      </c>
      <c r="C1179">
        <v>1020</v>
      </c>
      <c r="D1179" t="s">
        <v>181</v>
      </c>
      <c r="E1179">
        <v>10044269</v>
      </c>
      <c r="F1179" t="s">
        <v>1275</v>
      </c>
      <c r="G1179" t="s">
        <v>52</v>
      </c>
      <c r="H1179" t="s">
        <v>32</v>
      </c>
      <c r="I1179" t="s">
        <v>183</v>
      </c>
      <c r="J1179" t="s">
        <v>45</v>
      </c>
      <c r="K1179" t="s">
        <v>35</v>
      </c>
      <c r="L1179" t="s">
        <v>36</v>
      </c>
      <c r="M1179" t="s">
        <v>69</v>
      </c>
      <c r="N1179">
        <v>200</v>
      </c>
      <c r="O1179">
        <v>170</v>
      </c>
      <c r="P1179">
        <v>0</v>
      </c>
      <c r="Q1179">
        <v>200</v>
      </c>
      <c r="R1179" s="4">
        <v>26710.61</v>
      </c>
      <c r="S1179" t="str">
        <f t="shared" si="90"/>
        <v>PZ: Alta Crit.</v>
      </c>
      <c r="T1179">
        <f t="shared" si="91"/>
        <v>0</v>
      </c>
      <c r="U1179">
        <f t="shared" si="92"/>
        <v>0</v>
      </c>
      <c r="V1179">
        <f t="shared" si="93"/>
        <v>1</v>
      </c>
      <c r="W1179">
        <f t="shared" si="94"/>
        <v>0</v>
      </c>
      <c r="X1179">
        <v>1</v>
      </c>
      <c r="Y1179" s="2">
        <v>45768</v>
      </c>
      <c r="Z1179" s="3" t="s">
        <v>70</v>
      </c>
      <c r="AA1179" t="s">
        <v>39</v>
      </c>
      <c r="AB1179" t="s">
        <v>40</v>
      </c>
      <c r="AC1179" t="s">
        <v>40</v>
      </c>
      <c r="AD1179" t="s">
        <v>184</v>
      </c>
    </row>
    <row r="1180" spans="2:30">
      <c r="B1180">
        <v>2</v>
      </c>
      <c r="C1180">
        <v>1020</v>
      </c>
      <c r="D1180" t="s">
        <v>181</v>
      </c>
      <c r="E1180">
        <v>10044313</v>
      </c>
      <c r="F1180" t="s">
        <v>1276</v>
      </c>
      <c r="G1180" t="s">
        <v>52</v>
      </c>
      <c r="H1180" t="s">
        <v>60</v>
      </c>
      <c r="I1180" t="s">
        <v>183</v>
      </c>
      <c r="J1180" t="s">
        <v>45</v>
      </c>
      <c r="K1180" t="s">
        <v>35</v>
      </c>
      <c r="L1180" t="s">
        <v>36</v>
      </c>
      <c r="M1180" t="s">
        <v>46</v>
      </c>
      <c r="N1180">
        <v>4</v>
      </c>
      <c r="O1180">
        <v>3</v>
      </c>
      <c r="P1180">
        <v>1</v>
      </c>
      <c r="Q1180">
        <v>3</v>
      </c>
      <c r="R1180">
        <v>491.17</v>
      </c>
      <c r="S1180" t="str">
        <f t="shared" si="90"/>
        <v>PZ: Alta Crit.</v>
      </c>
      <c r="T1180">
        <f t="shared" si="91"/>
        <v>0</v>
      </c>
      <c r="U1180">
        <f t="shared" si="92"/>
        <v>0</v>
      </c>
      <c r="V1180">
        <f t="shared" si="93"/>
        <v>1</v>
      </c>
      <c r="W1180">
        <f t="shared" si="94"/>
        <v>0</v>
      </c>
      <c r="X1180">
        <v>1</v>
      </c>
      <c r="Y1180" s="2">
        <v>45768</v>
      </c>
      <c r="Z1180" s="3" t="s">
        <v>47</v>
      </c>
      <c r="AA1180" t="s">
        <v>39</v>
      </c>
      <c r="AB1180" t="s">
        <v>40</v>
      </c>
      <c r="AC1180" t="s">
        <v>40</v>
      </c>
      <c r="AD1180" t="s">
        <v>184</v>
      </c>
    </row>
    <row r="1181" spans="2:30">
      <c r="B1181">
        <v>2</v>
      </c>
      <c r="C1181">
        <v>1020</v>
      </c>
      <c r="D1181" t="s">
        <v>181</v>
      </c>
      <c r="E1181">
        <v>10044314</v>
      </c>
      <c r="F1181" t="s">
        <v>1277</v>
      </c>
      <c r="G1181" t="s">
        <v>52</v>
      </c>
      <c r="H1181" t="s">
        <v>32</v>
      </c>
      <c r="I1181" t="s">
        <v>183</v>
      </c>
      <c r="J1181" t="s">
        <v>45</v>
      </c>
      <c r="K1181" t="s">
        <v>35</v>
      </c>
      <c r="L1181" t="s">
        <v>36</v>
      </c>
      <c r="M1181" t="s">
        <v>46</v>
      </c>
      <c r="N1181">
        <v>6</v>
      </c>
      <c r="O1181">
        <v>4</v>
      </c>
      <c r="P1181">
        <v>1</v>
      </c>
      <c r="Q1181">
        <v>4</v>
      </c>
      <c r="R1181" s="4">
        <v>1151.02</v>
      </c>
      <c r="S1181" t="str">
        <f t="shared" si="90"/>
        <v>PZ: Alta Crit.</v>
      </c>
      <c r="T1181">
        <f t="shared" si="91"/>
        <v>0</v>
      </c>
      <c r="U1181">
        <f t="shared" si="92"/>
        <v>0</v>
      </c>
      <c r="V1181">
        <f t="shared" si="93"/>
        <v>1</v>
      </c>
      <c r="W1181">
        <f t="shared" si="94"/>
        <v>0</v>
      </c>
      <c r="X1181">
        <v>1</v>
      </c>
      <c r="Y1181" s="2">
        <v>45768</v>
      </c>
      <c r="Z1181" s="3" t="s">
        <v>47</v>
      </c>
      <c r="AA1181" t="s">
        <v>39</v>
      </c>
      <c r="AB1181" t="s">
        <v>40</v>
      </c>
      <c r="AC1181" t="s">
        <v>40</v>
      </c>
      <c r="AD1181" t="s">
        <v>184</v>
      </c>
    </row>
    <row r="1182" spans="2:30">
      <c r="B1182">
        <v>2</v>
      </c>
      <c r="C1182">
        <v>1020</v>
      </c>
      <c r="D1182" t="s">
        <v>181</v>
      </c>
      <c r="E1182">
        <v>10044400</v>
      </c>
      <c r="F1182" t="s">
        <v>1278</v>
      </c>
      <c r="G1182" t="s">
        <v>43</v>
      </c>
      <c r="H1182" t="s">
        <v>32</v>
      </c>
      <c r="I1182" t="s">
        <v>183</v>
      </c>
      <c r="J1182" t="s">
        <v>34</v>
      </c>
      <c r="K1182" t="s">
        <v>35</v>
      </c>
      <c r="L1182" t="s">
        <v>36</v>
      </c>
      <c r="M1182" t="s">
        <v>46</v>
      </c>
      <c r="N1182">
        <v>30</v>
      </c>
      <c r="O1182">
        <v>17</v>
      </c>
      <c r="P1182">
        <v>2</v>
      </c>
      <c r="Q1182">
        <v>30</v>
      </c>
      <c r="R1182" s="4">
        <v>1607.75</v>
      </c>
      <c r="S1182" t="str">
        <f t="shared" si="90"/>
        <v>PY: Media Crit.</v>
      </c>
      <c r="T1182">
        <f t="shared" si="91"/>
        <v>0</v>
      </c>
      <c r="U1182">
        <f t="shared" si="92"/>
        <v>0</v>
      </c>
      <c r="V1182">
        <f t="shared" si="93"/>
        <v>1</v>
      </c>
      <c r="W1182">
        <f t="shared" si="94"/>
        <v>0</v>
      </c>
      <c r="X1182">
        <v>1</v>
      </c>
      <c r="Y1182" s="2">
        <v>45768</v>
      </c>
      <c r="Z1182" s="3" t="s">
        <v>47</v>
      </c>
      <c r="AA1182" t="s">
        <v>39</v>
      </c>
      <c r="AB1182" t="s">
        <v>40</v>
      </c>
      <c r="AC1182" t="s">
        <v>40</v>
      </c>
      <c r="AD1182" t="s">
        <v>184</v>
      </c>
    </row>
    <row r="1183" spans="2:30">
      <c r="B1183">
        <v>2</v>
      </c>
      <c r="C1183">
        <v>1020</v>
      </c>
      <c r="D1183" t="s">
        <v>181</v>
      </c>
      <c r="E1183">
        <v>10044401</v>
      </c>
      <c r="F1183" t="s">
        <v>1279</v>
      </c>
      <c r="G1183" t="s">
        <v>43</v>
      </c>
      <c r="H1183" t="s">
        <v>32</v>
      </c>
      <c r="I1183" t="s">
        <v>183</v>
      </c>
      <c r="J1183" t="s">
        <v>45</v>
      </c>
      <c r="K1183" t="s">
        <v>35</v>
      </c>
      <c r="L1183" t="s">
        <v>36</v>
      </c>
      <c r="M1183" t="s">
        <v>46</v>
      </c>
      <c r="N1183">
        <v>10</v>
      </c>
      <c r="O1183">
        <v>6</v>
      </c>
      <c r="P1183">
        <v>4</v>
      </c>
      <c r="Q1183">
        <v>10</v>
      </c>
      <c r="R1183" s="4">
        <v>2311.29</v>
      </c>
      <c r="S1183" t="str">
        <f t="shared" si="90"/>
        <v>PY: Media Crit.</v>
      </c>
      <c r="T1183">
        <f t="shared" si="91"/>
        <v>0</v>
      </c>
      <c r="U1183">
        <f t="shared" si="92"/>
        <v>0</v>
      </c>
      <c r="V1183">
        <f t="shared" si="93"/>
        <v>1</v>
      </c>
      <c r="W1183">
        <f t="shared" si="94"/>
        <v>0</v>
      </c>
      <c r="X1183">
        <v>1</v>
      </c>
      <c r="Y1183" s="2">
        <v>45768</v>
      </c>
      <c r="Z1183" s="3" t="s">
        <v>47</v>
      </c>
      <c r="AA1183" t="s">
        <v>39</v>
      </c>
      <c r="AB1183" t="s">
        <v>40</v>
      </c>
      <c r="AC1183" t="s">
        <v>40</v>
      </c>
      <c r="AD1183" t="s">
        <v>184</v>
      </c>
    </row>
    <row r="1184" spans="2:30">
      <c r="B1184">
        <v>2</v>
      </c>
      <c r="C1184">
        <v>1020</v>
      </c>
      <c r="D1184" t="s">
        <v>181</v>
      </c>
      <c r="E1184">
        <v>10044433</v>
      </c>
      <c r="F1184" t="s">
        <v>1280</v>
      </c>
      <c r="G1184" t="s">
        <v>31</v>
      </c>
      <c r="H1184" t="s">
        <v>32</v>
      </c>
      <c r="I1184" t="s">
        <v>183</v>
      </c>
      <c r="J1184" t="s">
        <v>45</v>
      </c>
      <c r="K1184" t="s">
        <v>35</v>
      </c>
      <c r="L1184" t="s">
        <v>36</v>
      </c>
      <c r="M1184" t="s">
        <v>46</v>
      </c>
      <c r="N1184">
        <v>2</v>
      </c>
      <c r="O1184">
        <v>1</v>
      </c>
      <c r="P1184">
        <v>0</v>
      </c>
      <c r="Q1184">
        <v>1</v>
      </c>
      <c r="R1184">
        <v>876.68</v>
      </c>
      <c r="S1184" t="str">
        <f t="shared" si="90"/>
        <v>PX: Baja Crit.</v>
      </c>
      <c r="T1184">
        <f t="shared" si="91"/>
        <v>0</v>
      </c>
      <c r="U1184">
        <f t="shared" si="92"/>
        <v>0</v>
      </c>
      <c r="V1184">
        <f t="shared" si="93"/>
        <v>1</v>
      </c>
      <c r="W1184">
        <f t="shared" si="94"/>
        <v>0</v>
      </c>
      <c r="X1184">
        <v>1</v>
      </c>
      <c r="Y1184" s="2">
        <v>45768</v>
      </c>
      <c r="Z1184" s="3" t="s">
        <v>47</v>
      </c>
      <c r="AA1184" t="s">
        <v>39</v>
      </c>
      <c r="AB1184" t="s">
        <v>40</v>
      </c>
      <c r="AC1184" t="s">
        <v>40</v>
      </c>
      <c r="AD1184" t="s">
        <v>184</v>
      </c>
    </row>
    <row r="1185" spans="2:30">
      <c r="B1185">
        <v>2</v>
      </c>
      <c r="C1185">
        <v>1020</v>
      </c>
      <c r="D1185" t="s">
        <v>384</v>
      </c>
      <c r="E1185">
        <v>10044453</v>
      </c>
      <c r="F1185" t="s">
        <v>1281</v>
      </c>
      <c r="G1185" t="s">
        <v>43</v>
      </c>
      <c r="H1185" t="s">
        <v>32</v>
      </c>
      <c r="I1185" t="s">
        <v>386</v>
      </c>
      <c r="J1185" t="s">
        <v>45</v>
      </c>
      <c r="K1185" t="s">
        <v>35</v>
      </c>
      <c r="L1185" t="s">
        <v>175</v>
      </c>
      <c r="M1185" t="s">
        <v>37</v>
      </c>
      <c r="N1185">
        <v>0</v>
      </c>
      <c r="O1185">
        <v>0</v>
      </c>
      <c r="P1185">
        <v>0</v>
      </c>
      <c r="Q1185">
        <v>1</v>
      </c>
      <c r="R1185">
        <v>0</v>
      </c>
      <c r="S1185" t="str">
        <f t="shared" si="90"/>
        <v>PY: Media Crit.</v>
      </c>
      <c r="T1185">
        <f t="shared" si="91"/>
        <v>0</v>
      </c>
      <c r="U1185">
        <f t="shared" si="92"/>
        <v>0</v>
      </c>
      <c r="V1185">
        <f t="shared" si="93"/>
        <v>0</v>
      </c>
      <c r="W1185">
        <f t="shared" si="94"/>
        <v>1</v>
      </c>
      <c r="X1185">
        <v>1</v>
      </c>
      <c r="Y1185" s="2">
        <v>45768</v>
      </c>
      <c r="Z1185" s="3" t="s">
        <v>38</v>
      </c>
      <c r="AA1185" t="s">
        <v>39</v>
      </c>
      <c r="AB1185" t="s">
        <v>40</v>
      </c>
      <c r="AC1185" t="s">
        <v>40</v>
      </c>
      <c r="AD1185" t="s">
        <v>387</v>
      </c>
    </row>
    <row r="1186" spans="2:30">
      <c r="B1186">
        <v>2</v>
      </c>
      <c r="C1186">
        <v>1020</v>
      </c>
      <c r="D1186" t="s">
        <v>181</v>
      </c>
      <c r="E1186">
        <v>10044649</v>
      </c>
      <c r="F1186" t="s">
        <v>1282</v>
      </c>
      <c r="G1186" t="s">
        <v>43</v>
      </c>
      <c r="H1186" t="s">
        <v>44</v>
      </c>
      <c r="I1186" t="s">
        <v>183</v>
      </c>
      <c r="J1186" t="s">
        <v>45</v>
      </c>
      <c r="K1186" t="s">
        <v>35</v>
      </c>
      <c r="L1186" t="s">
        <v>36</v>
      </c>
      <c r="M1186" t="s">
        <v>117</v>
      </c>
      <c r="N1186">
        <v>4</v>
      </c>
      <c r="O1186">
        <v>3</v>
      </c>
      <c r="P1186">
        <v>1</v>
      </c>
      <c r="Q1186">
        <v>4</v>
      </c>
      <c r="R1186" s="4">
        <v>3126.57</v>
      </c>
      <c r="S1186" t="str">
        <f t="shared" si="90"/>
        <v>PY: Media Crit.</v>
      </c>
      <c r="T1186">
        <f t="shared" si="91"/>
        <v>0</v>
      </c>
      <c r="U1186">
        <f t="shared" si="92"/>
        <v>0</v>
      </c>
      <c r="V1186">
        <f t="shared" si="93"/>
        <v>1</v>
      </c>
      <c r="W1186">
        <f t="shared" si="94"/>
        <v>0</v>
      </c>
      <c r="X1186">
        <v>1</v>
      </c>
      <c r="Y1186" s="2">
        <v>45768</v>
      </c>
      <c r="Z1186" s="3" t="s">
        <v>118</v>
      </c>
      <c r="AA1186" t="s">
        <v>39</v>
      </c>
      <c r="AB1186" t="s">
        <v>40</v>
      </c>
      <c r="AC1186" t="s">
        <v>40</v>
      </c>
      <c r="AD1186" t="s">
        <v>184</v>
      </c>
    </row>
    <row r="1187" spans="2:30">
      <c r="B1187">
        <v>2</v>
      </c>
      <c r="C1187">
        <v>1020</v>
      </c>
      <c r="D1187" t="s">
        <v>181</v>
      </c>
      <c r="E1187">
        <v>10044650</v>
      </c>
      <c r="F1187" t="s">
        <v>1283</v>
      </c>
      <c r="G1187" t="s">
        <v>43</v>
      </c>
      <c r="H1187" t="s">
        <v>60</v>
      </c>
      <c r="I1187" t="s">
        <v>183</v>
      </c>
      <c r="J1187" t="s">
        <v>45</v>
      </c>
      <c r="K1187" t="s">
        <v>35</v>
      </c>
      <c r="L1187" t="s">
        <v>36</v>
      </c>
      <c r="M1187" t="s">
        <v>117</v>
      </c>
      <c r="N1187">
        <v>4</v>
      </c>
      <c r="O1187">
        <v>3</v>
      </c>
      <c r="P1187">
        <v>1</v>
      </c>
      <c r="Q1187">
        <v>4</v>
      </c>
      <c r="R1187">
        <v>846.53</v>
      </c>
      <c r="S1187" t="str">
        <f t="shared" si="90"/>
        <v>PY: Media Crit.</v>
      </c>
      <c r="T1187">
        <f t="shared" si="91"/>
        <v>0</v>
      </c>
      <c r="U1187">
        <f t="shared" si="92"/>
        <v>0</v>
      </c>
      <c r="V1187">
        <f t="shared" si="93"/>
        <v>1</v>
      </c>
      <c r="W1187">
        <f t="shared" si="94"/>
        <v>0</v>
      </c>
      <c r="X1187">
        <v>1</v>
      </c>
      <c r="Y1187" s="2">
        <v>45768</v>
      </c>
      <c r="Z1187" s="3" t="s">
        <v>118</v>
      </c>
      <c r="AA1187" t="s">
        <v>39</v>
      </c>
      <c r="AB1187" t="s">
        <v>40</v>
      </c>
      <c r="AC1187" t="s">
        <v>40</v>
      </c>
      <c r="AD1187" t="s">
        <v>184</v>
      </c>
    </row>
    <row r="1188" spans="2:30">
      <c r="B1188">
        <v>2</v>
      </c>
      <c r="C1188">
        <v>1020</v>
      </c>
      <c r="D1188" t="s">
        <v>384</v>
      </c>
      <c r="E1188">
        <v>10044786</v>
      </c>
      <c r="F1188" t="s">
        <v>1284</v>
      </c>
      <c r="G1188" t="s">
        <v>43</v>
      </c>
      <c r="H1188" t="s">
        <v>32</v>
      </c>
      <c r="I1188" t="s">
        <v>386</v>
      </c>
      <c r="J1188" t="s">
        <v>45</v>
      </c>
      <c r="K1188" t="s">
        <v>35</v>
      </c>
      <c r="L1188" t="s">
        <v>175</v>
      </c>
      <c r="M1188" t="s">
        <v>117</v>
      </c>
      <c r="N1188">
        <v>0</v>
      </c>
      <c r="O1188">
        <v>0</v>
      </c>
      <c r="P1188">
        <v>0</v>
      </c>
      <c r="Q1188">
        <v>36</v>
      </c>
      <c r="R1188" s="4">
        <v>8576.92</v>
      </c>
      <c r="S1188" t="str">
        <f t="shared" si="90"/>
        <v>PY: Media Crit.</v>
      </c>
      <c r="T1188">
        <f t="shared" si="91"/>
        <v>0</v>
      </c>
      <c r="U1188">
        <f t="shared" si="92"/>
        <v>0</v>
      </c>
      <c r="V1188">
        <f t="shared" si="93"/>
        <v>0</v>
      </c>
      <c r="W1188">
        <f t="shared" si="94"/>
        <v>1</v>
      </c>
      <c r="X1188">
        <v>1</v>
      </c>
      <c r="Y1188" s="2">
        <v>45768</v>
      </c>
      <c r="Z1188" s="3" t="s">
        <v>118</v>
      </c>
      <c r="AA1188" t="s">
        <v>39</v>
      </c>
      <c r="AB1188" t="s">
        <v>40</v>
      </c>
      <c r="AC1188" t="s">
        <v>40</v>
      </c>
      <c r="AD1188" t="s">
        <v>387</v>
      </c>
    </row>
    <row r="1189" spans="2:30">
      <c r="B1189">
        <v>2</v>
      </c>
      <c r="C1189">
        <v>1020</v>
      </c>
      <c r="D1189" t="s">
        <v>384</v>
      </c>
      <c r="E1189">
        <v>10044804</v>
      </c>
      <c r="F1189" t="s">
        <v>1285</v>
      </c>
      <c r="G1189" t="s">
        <v>43</v>
      </c>
      <c r="H1189" t="s">
        <v>60</v>
      </c>
      <c r="I1189" t="s">
        <v>386</v>
      </c>
      <c r="J1189" t="s">
        <v>45</v>
      </c>
      <c r="K1189" t="s">
        <v>35</v>
      </c>
      <c r="L1189" t="s">
        <v>175</v>
      </c>
      <c r="M1189" t="s">
        <v>117</v>
      </c>
      <c r="N1189">
        <v>0</v>
      </c>
      <c r="O1189">
        <v>0</v>
      </c>
      <c r="P1189">
        <v>0</v>
      </c>
      <c r="Q1189">
        <v>61</v>
      </c>
      <c r="R1189" s="4">
        <v>4727.91</v>
      </c>
      <c r="S1189" t="str">
        <f t="shared" si="90"/>
        <v>PY: Media Crit.</v>
      </c>
      <c r="T1189">
        <f t="shared" si="91"/>
        <v>0</v>
      </c>
      <c r="U1189">
        <f t="shared" si="92"/>
        <v>0</v>
      </c>
      <c r="V1189">
        <f t="shared" si="93"/>
        <v>0</v>
      </c>
      <c r="W1189">
        <f t="shared" si="94"/>
        <v>1</v>
      </c>
      <c r="X1189">
        <v>1</v>
      </c>
      <c r="Y1189" s="2">
        <v>45768</v>
      </c>
      <c r="Z1189" s="3" t="s">
        <v>118</v>
      </c>
      <c r="AA1189" t="s">
        <v>39</v>
      </c>
      <c r="AB1189" t="s">
        <v>40</v>
      </c>
      <c r="AC1189" t="s">
        <v>40</v>
      </c>
      <c r="AD1189" t="s">
        <v>387</v>
      </c>
    </row>
    <row r="1190" spans="2:30">
      <c r="B1190">
        <v>2</v>
      </c>
      <c r="C1190">
        <v>1020</v>
      </c>
      <c r="D1190" t="s">
        <v>388</v>
      </c>
      <c r="E1190">
        <v>10044837</v>
      </c>
      <c r="F1190" t="s">
        <v>1286</v>
      </c>
      <c r="G1190" t="s">
        <v>52</v>
      </c>
      <c r="H1190" t="s">
        <v>44</v>
      </c>
      <c r="I1190" t="s">
        <v>390</v>
      </c>
      <c r="J1190" t="s">
        <v>45</v>
      </c>
      <c r="K1190" t="s">
        <v>35</v>
      </c>
      <c r="L1190" t="s">
        <v>175</v>
      </c>
      <c r="M1190" t="s">
        <v>117</v>
      </c>
      <c r="N1190">
        <v>0</v>
      </c>
      <c r="O1190">
        <v>0</v>
      </c>
      <c r="P1190">
        <v>2</v>
      </c>
      <c r="Q1190">
        <v>1</v>
      </c>
      <c r="R1190" s="4">
        <v>26480.36</v>
      </c>
      <c r="S1190" t="str">
        <f t="shared" si="90"/>
        <v>PZ: Alta Crit.</v>
      </c>
      <c r="T1190">
        <f t="shared" si="91"/>
        <v>0</v>
      </c>
      <c r="U1190">
        <f t="shared" si="92"/>
        <v>1</v>
      </c>
      <c r="V1190">
        <f t="shared" si="93"/>
        <v>0</v>
      </c>
      <c r="W1190">
        <f t="shared" si="94"/>
        <v>1</v>
      </c>
      <c r="X1190">
        <v>1</v>
      </c>
      <c r="Y1190" s="2">
        <v>45768</v>
      </c>
      <c r="Z1190" s="3" t="s">
        <v>118</v>
      </c>
      <c r="AA1190" t="s">
        <v>39</v>
      </c>
      <c r="AB1190" t="s">
        <v>49</v>
      </c>
      <c r="AC1190" s="5" t="s">
        <v>50</v>
      </c>
      <c r="AD1190" t="s">
        <v>391</v>
      </c>
    </row>
    <row r="1191" spans="2:30">
      <c r="B1191">
        <v>2</v>
      </c>
      <c r="C1191">
        <v>1020</v>
      </c>
      <c r="D1191" t="s">
        <v>388</v>
      </c>
      <c r="E1191">
        <v>10044895</v>
      </c>
      <c r="F1191" t="s">
        <v>1287</v>
      </c>
      <c r="G1191" t="s">
        <v>52</v>
      </c>
      <c r="H1191" t="s">
        <v>32</v>
      </c>
      <c r="I1191" t="s">
        <v>390</v>
      </c>
      <c r="J1191" t="s">
        <v>45</v>
      </c>
      <c r="K1191" t="s">
        <v>260</v>
      </c>
      <c r="L1191" t="s">
        <v>175</v>
      </c>
      <c r="M1191" t="s">
        <v>117</v>
      </c>
      <c r="N1191">
        <v>0</v>
      </c>
      <c r="O1191">
        <v>0</v>
      </c>
      <c r="P1191">
        <v>2</v>
      </c>
      <c r="Q1191">
        <v>0</v>
      </c>
      <c r="R1191">
        <v>0</v>
      </c>
      <c r="S1191" t="str">
        <f t="shared" si="90"/>
        <v>PZ: Alta Crit.</v>
      </c>
      <c r="T1191">
        <f t="shared" si="91"/>
        <v>1</v>
      </c>
      <c r="U1191">
        <f t="shared" si="92"/>
        <v>0</v>
      </c>
      <c r="V1191">
        <f t="shared" si="93"/>
        <v>0</v>
      </c>
      <c r="W1191">
        <f t="shared" si="94"/>
        <v>0</v>
      </c>
      <c r="X1191">
        <v>1</v>
      </c>
      <c r="Y1191" s="2">
        <v>45768</v>
      </c>
      <c r="Z1191" s="3" t="s">
        <v>118</v>
      </c>
      <c r="AA1191" t="s">
        <v>39</v>
      </c>
      <c r="AB1191" t="s">
        <v>49</v>
      </c>
      <c r="AC1191" s="5" t="s">
        <v>50</v>
      </c>
      <c r="AD1191" t="s">
        <v>391</v>
      </c>
    </row>
    <row r="1192" spans="2:30">
      <c r="B1192">
        <v>2</v>
      </c>
      <c r="C1192">
        <v>1020</v>
      </c>
      <c r="D1192" t="s">
        <v>384</v>
      </c>
      <c r="E1192">
        <v>10044955</v>
      </c>
      <c r="F1192" t="s">
        <v>1288</v>
      </c>
      <c r="G1192" t="s">
        <v>43</v>
      </c>
      <c r="H1192" t="s">
        <v>32</v>
      </c>
      <c r="I1192" t="s">
        <v>386</v>
      </c>
      <c r="J1192" t="s">
        <v>45</v>
      </c>
      <c r="K1192" t="s">
        <v>35</v>
      </c>
      <c r="L1192" t="s">
        <v>175</v>
      </c>
      <c r="M1192" t="s">
        <v>117</v>
      </c>
      <c r="N1192">
        <v>0</v>
      </c>
      <c r="O1192">
        <v>0</v>
      </c>
      <c r="P1192">
        <v>0</v>
      </c>
      <c r="Q1192">
        <v>4</v>
      </c>
      <c r="R1192" s="4">
        <v>3924.19</v>
      </c>
      <c r="S1192" t="str">
        <f t="shared" si="90"/>
        <v>PY: Media Crit.</v>
      </c>
      <c r="T1192">
        <f t="shared" si="91"/>
        <v>0</v>
      </c>
      <c r="U1192">
        <f t="shared" si="92"/>
        <v>0</v>
      </c>
      <c r="V1192">
        <f t="shared" si="93"/>
        <v>0</v>
      </c>
      <c r="W1192">
        <f t="shared" si="94"/>
        <v>1</v>
      </c>
      <c r="X1192">
        <v>1</v>
      </c>
      <c r="Y1192" s="2">
        <v>45768</v>
      </c>
      <c r="Z1192" s="3" t="s">
        <v>118</v>
      </c>
      <c r="AA1192" t="s">
        <v>39</v>
      </c>
      <c r="AB1192" t="s">
        <v>40</v>
      </c>
      <c r="AC1192" t="s">
        <v>40</v>
      </c>
      <c r="AD1192" t="s">
        <v>387</v>
      </c>
    </row>
    <row r="1193" spans="2:30">
      <c r="B1193">
        <v>2</v>
      </c>
      <c r="C1193">
        <v>1020</v>
      </c>
      <c r="D1193" t="s">
        <v>181</v>
      </c>
      <c r="E1193">
        <v>10044960</v>
      </c>
      <c r="F1193" t="s">
        <v>1289</v>
      </c>
      <c r="G1193" t="s">
        <v>43</v>
      </c>
      <c r="H1193" t="s">
        <v>60</v>
      </c>
      <c r="I1193" t="s">
        <v>183</v>
      </c>
      <c r="J1193" t="s">
        <v>45</v>
      </c>
      <c r="K1193" t="s">
        <v>260</v>
      </c>
      <c r="L1193" t="s">
        <v>36</v>
      </c>
      <c r="M1193" t="s">
        <v>37</v>
      </c>
      <c r="N1193">
        <v>3</v>
      </c>
      <c r="O1193">
        <v>2</v>
      </c>
      <c r="P1193">
        <v>1</v>
      </c>
      <c r="Q1193">
        <v>3</v>
      </c>
      <c r="R1193" s="4">
        <v>7533.24</v>
      </c>
      <c r="S1193" t="str">
        <f t="shared" si="90"/>
        <v>PY: Media Crit.</v>
      </c>
      <c r="T1193">
        <f t="shared" si="91"/>
        <v>0</v>
      </c>
      <c r="U1193">
        <f t="shared" si="92"/>
        <v>0</v>
      </c>
      <c r="V1193">
        <f t="shared" si="93"/>
        <v>1</v>
      </c>
      <c r="W1193">
        <f t="shared" si="94"/>
        <v>0</v>
      </c>
      <c r="X1193">
        <v>1</v>
      </c>
      <c r="Y1193" s="2">
        <v>45768</v>
      </c>
      <c r="Z1193" s="3" t="s">
        <v>38</v>
      </c>
      <c r="AA1193" t="s">
        <v>39</v>
      </c>
      <c r="AB1193" t="s">
        <v>40</v>
      </c>
      <c r="AC1193" t="s">
        <v>40</v>
      </c>
      <c r="AD1193" t="s">
        <v>184</v>
      </c>
    </row>
    <row r="1194" spans="2:30">
      <c r="B1194">
        <v>2</v>
      </c>
      <c r="C1194">
        <v>1020</v>
      </c>
      <c r="D1194" t="s">
        <v>384</v>
      </c>
      <c r="E1194">
        <v>10044970</v>
      </c>
      <c r="F1194" t="s">
        <v>1290</v>
      </c>
      <c r="G1194" t="s">
        <v>43</v>
      </c>
      <c r="H1194" t="s">
        <v>32</v>
      </c>
      <c r="I1194" t="s">
        <v>386</v>
      </c>
      <c r="J1194" t="s">
        <v>45</v>
      </c>
      <c r="K1194" t="s">
        <v>35</v>
      </c>
      <c r="L1194" t="s">
        <v>175</v>
      </c>
      <c r="M1194" t="s">
        <v>117</v>
      </c>
      <c r="N1194">
        <v>0</v>
      </c>
      <c r="O1194">
        <v>0</v>
      </c>
      <c r="P1194">
        <v>0</v>
      </c>
      <c r="Q1194">
        <v>10</v>
      </c>
      <c r="R1194" s="4">
        <v>9655.02</v>
      </c>
      <c r="S1194" t="str">
        <f t="shared" si="90"/>
        <v>PY: Media Crit.</v>
      </c>
      <c r="T1194">
        <f t="shared" si="91"/>
        <v>0</v>
      </c>
      <c r="U1194">
        <f t="shared" si="92"/>
        <v>0</v>
      </c>
      <c r="V1194">
        <f t="shared" si="93"/>
        <v>0</v>
      </c>
      <c r="W1194">
        <f t="shared" si="94"/>
        <v>1</v>
      </c>
      <c r="X1194">
        <v>1</v>
      </c>
      <c r="Y1194" s="2">
        <v>45768</v>
      </c>
      <c r="Z1194" s="3" t="s">
        <v>118</v>
      </c>
      <c r="AA1194" t="s">
        <v>39</v>
      </c>
      <c r="AB1194" t="s">
        <v>40</v>
      </c>
      <c r="AC1194" t="s">
        <v>40</v>
      </c>
      <c r="AD1194" t="s">
        <v>387</v>
      </c>
    </row>
    <row r="1195" spans="2:30">
      <c r="B1195">
        <v>2</v>
      </c>
      <c r="C1195">
        <v>1020</v>
      </c>
      <c r="D1195" t="s">
        <v>181</v>
      </c>
      <c r="E1195">
        <v>10045250</v>
      </c>
      <c r="F1195" t="s">
        <v>1291</v>
      </c>
      <c r="G1195" t="s">
        <v>31</v>
      </c>
      <c r="H1195" t="s">
        <v>32</v>
      </c>
      <c r="I1195" t="s">
        <v>183</v>
      </c>
      <c r="J1195" t="s">
        <v>45</v>
      </c>
      <c r="K1195" t="s">
        <v>35</v>
      </c>
      <c r="L1195" t="s">
        <v>36</v>
      </c>
      <c r="M1195" t="s">
        <v>88</v>
      </c>
      <c r="N1195">
        <v>20</v>
      </c>
      <c r="O1195">
        <v>11</v>
      </c>
      <c r="P1195">
        <v>1</v>
      </c>
      <c r="Q1195">
        <v>17</v>
      </c>
      <c r="R1195">
        <v>122.03</v>
      </c>
      <c r="S1195" t="str">
        <f t="shared" si="90"/>
        <v>PX: Baja Crit.</v>
      </c>
      <c r="T1195">
        <f t="shared" si="91"/>
        <v>0</v>
      </c>
      <c r="U1195">
        <f t="shared" si="92"/>
        <v>0</v>
      </c>
      <c r="V1195">
        <f t="shared" si="93"/>
        <v>1</v>
      </c>
      <c r="W1195">
        <f t="shared" si="94"/>
        <v>0</v>
      </c>
      <c r="X1195">
        <v>1</v>
      </c>
      <c r="Y1195" s="2">
        <v>45768</v>
      </c>
      <c r="Z1195" s="3" t="s">
        <v>89</v>
      </c>
      <c r="AA1195" t="s">
        <v>39</v>
      </c>
      <c r="AB1195" t="s">
        <v>40</v>
      </c>
      <c r="AC1195" t="s">
        <v>40</v>
      </c>
      <c r="AD1195" t="s">
        <v>184</v>
      </c>
    </row>
    <row r="1196" spans="2:30">
      <c r="B1196">
        <v>2</v>
      </c>
      <c r="C1196">
        <v>1020</v>
      </c>
      <c r="D1196" t="s">
        <v>181</v>
      </c>
      <c r="E1196">
        <v>10045392</v>
      </c>
      <c r="F1196" t="s">
        <v>1292</v>
      </c>
      <c r="G1196" t="s">
        <v>31</v>
      </c>
      <c r="H1196" t="s">
        <v>32</v>
      </c>
      <c r="I1196" t="s">
        <v>183</v>
      </c>
      <c r="J1196" t="s">
        <v>45</v>
      </c>
      <c r="K1196" t="s">
        <v>35</v>
      </c>
      <c r="L1196" t="s">
        <v>36</v>
      </c>
      <c r="M1196" t="s">
        <v>117</v>
      </c>
      <c r="N1196">
        <v>12</v>
      </c>
      <c r="O1196">
        <v>7</v>
      </c>
      <c r="P1196">
        <v>2</v>
      </c>
      <c r="Q1196">
        <v>12</v>
      </c>
      <c r="R1196">
        <v>909.07</v>
      </c>
      <c r="S1196" t="str">
        <f t="shared" si="90"/>
        <v>PX: Baja Crit.</v>
      </c>
      <c r="T1196">
        <f t="shared" si="91"/>
        <v>0</v>
      </c>
      <c r="U1196">
        <f t="shared" si="92"/>
        <v>0</v>
      </c>
      <c r="V1196">
        <f t="shared" si="93"/>
        <v>1</v>
      </c>
      <c r="W1196">
        <f t="shared" si="94"/>
        <v>0</v>
      </c>
      <c r="X1196">
        <v>1</v>
      </c>
      <c r="Y1196" s="2">
        <v>45768</v>
      </c>
      <c r="Z1196" s="3" t="s">
        <v>118</v>
      </c>
      <c r="AA1196" t="s">
        <v>39</v>
      </c>
      <c r="AB1196" t="s">
        <v>40</v>
      </c>
      <c r="AC1196" t="s">
        <v>40</v>
      </c>
      <c r="AD1196" t="s">
        <v>184</v>
      </c>
    </row>
    <row r="1197" spans="2:30">
      <c r="B1197">
        <v>2</v>
      </c>
      <c r="C1197">
        <v>1020</v>
      </c>
      <c r="D1197" t="s">
        <v>181</v>
      </c>
      <c r="E1197">
        <v>10045455</v>
      </c>
      <c r="F1197" t="s">
        <v>1293</v>
      </c>
      <c r="G1197" t="s">
        <v>43</v>
      </c>
      <c r="H1197" t="s">
        <v>32</v>
      </c>
      <c r="I1197" t="s">
        <v>183</v>
      </c>
      <c r="J1197" t="s">
        <v>45</v>
      </c>
      <c r="K1197" t="s">
        <v>35</v>
      </c>
      <c r="L1197" t="s">
        <v>36</v>
      </c>
      <c r="M1197" t="s">
        <v>55</v>
      </c>
      <c r="N1197">
        <v>50</v>
      </c>
      <c r="O1197">
        <v>31</v>
      </c>
      <c r="P1197">
        <v>20</v>
      </c>
      <c r="Q1197">
        <v>50</v>
      </c>
      <c r="R1197">
        <v>23.61</v>
      </c>
      <c r="S1197" t="str">
        <f t="shared" si="90"/>
        <v>PY: Media Crit.</v>
      </c>
      <c r="T1197">
        <f t="shared" si="91"/>
        <v>0</v>
      </c>
      <c r="U1197">
        <f t="shared" si="92"/>
        <v>0</v>
      </c>
      <c r="V1197">
        <f t="shared" si="93"/>
        <v>1</v>
      </c>
      <c r="W1197">
        <f t="shared" si="94"/>
        <v>0</v>
      </c>
      <c r="X1197">
        <v>1</v>
      </c>
      <c r="Y1197" s="2">
        <v>45768</v>
      </c>
      <c r="Z1197" s="3" t="s">
        <v>56</v>
      </c>
      <c r="AA1197" t="s">
        <v>39</v>
      </c>
      <c r="AB1197" t="s">
        <v>40</v>
      </c>
      <c r="AC1197" t="s">
        <v>40</v>
      </c>
      <c r="AD1197" t="s">
        <v>184</v>
      </c>
    </row>
    <row r="1198" spans="2:30">
      <c r="B1198">
        <v>2</v>
      </c>
      <c r="C1198">
        <v>1020</v>
      </c>
      <c r="D1198" t="s">
        <v>181</v>
      </c>
      <c r="E1198">
        <v>10045489</v>
      </c>
      <c r="F1198" t="s">
        <v>446</v>
      </c>
      <c r="G1198" t="s">
        <v>31</v>
      </c>
      <c r="H1198" t="s">
        <v>32</v>
      </c>
      <c r="I1198" t="s">
        <v>183</v>
      </c>
      <c r="J1198" t="s">
        <v>45</v>
      </c>
      <c r="K1198" t="s">
        <v>35</v>
      </c>
      <c r="L1198" t="s">
        <v>36</v>
      </c>
      <c r="M1198" t="s">
        <v>55</v>
      </c>
      <c r="N1198">
        <v>200</v>
      </c>
      <c r="O1198">
        <v>101</v>
      </c>
      <c r="P1198">
        <v>50</v>
      </c>
      <c r="Q1198">
        <v>200</v>
      </c>
      <c r="R1198">
        <v>60.3</v>
      </c>
      <c r="S1198" t="str">
        <f t="shared" si="90"/>
        <v>PX: Baja Crit.</v>
      </c>
      <c r="T1198">
        <f t="shared" si="91"/>
        <v>0</v>
      </c>
      <c r="U1198">
        <f t="shared" si="92"/>
        <v>0</v>
      </c>
      <c r="V1198">
        <f t="shared" si="93"/>
        <v>1</v>
      </c>
      <c r="W1198">
        <f t="shared" si="94"/>
        <v>0</v>
      </c>
      <c r="X1198">
        <v>1</v>
      </c>
      <c r="Y1198" s="2">
        <v>45768</v>
      </c>
      <c r="Z1198" s="3" t="s">
        <v>56</v>
      </c>
      <c r="AA1198" t="s">
        <v>39</v>
      </c>
      <c r="AB1198" t="s">
        <v>40</v>
      </c>
      <c r="AC1198" t="s">
        <v>40</v>
      </c>
      <c r="AD1198" t="s">
        <v>184</v>
      </c>
    </row>
    <row r="1199" spans="2:30">
      <c r="B1199">
        <v>2</v>
      </c>
      <c r="C1199">
        <v>1020</v>
      </c>
      <c r="D1199" t="s">
        <v>181</v>
      </c>
      <c r="E1199">
        <v>10045533</v>
      </c>
      <c r="F1199" t="s">
        <v>1294</v>
      </c>
      <c r="G1199" t="s">
        <v>43</v>
      </c>
      <c r="H1199" t="s">
        <v>32</v>
      </c>
      <c r="I1199" t="s">
        <v>183</v>
      </c>
      <c r="J1199" t="s">
        <v>45</v>
      </c>
      <c r="K1199" t="s">
        <v>35</v>
      </c>
      <c r="L1199" t="s">
        <v>36</v>
      </c>
      <c r="M1199" t="s">
        <v>55</v>
      </c>
      <c r="N1199">
        <v>80</v>
      </c>
      <c r="O1199">
        <v>41</v>
      </c>
      <c r="P1199">
        <v>10</v>
      </c>
      <c r="Q1199">
        <v>80</v>
      </c>
      <c r="R1199">
        <v>11.95</v>
      </c>
      <c r="S1199" t="str">
        <f t="shared" si="90"/>
        <v>PY: Media Crit.</v>
      </c>
      <c r="T1199">
        <f t="shared" si="91"/>
        <v>0</v>
      </c>
      <c r="U1199">
        <f t="shared" si="92"/>
        <v>0</v>
      </c>
      <c r="V1199">
        <f t="shared" si="93"/>
        <v>1</v>
      </c>
      <c r="W1199">
        <f t="shared" si="94"/>
        <v>0</v>
      </c>
      <c r="X1199">
        <v>1</v>
      </c>
      <c r="Y1199" s="2">
        <v>45768</v>
      </c>
      <c r="Z1199" s="3" t="s">
        <v>56</v>
      </c>
      <c r="AA1199" t="s">
        <v>39</v>
      </c>
      <c r="AB1199" t="s">
        <v>40</v>
      </c>
      <c r="AC1199" t="s">
        <v>40</v>
      </c>
      <c r="AD1199" t="s">
        <v>184</v>
      </c>
    </row>
    <row r="1200" spans="2:30">
      <c r="B1200">
        <v>2</v>
      </c>
      <c r="C1200">
        <v>1020</v>
      </c>
      <c r="D1200" t="s">
        <v>181</v>
      </c>
      <c r="E1200">
        <v>10045550</v>
      </c>
      <c r="F1200" t="s">
        <v>1295</v>
      </c>
      <c r="G1200" t="s">
        <v>31</v>
      </c>
      <c r="H1200" t="s">
        <v>60</v>
      </c>
      <c r="I1200" t="s">
        <v>183</v>
      </c>
      <c r="J1200" t="s">
        <v>45</v>
      </c>
      <c r="K1200" t="s">
        <v>35</v>
      </c>
      <c r="L1200" t="s">
        <v>36</v>
      </c>
      <c r="M1200" t="s">
        <v>55</v>
      </c>
      <c r="N1200">
        <v>48</v>
      </c>
      <c r="O1200">
        <v>24</v>
      </c>
      <c r="P1200">
        <v>0</v>
      </c>
      <c r="Q1200">
        <v>48</v>
      </c>
      <c r="R1200">
        <v>383.39</v>
      </c>
      <c r="S1200" t="str">
        <f t="shared" si="90"/>
        <v>PX: Baja Crit.</v>
      </c>
      <c r="T1200">
        <f t="shared" si="91"/>
        <v>0</v>
      </c>
      <c r="U1200">
        <f t="shared" si="92"/>
        <v>0</v>
      </c>
      <c r="V1200">
        <f t="shared" si="93"/>
        <v>1</v>
      </c>
      <c r="W1200">
        <f t="shared" si="94"/>
        <v>0</v>
      </c>
      <c r="X1200">
        <v>1</v>
      </c>
      <c r="Y1200" s="2">
        <v>45768</v>
      </c>
      <c r="Z1200" s="3" t="s">
        <v>56</v>
      </c>
      <c r="AA1200" t="s">
        <v>39</v>
      </c>
      <c r="AB1200" t="s">
        <v>40</v>
      </c>
      <c r="AC1200" t="s">
        <v>40</v>
      </c>
      <c r="AD1200" t="s">
        <v>184</v>
      </c>
    </row>
    <row r="1201" spans="2:30">
      <c r="B1201">
        <v>2</v>
      </c>
      <c r="C1201">
        <v>1020</v>
      </c>
      <c r="D1201" t="s">
        <v>388</v>
      </c>
      <c r="E1201">
        <v>10046347</v>
      </c>
      <c r="F1201" t="s">
        <v>1296</v>
      </c>
      <c r="G1201" t="s">
        <v>52</v>
      </c>
      <c r="H1201" t="s">
        <v>32</v>
      </c>
      <c r="I1201" t="s">
        <v>390</v>
      </c>
      <c r="J1201" t="s">
        <v>45</v>
      </c>
      <c r="K1201" t="s">
        <v>35</v>
      </c>
      <c r="L1201" t="s">
        <v>175</v>
      </c>
      <c r="M1201" t="s">
        <v>46</v>
      </c>
      <c r="N1201">
        <v>0</v>
      </c>
      <c r="O1201">
        <v>0</v>
      </c>
      <c r="P1201">
        <v>2</v>
      </c>
      <c r="Q1201">
        <v>2</v>
      </c>
      <c r="R1201" s="4">
        <v>1044.51</v>
      </c>
      <c r="S1201" t="str">
        <f t="shared" si="90"/>
        <v>PZ: Alta Crit.</v>
      </c>
      <c r="T1201">
        <f t="shared" si="91"/>
        <v>0</v>
      </c>
      <c r="U1201">
        <f t="shared" si="92"/>
        <v>1</v>
      </c>
      <c r="V1201">
        <f t="shared" si="93"/>
        <v>0</v>
      </c>
      <c r="W1201">
        <f t="shared" si="94"/>
        <v>1</v>
      </c>
      <c r="X1201">
        <v>1</v>
      </c>
      <c r="Y1201" s="2">
        <v>45768</v>
      </c>
      <c r="Z1201" s="3" t="s">
        <v>47</v>
      </c>
      <c r="AA1201" t="s">
        <v>39</v>
      </c>
      <c r="AB1201" t="s">
        <v>40</v>
      </c>
      <c r="AC1201" t="s">
        <v>40</v>
      </c>
      <c r="AD1201" t="s">
        <v>391</v>
      </c>
    </row>
    <row r="1202" spans="2:30">
      <c r="B1202">
        <v>2</v>
      </c>
      <c r="C1202">
        <v>1020</v>
      </c>
      <c r="D1202" t="s">
        <v>181</v>
      </c>
      <c r="E1202">
        <v>10046479</v>
      </c>
      <c r="F1202" t="s">
        <v>1297</v>
      </c>
      <c r="G1202" t="s">
        <v>52</v>
      </c>
      <c r="H1202" t="s">
        <v>32</v>
      </c>
      <c r="I1202" t="s">
        <v>183</v>
      </c>
      <c r="J1202" t="s">
        <v>45</v>
      </c>
      <c r="K1202" t="s">
        <v>35</v>
      </c>
      <c r="L1202" t="s">
        <v>36</v>
      </c>
      <c r="M1202" t="s">
        <v>46</v>
      </c>
      <c r="N1202">
        <v>4</v>
      </c>
      <c r="O1202">
        <v>2</v>
      </c>
      <c r="P1202">
        <v>2</v>
      </c>
      <c r="Q1202">
        <v>2</v>
      </c>
      <c r="R1202" s="4">
        <v>37247.43</v>
      </c>
      <c r="S1202" t="str">
        <f t="shared" si="90"/>
        <v>PZ: Alta Crit.</v>
      </c>
      <c r="T1202">
        <f t="shared" si="91"/>
        <v>0</v>
      </c>
      <c r="U1202">
        <f t="shared" si="92"/>
        <v>1</v>
      </c>
      <c r="V1202">
        <f t="shared" si="93"/>
        <v>0</v>
      </c>
      <c r="W1202">
        <f t="shared" si="94"/>
        <v>0</v>
      </c>
      <c r="X1202">
        <v>1</v>
      </c>
      <c r="Y1202" s="2">
        <v>45768</v>
      </c>
      <c r="Z1202" s="3" t="s">
        <v>47</v>
      </c>
      <c r="AA1202" t="s">
        <v>39</v>
      </c>
      <c r="AB1202" t="s">
        <v>40</v>
      </c>
      <c r="AC1202" t="s">
        <v>40</v>
      </c>
      <c r="AD1202" t="s">
        <v>184</v>
      </c>
    </row>
    <row r="1203" spans="2:30">
      <c r="B1203">
        <v>2</v>
      </c>
      <c r="C1203">
        <v>1020</v>
      </c>
      <c r="D1203" t="s">
        <v>388</v>
      </c>
      <c r="E1203">
        <v>10046545</v>
      </c>
      <c r="F1203" t="s">
        <v>1298</v>
      </c>
      <c r="G1203" t="s">
        <v>52</v>
      </c>
      <c r="H1203" t="s">
        <v>44</v>
      </c>
      <c r="I1203" t="s">
        <v>1002</v>
      </c>
      <c r="J1203" t="s">
        <v>45</v>
      </c>
      <c r="K1203" t="s">
        <v>35</v>
      </c>
      <c r="L1203" t="s">
        <v>175</v>
      </c>
      <c r="M1203" t="s">
        <v>117</v>
      </c>
      <c r="N1203">
        <v>0</v>
      </c>
      <c r="O1203">
        <v>0</v>
      </c>
      <c r="P1203">
        <v>2</v>
      </c>
      <c r="Q1203">
        <v>2</v>
      </c>
      <c r="R1203" s="4">
        <v>115721.4</v>
      </c>
      <c r="S1203" t="str">
        <f t="shared" si="90"/>
        <v>PZ: Alta Crit.</v>
      </c>
      <c r="T1203">
        <f t="shared" si="91"/>
        <v>0</v>
      </c>
      <c r="U1203">
        <f t="shared" si="92"/>
        <v>1</v>
      </c>
      <c r="V1203">
        <f t="shared" si="93"/>
        <v>0</v>
      </c>
      <c r="W1203">
        <f t="shared" si="94"/>
        <v>1</v>
      </c>
      <c r="X1203">
        <v>1</v>
      </c>
      <c r="Y1203" s="2">
        <v>45768</v>
      </c>
      <c r="Z1203" s="3" t="s">
        <v>118</v>
      </c>
      <c r="AA1203" t="s">
        <v>39</v>
      </c>
      <c r="AB1203" t="s">
        <v>40</v>
      </c>
      <c r="AC1203" t="s">
        <v>40</v>
      </c>
      <c r="AD1203" t="s">
        <v>391</v>
      </c>
    </row>
    <row r="1204" spans="2:30">
      <c r="B1204">
        <v>2</v>
      </c>
      <c r="C1204">
        <v>1020</v>
      </c>
      <c r="D1204" t="s">
        <v>181</v>
      </c>
      <c r="E1204">
        <v>10046982</v>
      </c>
      <c r="F1204" t="s">
        <v>1299</v>
      </c>
      <c r="G1204" t="s">
        <v>43</v>
      </c>
      <c r="H1204" t="s">
        <v>32</v>
      </c>
      <c r="I1204" t="s">
        <v>183</v>
      </c>
      <c r="J1204" t="s">
        <v>45</v>
      </c>
      <c r="K1204" t="s">
        <v>35</v>
      </c>
      <c r="L1204" t="s">
        <v>36</v>
      </c>
      <c r="M1204" t="s">
        <v>88</v>
      </c>
      <c r="N1204">
        <v>3</v>
      </c>
      <c r="O1204">
        <v>2</v>
      </c>
      <c r="P1204">
        <v>0</v>
      </c>
      <c r="Q1204">
        <v>3</v>
      </c>
      <c r="R1204">
        <v>742.95</v>
      </c>
      <c r="S1204" t="str">
        <f t="shared" si="90"/>
        <v>PY: Media Crit.</v>
      </c>
      <c r="T1204">
        <f t="shared" si="91"/>
        <v>0</v>
      </c>
      <c r="U1204">
        <f t="shared" si="92"/>
        <v>0</v>
      </c>
      <c r="V1204">
        <f t="shared" si="93"/>
        <v>1</v>
      </c>
      <c r="W1204">
        <f t="shared" si="94"/>
        <v>0</v>
      </c>
      <c r="X1204">
        <v>1</v>
      </c>
      <c r="Y1204" s="2">
        <v>45768</v>
      </c>
      <c r="Z1204" s="3" t="s">
        <v>89</v>
      </c>
      <c r="AA1204" t="s">
        <v>39</v>
      </c>
      <c r="AB1204" t="s">
        <v>76</v>
      </c>
      <c r="AC1204" s="5" t="s">
        <v>77</v>
      </c>
      <c r="AD1204" t="s">
        <v>184</v>
      </c>
    </row>
    <row r="1205" spans="2:30">
      <c r="B1205">
        <v>2</v>
      </c>
      <c r="C1205">
        <v>1020</v>
      </c>
      <c r="D1205" t="s">
        <v>181</v>
      </c>
      <c r="E1205">
        <v>10047234</v>
      </c>
      <c r="F1205" t="s">
        <v>1300</v>
      </c>
      <c r="G1205" t="s">
        <v>43</v>
      </c>
      <c r="H1205" t="s">
        <v>44</v>
      </c>
      <c r="I1205" t="s">
        <v>183</v>
      </c>
      <c r="J1205" t="s">
        <v>45</v>
      </c>
      <c r="K1205" t="s">
        <v>260</v>
      </c>
      <c r="L1205" t="s">
        <v>36</v>
      </c>
      <c r="M1205" t="s">
        <v>37</v>
      </c>
      <c r="N1205">
        <v>1</v>
      </c>
      <c r="O1205">
        <v>1</v>
      </c>
      <c r="P1205">
        <v>0</v>
      </c>
      <c r="Q1205">
        <v>1</v>
      </c>
      <c r="R1205" s="4">
        <v>5241</v>
      </c>
      <c r="S1205" t="str">
        <f t="shared" si="90"/>
        <v>PY: Media Crit.</v>
      </c>
      <c r="T1205">
        <f t="shared" si="91"/>
        <v>0</v>
      </c>
      <c r="U1205">
        <f t="shared" si="92"/>
        <v>0</v>
      </c>
      <c r="V1205">
        <f t="shared" si="93"/>
        <v>1</v>
      </c>
      <c r="W1205">
        <f t="shared" si="94"/>
        <v>0</v>
      </c>
      <c r="X1205">
        <v>1</v>
      </c>
      <c r="Y1205" s="2">
        <v>45768</v>
      </c>
      <c r="Z1205" s="3" t="s">
        <v>38</v>
      </c>
      <c r="AA1205" t="s">
        <v>39</v>
      </c>
      <c r="AB1205" t="s">
        <v>40</v>
      </c>
      <c r="AC1205" t="s">
        <v>40</v>
      </c>
      <c r="AD1205" t="s">
        <v>184</v>
      </c>
    </row>
    <row r="1206" spans="2:30">
      <c r="B1206">
        <v>2</v>
      </c>
      <c r="C1206">
        <v>1020</v>
      </c>
      <c r="D1206" t="s">
        <v>388</v>
      </c>
      <c r="E1206">
        <v>10047396</v>
      </c>
      <c r="F1206" t="s">
        <v>1301</v>
      </c>
      <c r="G1206" t="s">
        <v>43</v>
      </c>
      <c r="H1206" t="s">
        <v>32</v>
      </c>
      <c r="I1206" t="s">
        <v>390</v>
      </c>
      <c r="J1206" t="s">
        <v>45</v>
      </c>
      <c r="K1206" t="s">
        <v>35</v>
      </c>
      <c r="L1206" t="s">
        <v>175</v>
      </c>
      <c r="M1206" t="s">
        <v>37</v>
      </c>
      <c r="N1206">
        <v>0</v>
      </c>
      <c r="O1206">
        <v>0</v>
      </c>
      <c r="P1206">
        <v>1</v>
      </c>
      <c r="Q1206">
        <v>1</v>
      </c>
      <c r="R1206">
        <v>94.24</v>
      </c>
      <c r="S1206" t="str">
        <f t="shared" si="90"/>
        <v>PY: Media Crit.</v>
      </c>
      <c r="T1206">
        <f t="shared" si="91"/>
        <v>0</v>
      </c>
      <c r="U1206">
        <f t="shared" si="92"/>
        <v>1</v>
      </c>
      <c r="V1206">
        <f t="shared" si="93"/>
        <v>0</v>
      </c>
      <c r="W1206">
        <f t="shared" si="94"/>
        <v>1</v>
      </c>
      <c r="X1206">
        <v>1</v>
      </c>
      <c r="Y1206" s="2">
        <v>45768</v>
      </c>
      <c r="Z1206" s="3" t="s">
        <v>38</v>
      </c>
      <c r="AA1206" t="s">
        <v>39</v>
      </c>
      <c r="AB1206" t="s">
        <v>40</v>
      </c>
      <c r="AC1206" t="s">
        <v>40</v>
      </c>
      <c r="AD1206" t="s">
        <v>391</v>
      </c>
    </row>
    <row r="1207" spans="2:30">
      <c r="B1207">
        <v>2</v>
      </c>
      <c r="C1207">
        <v>1020</v>
      </c>
      <c r="D1207" t="s">
        <v>181</v>
      </c>
      <c r="E1207">
        <v>10047413</v>
      </c>
      <c r="F1207" t="s">
        <v>1302</v>
      </c>
      <c r="G1207" t="s">
        <v>31</v>
      </c>
      <c r="H1207" t="s">
        <v>32</v>
      </c>
      <c r="I1207" t="s">
        <v>183</v>
      </c>
      <c r="J1207" t="s">
        <v>45</v>
      </c>
      <c r="K1207" t="s">
        <v>35</v>
      </c>
      <c r="L1207" t="s">
        <v>36</v>
      </c>
      <c r="M1207" t="s">
        <v>37</v>
      </c>
      <c r="N1207">
        <v>6</v>
      </c>
      <c r="O1207">
        <v>4</v>
      </c>
      <c r="P1207">
        <v>2</v>
      </c>
      <c r="Q1207">
        <v>6</v>
      </c>
      <c r="R1207">
        <v>393.94</v>
      </c>
      <c r="S1207" t="str">
        <f t="shared" si="90"/>
        <v>PX: Baja Crit.</v>
      </c>
      <c r="T1207">
        <f t="shared" si="91"/>
        <v>0</v>
      </c>
      <c r="U1207">
        <f t="shared" si="92"/>
        <v>0</v>
      </c>
      <c r="V1207">
        <f t="shared" si="93"/>
        <v>1</v>
      </c>
      <c r="W1207">
        <f t="shared" si="94"/>
        <v>0</v>
      </c>
      <c r="X1207">
        <v>1</v>
      </c>
      <c r="Y1207" s="2">
        <v>45768</v>
      </c>
      <c r="Z1207" s="3" t="s">
        <v>38</v>
      </c>
      <c r="AA1207" t="s">
        <v>39</v>
      </c>
      <c r="AB1207" t="s">
        <v>40</v>
      </c>
      <c r="AC1207" t="s">
        <v>40</v>
      </c>
      <c r="AD1207" t="s">
        <v>184</v>
      </c>
    </row>
    <row r="1208" spans="2:30">
      <c r="B1208">
        <v>2</v>
      </c>
      <c r="C1208">
        <v>1020</v>
      </c>
      <c r="D1208" t="s">
        <v>181</v>
      </c>
      <c r="E1208">
        <v>10047458</v>
      </c>
      <c r="F1208" t="s">
        <v>1303</v>
      </c>
      <c r="G1208" t="s">
        <v>31</v>
      </c>
      <c r="H1208" t="s">
        <v>32</v>
      </c>
      <c r="I1208" t="s">
        <v>183</v>
      </c>
      <c r="J1208" t="s">
        <v>45</v>
      </c>
      <c r="K1208" t="s">
        <v>35</v>
      </c>
      <c r="L1208" t="s">
        <v>36</v>
      </c>
      <c r="M1208" t="s">
        <v>37</v>
      </c>
      <c r="N1208">
        <v>5</v>
      </c>
      <c r="O1208">
        <v>4</v>
      </c>
      <c r="P1208">
        <v>2</v>
      </c>
      <c r="Q1208">
        <v>5</v>
      </c>
      <c r="R1208">
        <v>589.67999999999995</v>
      </c>
      <c r="S1208" t="str">
        <f t="shared" si="90"/>
        <v>PX: Baja Crit.</v>
      </c>
      <c r="T1208">
        <f t="shared" si="91"/>
        <v>0</v>
      </c>
      <c r="U1208">
        <f t="shared" si="92"/>
        <v>0</v>
      </c>
      <c r="V1208">
        <f t="shared" si="93"/>
        <v>1</v>
      </c>
      <c r="W1208">
        <f t="shared" si="94"/>
        <v>0</v>
      </c>
      <c r="X1208">
        <v>1</v>
      </c>
      <c r="Y1208" s="2">
        <v>45768</v>
      </c>
      <c r="Z1208" s="3" t="s">
        <v>38</v>
      </c>
      <c r="AA1208" t="s">
        <v>39</v>
      </c>
      <c r="AB1208" t="s">
        <v>40</v>
      </c>
      <c r="AC1208" t="s">
        <v>40</v>
      </c>
      <c r="AD1208" t="s">
        <v>184</v>
      </c>
    </row>
    <row r="1209" spans="2:30">
      <c r="B1209">
        <v>2</v>
      </c>
      <c r="C1209">
        <v>1020</v>
      </c>
      <c r="D1209" t="s">
        <v>693</v>
      </c>
      <c r="E1209">
        <v>10047552</v>
      </c>
      <c r="F1209" t="s">
        <v>1304</v>
      </c>
      <c r="G1209" t="s">
        <v>52</v>
      </c>
      <c r="H1209" t="s">
        <v>32</v>
      </c>
      <c r="I1209" t="s">
        <v>695</v>
      </c>
      <c r="J1209" t="s">
        <v>45</v>
      </c>
      <c r="K1209" t="s">
        <v>35</v>
      </c>
      <c r="L1209" t="s">
        <v>175</v>
      </c>
      <c r="M1209" t="s">
        <v>37</v>
      </c>
      <c r="N1209">
        <v>2</v>
      </c>
      <c r="O1209">
        <v>2</v>
      </c>
      <c r="P1209">
        <v>1</v>
      </c>
      <c r="Q1209">
        <v>1</v>
      </c>
      <c r="R1209">
        <v>8.1999999999999993</v>
      </c>
      <c r="S1209" t="str">
        <f t="shared" si="90"/>
        <v>PZ: Alta Crit.</v>
      </c>
      <c r="T1209">
        <f t="shared" si="91"/>
        <v>0</v>
      </c>
      <c r="U1209">
        <f t="shared" si="92"/>
        <v>1</v>
      </c>
      <c r="V1209">
        <f t="shared" si="93"/>
        <v>0</v>
      </c>
      <c r="W1209">
        <f t="shared" si="94"/>
        <v>0</v>
      </c>
      <c r="X1209">
        <v>1</v>
      </c>
      <c r="Y1209" s="2">
        <v>45768</v>
      </c>
      <c r="Z1209" s="3" t="s">
        <v>38</v>
      </c>
      <c r="AA1209" t="s">
        <v>39</v>
      </c>
      <c r="AB1209" t="s">
        <v>40</v>
      </c>
      <c r="AC1209" t="s">
        <v>40</v>
      </c>
      <c r="AD1209" t="s">
        <v>696</v>
      </c>
    </row>
    <row r="1210" spans="2:30">
      <c r="B1210">
        <v>2</v>
      </c>
      <c r="C1210">
        <v>1020</v>
      </c>
      <c r="D1210" t="s">
        <v>181</v>
      </c>
      <c r="E1210">
        <v>10047755</v>
      </c>
      <c r="F1210" t="s">
        <v>1305</v>
      </c>
      <c r="G1210" t="s">
        <v>43</v>
      </c>
      <c r="H1210" t="s">
        <v>32</v>
      </c>
      <c r="I1210" t="s">
        <v>183</v>
      </c>
      <c r="J1210" t="s">
        <v>45</v>
      </c>
      <c r="K1210" t="s">
        <v>35</v>
      </c>
      <c r="L1210" t="s">
        <v>36</v>
      </c>
      <c r="M1210" t="s">
        <v>46</v>
      </c>
      <c r="N1210">
        <v>4</v>
      </c>
      <c r="O1210">
        <v>3</v>
      </c>
      <c r="P1210">
        <v>1</v>
      </c>
      <c r="Q1210">
        <v>4</v>
      </c>
      <c r="R1210">
        <v>156.41</v>
      </c>
      <c r="S1210" t="str">
        <f t="shared" si="90"/>
        <v>PY: Media Crit.</v>
      </c>
      <c r="T1210">
        <f t="shared" si="91"/>
        <v>0</v>
      </c>
      <c r="U1210">
        <f t="shared" si="92"/>
        <v>0</v>
      </c>
      <c r="V1210">
        <f t="shared" si="93"/>
        <v>1</v>
      </c>
      <c r="W1210">
        <f t="shared" si="94"/>
        <v>0</v>
      </c>
      <c r="X1210">
        <v>1</v>
      </c>
      <c r="Y1210" s="2">
        <v>45768</v>
      </c>
      <c r="Z1210" s="3" t="s">
        <v>47</v>
      </c>
      <c r="AA1210" t="s">
        <v>39</v>
      </c>
      <c r="AB1210" t="s">
        <v>40</v>
      </c>
      <c r="AC1210" t="s">
        <v>40</v>
      </c>
      <c r="AD1210" t="s">
        <v>184</v>
      </c>
    </row>
    <row r="1211" spans="2:30">
      <c r="B1211">
        <v>2</v>
      </c>
      <c r="C1211">
        <v>1020</v>
      </c>
      <c r="D1211" t="s">
        <v>181</v>
      </c>
      <c r="E1211">
        <v>10047900</v>
      </c>
      <c r="F1211" t="s">
        <v>1306</v>
      </c>
      <c r="G1211" t="s">
        <v>43</v>
      </c>
      <c r="H1211" t="s">
        <v>32</v>
      </c>
      <c r="I1211" t="s">
        <v>183</v>
      </c>
      <c r="J1211" t="s">
        <v>45</v>
      </c>
      <c r="K1211" t="s">
        <v>35</v>
      </c>
      <c r="L1211" t="s">
        <v>36</v>
      </c>
      <c r="M1211" t="s">
        <v>46</v>
      </c>
      <c r="N1211">
        <v>4</v>
      </c>
      <c r="O1211">
        <v>3</v>
      </c>
      <c r="P1211">
        <v>1</v>
      </c>
      <c r="Q1211">
        <v>4</v>
      </c>
      <c r="R1211">
        <v>110.11</v>
      </c>
      <c r="S1211" t="str">
        <f t="shared" si="90"/>
        <v>PY: Media Crit.</v>
      </c>
      <c r="T1211">
        <f t="shared" si="91"/>
        <v>0</v>
      </c>
      <c r="U1211">
        <f t="shared" si="92"/>
        <v>0</v>
      </c>
      <c r="V1211">
        <f t="shared" si="93"/>
        <v>1</v>
      </c>
      <c r="W1211">
        <f t="shared" si="94"/>
        <v>0</v>
      </c>
      <c r="X1211">
        <v>1</v>
      </c>
      <c r="Y1211" s="2">
        <v>45768</v>
      </c>
      <c r="Z1211" s="3" t="s">
        <v>47</v>
      </c>
      <c r="AA1211" t="s">
        <v>39</v>
      </c>
      <c r="AB1211" t="s">
        <v>40</v>
      </c>
      <c r="AC1211" t="s">
        <v>40</v>
      </c>
      <c r="AD1211" t="s">
        <v>184</v>
      </c>
    </row>
    <row r="1212" spans="2:30">
      <c r="B1212">
        <v>2</v>
      </c>
      <c r="C1212">
        <v>1020</v>
      </c>
      <c r="D1212" t="s">
        <v>181</v>
      </c>
      <c r="E1212">
        <v>10048279</v>
      </c>
      <c r="F1212" t="s">
        <v>1307</v>
      </c>
      <c r="G1212" t="s">
        <v>43</v>
      </c>
      <c r="H1212" t="s">
        <v>32</v>
      </c>
      <c r="I1212" t="s">
        <v>183</v>
      </c>
      <c r="J1212" t="s">
        <v>45</v>
      </c>
      <c r="K1212" t="s">
        <v>35</v>
      </c>
      <c r="L1212" t="s">
        <v>36</v>
      </c>
      <c r="M1212" t="s">
        <v>46</v>
      </c>
      <c r="N1212">
        <v>2</v>
      </c>
      <c r="O1212">
        <v>2</v>
      </c>
      <c r="P1212">
        <v>1</v>
      </c>
      <c r="Q1212">
        <v>2</v>
      </c>
      <c r="R1212" s="4">
        <v>1030.29</v>
      </c>
      <c r="S1212" t="str">
        <f t="shared" si="90"/>
        <v>PY: Media Crit.</v>
      </c>
      <c r="T1212">
        <f t="shared" si="91"/>
        <v>0</v>
      </c>
      <c r="U1212">
        <f t="shared" si="92"/>
        <v>0</v>
      </c>
      <c r="V1212">
        <f t="shared" si="93"/>
        <v>1</v>
      </c>
      <c r="W1212">
        <f t="shared" si="94"/>
        <v>0</v>
      </c>
      <c r="X1212">
        <v>1</v>
      </c>
      <c r="Y1212" s="2">
        <v>45768</v>
      </c>
      <c r="Z1212" s="3" t="s">
        <v>47</v>
      </c>
      <c r="AA1212" t="s">
        <v>39</v>
      </c>
      <c r="AB1212" t="s">
        <v>40</v>
      </c>
      <c r="AC1212" t="s">
        <v>40</v>
      </c>
      <c r="AD1212" t="s">
        <v>184</v>
      </c>
    </row>
    <row r="1213" spans="2:30">
      <c r="B1213">
        <v>2</v>
      </c>
      <c r="C1213">
        <v>1020</v>
      </c>
      <c r="D1213" t="s">
        <v>181</v>
      </c>
      <c r="E1213">
        <v>10048534</v>
      </c>
      <c r="F1213" t="s">
        <v>1308</v>
      </c>
      <c r="G1213" t="s">
        <v>43</v>
      </c>
      <c r="H1213" t="s">
        <v>32</v>
      </c>
      <c r="I1213" t="s">
        <v>183</v>
      </c>
      <c r="J1213" t="s">
        <v>45</v>
      </c>
      <c r="K1213" t="s">
        <v>35</v>
      </c>
      <c r="L1213" t="s">
        <v>36</v>
      </c>
      <c r="M1213" t="s">
        <v>69</v>
      </c>
      <c r="N1213">
        <v>4</v>
      </c>
      <c r="O1213">
        <v>3</v>
      </c>
      <c r="P1213">
        <v>1</v>
      </c>
      <c r="Q1213">
        <v>4</v>
      </c>
      <c r="R1213" s="4">
        <v>1908.99</v>
      </c>
      <c r="S1213" t="str">
        <f t="shared" si="90"/>
        <v>PY: Media Crit.</v>
      </c>
      <c r="T1213">
        <f t="shared" si="91"/>
        <v>0</v>
      </c>
      <c r="U1213">
        <f t="shared" si="92"/>
        <v>0</v>
      </c>
      <c r="V1213">
        <f t="shared" si="93"/>
        <v>1</v>
      </c>
      <c r="W1213">
        <f t="shared" si="94"/>
        <v>0</v>
      </c>
      <c r="X1213">
        <v>1</v>
      </c>
      <c r="Y1213" s="2">
        <v>45768</v>
      </c>
      <c r="Z1213" s="3" t="s">
        <v>70</v>
      </c>
      <c r="AA1213" t="s">
        <v>39</v>
      </c>
      <c r="AB1213" t="s">
        <v>40</v>
      </c>
      <c r="AC1213" t="s">
        <v>40</v>
      </c>
      <c r="AD1213" t="s">
        <v>184</v>
      </c>
    </row>
    <row r="1214" spans="2:30">
      <c r="B1214">
        <v>2</v>
      </c>
      <c r="C1214">
        <v>1020</v>
      </c>
      <c r="D1214" t="s">
        <v>181</v>
      </c>
      <c r="E1214">
        <v>10048596</v>
      </c>
      <c r="F1214" t="s">
        <v>1309</v>
      </c>
      <c r="G1214" t="s">
        <v>31</v>
      </c>
      <c r="H1214" t="s">
        <v>32</v>
      </c>
      <c r="I1214" t="s">
        <v>183</v>
      </c>
      <c r="J1214" t="s">
        <v>45</v>
      </c>
      <c r="K1214" t="s">
        <v>35</v>
      </c>
      <c r="L1214" t="s">
        <v>36</v>
      </c>
      <c r="M1214" t="s">
        <v>69</v>
      </c>
      <c r="N1214">
        <v>8</v>
      </c>
      <c r="O1214">
        <v>5</v>
      </c>
      <c r="P1214">
        <v>3</v>
      </c>
      <c r="Q1214">
        <v>7</v>
      </c>
      <c r="R1214" s="4">
        <v>3334.2</v>
      </c>
      <c r="S1214" t="str">
        <f t="shared" si="90"/>
        <v>PX: Baja Crit.</v>
      </c>
      <c r="T1214">
        <f t="shared" si="91"/>
        <v>0</v>
      </c>
      <c r="U1214">
        <f t="shared" si="92"/>
        <v>0</v>
      </c>
      <c r="V1214">
        <f t="shared" si="93"/>
        <v>1</v>
      </c>
      <c r="W1214">
        <f t="shared" si="94"/>
        <v>0</v>
      </c>
      <c r="X1214">
        <v>1</v>
      </c>
      <c r="Y1214" s="2">
        <v>45768</v>
      </c>
      <c r="Z1214" s="3" t="s">
        <v>70</v>
      </c>
      <c r="AA1214" t="s">
        <v>39</v>
      </c>
      <c r="AB1214" t="s">
        <v>40</v>
      </c>
      <c r="AC1214" t="s">
        <v>40</v>
      </c>
      <c r="AD1214" t="s">
        <v>184</v>
      </c>
    </row>
    <row r="1215" spans="2:30">
      <c r="B1215">
        <v>2</v>
      </c>
      <c r="C1215">
        <v>1020</v>
      </c>
      <c r="D1215" t="s">
        <v>181</v>
      </c>
      <c r="E1215">
        <v>10048743</v>
      </c>
      <c r="F1215" t="s">
        <v>1310</v>
      </c>
      <c r="G1215" t="s">
        <v>31</v>
      </c>
      <c r="H1215" t="s">
        <v>60</v>
      </c>
      <c r="I1215" t="s">
        <v>183</v>
      </c>
      <c r="J1215" t="s">
        <v>45</v>
      </c>
      <c r="K1215" t="s">
        <v>35</v>
      </c>
      <c r="L1215" t="s">
        <v>36</v>
      </c>
      <c r="M1215" t="s">
        <v>69</v>
      </c>
      <c r="N1215">
        <v>100</v>
      </c>
      <c r="O1215">
        <v>61</v>
      </c>
      <c r="P1215">
        <v>0</v>
      </c>
      <c r="Q1215">
        <v>100</v>
      </c>
      <c r="R1215">
        <v>663.17</v>
      </c>
      <c r="S1215" t="str">
        <f t="shared" si="90"/>
        <v>PX: Baja Crit.</v>
      </c>
      <c r="T1215">
        <f t="shared" si="91"/>
        <v>0</v>
      </c>
      <c r="U1215">
        <f t="shared" si="92"/>
        <v>0</v>
      </c>
      <c r="V1215">
        <f t="shared" si="93"/>
        <v>1</v>
      </c>
      <c r="W1215">
        <f t="shared" si="94"/>
        <v>0</v>
      </c>
      <c r="X1215">
        <v>1</v>
      </c>
      <c r="Y1215" s="2">
        <v>45768</v>
      </c>
      <c r="Z1215" s="3" t="s">
        <v>70</v>
      </c>
      <c r="AA1215" t="s">
        <v>39</v>
      </c>
      <c r="AB1215" t="s">
        <v>40</v>
      </c>
      <c r="AC1215" t="s">
        <v>40</v>
      </c>
      <c r="AD1215" t="s">
        <v>184</v>
      </c>
    </row>
    <row r="1216" spans="2:30">
      <c r="B1216">
        <v>2</v>
      </c>
      <c r="C1216">
        <v>1020</v>
      </c>
      <c r="D1216" t="s">
        <v>181</v>
      </c>
      <c r="E1216">
        <v>10049896</v>
      </c>
      <c r="F1216" t="s">
        <v>1311</v>
      </c>
      <c r="G1216" t="s">
        <v>31</v>
      </c>
      <c r="H1216" t="s">
        <v>32</v>
      </c>
      <c r="I1216" t="s">
        <v>183</v>
      </c>
      <c r="J1216" t="s">
        <v>45</v>
      </c>
      <c r="K1216" t="s">
        <v>35</v>
      </c>
      <c r="L1216" t="s">
        <v>36</v>
      </c>
      <c r="M1216" t="s">
        <v>55</v>
      </c>
      <c r="N1216">
        <v>100</v>
      </c>
      <c r="O1216">
        <v>61</v>
      </c>
      <c r="P1216">
        <v>10</v>
      </c>
      <c r="Q1216">
        <v>62</v>
      </c>
      <c r="R1216">
        <v>399.49</v>
      </c>
      <c r="S1216" t="str">
        <f t="shared" si="90"/>
        <v>PX: Baja Crit.</v>
      </c>
      <c r="T1216">
        <f t="shared" si="91"/>
        <v>0</v>
      </c>
      <c r="U1216">
        <f t="shared" si="92"/>
        <v>0</v>
      </c>
      <c r="V1216">
        <f t="shared" si="93"/>
        <v>1</v>
      </c>
      <c r="W1216">
        <f t="shared" si="94"/>
        <v>0</v>
      </c>
      <c r="X1216">
        <v>1</v>
      </c>
      <c r="Y1216" s="2">
        <v>45768</v>
      </c>
      <c r="Z1216" s="3" t="s">
        <v>56</v>
      </c>
      <c r="AA1216" t="s">
        <v>39</v>
      </c>
      <c r="AB1216" t="s">
        <v>40</v>
      </c>
      <c r="AC1216" t="s">
        <v>40</v>
      </c>
      <c r="AD1216" t="s">
        <v>184</v>
      </c>
    </row>
    <row r="1217" spans="2:30">
      <c r="B1217">
        <v>2</v>
      </c>
      <c r="C1217">
        <v>1020</v>
      </c>
      <c r="D1217" t="s">
        <v>181</v>
      </c>
      <c r="E1217">
        <v>10049907</v>
      </c>
      <c r="F1217" t="s">
        <v>1312</v>
      </c>
      <c r="G1217" t="s">
        <v>31</v>
      </c>
      <c r="H1217" t="s">
        <v>32</v>
      </c>
      <c r="I1217" t="s">
        <v>183</v>
      </c>
      <c r="J1217" t="s">
        <v>45</v>
      </c>
      <c r="K1217" t="s">
        <v>35</v>
      </c>
      <c r="L1217" t="s">
        <v>36</v>
      </c>
      <c r="M1217" t="s">
        <v>55</v>
      </c>
      <c r="N1217">
        <v>50</v>
      </c>
      <c r="O1217">
        <v>31</v>
      </c>
      <c r="P1217">
        <v>10</v>
      </c>
      <c r="Q1217">
        <v>50</v>
      </c>
      <c r="R1217">
        <v>12.76</v>
      </c>
      <c r="S1217" t="str">
        <f t="shared" si="90"/>
        <v>PX: Baja Crit.</v>
      </c>
      <c r="T1217">
        <f t="shared" si="91"/>
        <v>0</v>
      </c>
      <c r="U1217">
        <f t="shared" si="92"/>
        <v>0</v>
      </c>
      <c r="V1217">
        <f t="shared" si="93"/>
        <v>1</v>
      </c>
      <c r="W1217">
        <f t="shared" si="94"/>
        <v>0</v>
      </c>
      <c r="X1217">
        <v>1</v>
      </c>
      <c r="Y1217" s="2">
        <v>45768</v>
      </c>
      <c r="Z1217" s="3" t="s">
        <v>56</v>
      </c>
      <c r="AA1217" t="s">
        <v>39</v>
      </c>
      <c r="AB1217" t="s">
        <v>40</v>
      </c>
      <c r="AC1217" t="s">
        <v>40</v>
      </c>
      <c r="AD1217" t="s">
        <v>184</v>
      </c>
    </row>
    <row r="1218" spans="2:30">
      <c r="B1218">
        <v>2</v>
      </c>
      <c r="C1218">
        <v>1020</v>
      </c>
      <c r="D1218" t="s">
        <v>384</v>
      </c>
      <c r="E1218">
        <v>10049922</v>
      </c>
      <c r="F1218" t="s">
        <v>1313</v>
      </c>
      <c r="G1218" t="s">
        <v>31</v>
      </c>
      <c r="H1218" t="s">
        <v>32</v>
      </c>
      <c r="I1218" t="s">
        <v>386</v>
      </c>
      <c r="J1218" t="s">
        <v>45</v>
      </c>
      <c r="K1218" t="s">
        <v>35</v>
      </c>
      <c r="L1218" t="s">
        <v>175</v>
      </c>
      <c r="M1218" t="s">
        <v>55</v>
      </c>
      <c r="N1218">
        <v>0</v>
      </c>
      <c r="O1218">
        <v>0</v>
      </c>
      <c r="P1218">
        <v>0</v>
      </c>
      <c r="Q1218">
        <v>0</v>
      </c>
      <c r="R1218">
        <v>0</v>
      </c>
      <c r="S1218" t="str">
        <f t="shared" ref="S1218:S1281" si="95">+IF(G1218="PZ", "PZ: Alta Crit.",IF(G1218="PY","PY: Media Crit.", "PX: Baja Crit."))</f>
        <v>PX: Baja Crit.</v>
      </c>
      <c r="T1218">
        <f t="shared" ref="T1218:T1281" si="96">+IF(Q1218=0,1,0)</f>
        <v>1</v>
      </c>
      <c r="U1218">
        <f t="shared" ref="U1218:U1281" si="97">+IF(AND(Q1218&lt;=P1218,Q1218&gt;0),1,0)</f>
        <v>0</v>
      </c>
      <c r="V1218">
        <f t="shared" ref="V1218:V1281" si="98">+IF(AND(Q1218&gt;P1218,Q1218&lt;=N1218),1,0)</f>
        <v>0</v>
      </c>
      <c r="W1218">
        <f t="shared" ref="W1218:W1281" si="99">+IF(Q1218&gt;N1218,1,0)</f>
        <v>0</v>
      </c>
      <c r="X1218">
        <v>1</v>
      </c>
      <c r="Y1218" s="2">
        <v>45768</v>
      </c>
      <c r="Z1218" s="3" t="s">
        <v>56</v>
      </c>
      <c r="AA1218" t="s">
        <v>39</v>
      </c>
      <c r="AB1218" t="s">
        <v>40</v>
      </c>
      <c r="AC1218" t="s">
        <v>40</v>
      </c>
      <c r="AD1218" t="s">
        <v>387</v>
      </c>
    </row>
    <row r="1219" spans="2:30">
      <c r="B1219">
        <v>2</v>
      </c>
      <c r="C1219">
        <v>1020</v>
      </c>
      <c r="D1219" t="s">
        <v>384</v>
      </c>
      <c r="E1219">
        <v>10049951</v>
      </c>
      <c r="F1219" t="s">
        <v>1314</v>
      </c>
      <c r="G1219" t="s">
        <v>31</v>
      </c>
      <c r="H1219" t="s">
        <v>32</v>
      </c>
      <c r="I1219" t="s">
        <v>386</v>
      </c>
      <c r="J1219" t="s">
        <v>45</v>
      </c>
      <c r="K1219" t="s">
        <v>35</v>
      </c>
      <c r="L1219" t="s">
        <v>175</v>
      </c>
      <c r="M1219" t="s">
        <v>46</v>
      </c>
      <c r="N1219">
        <v>0</v>
      </c>
      <c r="O1219">
        <v>0</v>
      </c>
      <c r="P1219">
        <v>0</v>
      </c>
      <c r="Q1219">
        <v>0</v>
      </c>
      <c r="R1219">
        <v>0</v>
      </c>
      <c r="S1219" t="str">
        <f t="shared" si="95"/>
        <v>PX: Baja Crit.</v>
      </c>
      <c r="T1219">
        <f t="shared" si="96"/>
        <v>1</v>
      </c>
      <c r="U1219">
        <f t="shared" si="97"/>
        <v>0</v>
      </c>
      <c r="V1219">
        <f t="shared" si="98"/>
        <v>0</v>
      </c>
      <c r="W1219">
        <f t="shared" si="99"/>
        <v>0</v>
      </c>
      <c r="X1219">
        <v>1</v>
      </c>
      <c r="Y1219" s="2">
        <v>45768</v>
      </c>
      <c r="Z1219" s="3" t="s">
        <v>47</v>
      </c>
      <c r="AA1219" t="s">
        <v>39</v>
      </c>
      <c r="AB1219" t="s">
        <v>40</v>
      </c>
      <c r="AC1219" t="s">
        <v>40</v>
      </c>
      <c r="AD1219" t="s">
        <v>387</v>
      </c>
    </row>
    <row r="1220" spans="2:30">
      <c r="B1220">
        <v>2</v>
      </c>
      <c r="C1220">
        <v>1020</v>
      </c>
      <c r="D1220" t="s">
        <v>384</v>
      </c>
      <c r="E1220">
        <v>10050249</v>
      </c>
      <c r="F1220" t="s">
        <v>1315</v>
      </c>
      <c r="G1220" t="s">
        <v>31</v>
      </c>
      <c r="H1220" t="s">
        <v>32</v>
      </c>
      <c r="I1220" t="s">
        <v>386</v>
      </c>
      <c r="J1220" t="s">
        <v>45</v>
      </c>
      <c r="K1220" t="s">
        <v>35</v>
      </c>
      <c r="L1220" t="s">
        <v>175</v>
      </c>
      <c r="M1220" t="s">
        <v>37</v>
      </c>
      <c r="N1220">
        <v>0</v>
      </c>
      <c r="O1220">
        <v>0</v>
      </c>
      <c r="P1220">
        <v>0</v>
      </c>
      <c r="Q1220">
        <v>0</v>
      </c>
      <c r="R1220">
        <v>0</v>
      </c>
      <c r="S1220" t="str">
        <f t="shared" si="95"/>
        <v>PX: Baja Crit.</v>
      </c>
      <c r="T1220">
        <f t="shared" si="96"/>
        <v>1</v>
      </c>
      <c r="U1220">
        <f t="shared" si="97"/>
        <v>0</v>
      </c>
      <c r="V1220">
        <f t="shared" si="98"/>
        <v>0</v>
      </c>
      <c r="W1220">
        <f t="shared" si="99"/>
        <v>0</v>
      </c>
      <c r="X1220">
        <v>1</v>
      </c>
      <c r="Y1220" s="2">
        <v>45768</v>
      </c>
      <c r="Z1220" s="3" t="s">
        <v>38</v>
      </c>
      <c r="AA1220" t="s">
        <v>39</v>
      </c>
      <c r="AB1220" t="s">
        <v>40</v>
      </c>
      <c r="AC1220" t="s">
        <v>40</v>
      </c>
      <c r="AD1220" t="s">
        <v>387</v>
      </c>
    </row>
    <row r="1221" spans="2:30">
      <c r="B1221">
        <v>2</v>
      </c>
      <c r="C1221">
        <v>1020</v>
      </c>
      <c r="D1221" t="s">
        <v>693</v>
      </c>
      <c r="E1221">
        <v>10050272</v>
      </c>
      <c r="F1221" t="s">
        <v>1316</v>
      </c>
      <c r="G1221" t="s">
        <v>31</v>
      </c>
      <c r="H1221" t="s">
        <v>32</v>
      </c>
      <c r="I1221" t="s">
        <v>695</v>
      </c>
      <c r="J1221" t="s">
        <v>45</v>
      </c>
      <c r="K1221" t="s">
        <v>252</v>
      </c>
      <c r="L1221" t="s">
        <v>175</v>
      </c>
      <c r="M1221" t="s">
        <v>37</v>
      </c>
      <c r="N1221">
        <v>0</v>
      </c>
      <c r="O1221">
        <v>0</v>
      </c>
      <c r="P1221">
        <v>0</v>
      </c>
      <c r="Q1221">
        <v>2</v>
      </c>
      <c r="R1221">
        <v>134.47</v>
      </c>
      <c r="S1221" t="str">
        <f t="shared" si="95"/>
        <v>PX: Baja Crit.</v>
      </c>
      <c r="T1221">
        <f t="shared" si="96"/>
        <v>0</v>
      </c>
      <c r="U1221">
        <f t="shared" si="97"/>
        <v>0</v>
      </c>
      <c r="V1221">
        <f t="shared" si="98"/>
        <v>0</v>
      </c>
      <c r="W1221">
        <f t="shared" si="99"/>
        <v>1</v>
      </c>
      <c r="X1221">
        <v>1</v>
      </c>
      <c r="Y1221" s="2">
        <v>45768</v>
      </c>
      <c r="Z1221" s="3" t="s">
        <v>38</v>
      </c>
      <c r="AA1221" t="s">
        <v>39</v>
      </c>
      <c r="AB1221" t="s">
        <v>40</v>
      </c>
      <c r="AC1221" t="s">
        <v>40</v>
      </c>
      <c r="AD1221" t="s">
        <v>696</v>
      </c>
    </row>
    <row r="1222" spans="2:30">
      <c r="B1222">
        <v>2</v>
      </c>
      <c r="C1222">
        <v>1020</v>
      </c>
      <c r="D1222" t="s">
        <v>181</v>
      </c>
      <c r="E1222">
        <v>10050279</v>
      </c>
      <c r="F1222" t="s">
        <v>1317</v>
      </c>
      <c r="G1222" t="s">
        <v>43</v>
      </c>
      <c r="H1222" t="s">
        <v>44</v>
      </c>
      <c r="I1222" t="s">
        <v>183</v>
      </c>
      <c r="J1222" t="s">
        <v>45</v>
      </c>
      <c r="K1222" t="s">
        <v>35</v>
      </c>
      <c r="L1222" t="s">
        <v>36</v>
      </c>
      <c r="M1222" t="s">
        <v>88</v>
      </c>
      <c r="N1222">
        <v>11</v>
      </c>
      <c r="O1222">
        <v>6</v>
      </c>
      <c r="P1222">
        <v>2</v>
      </c>
      <c r="Q1222">
        <v>0</v>
      </c>
      <c r="R1222">
        <v>0</v>
      </c>
      <c r="S1222" t="str">
        <f t="shared" si="95"/>
        <v>PY: Media Crit.</v>
      </c>
      <c r="T1222">
        <f t="shared" si="96"/>
        <v>1</v>
      </c>
      <c r="U1222">
        <f t="shared" si="97"/>
        <v>0</v>
      </c>
      <c r="V1222">
        <f t="shared" si="98"/>
        <v>0</v>
      </c>
      <c r="W1222">
        <f t="shared" si="99"/>
        <v>0</v>
      </c>
      <c r="X1222">
        <v>1</v>
      </c>
      <c r="Y1222" s="2">
        <v>45768</v>
      </c>
      <c r="Z1222" s="3" t="s">
        <v>89</v>
      </c>
      <c r="AA1222" t="s">
        <v>39</v>
      </c>
      <c r="AB1222" t="s">
        <v>49</v>
      </c>
      <c r="AC1222" s="5" t="s">
        <v>50</v>
      </c>
      <c r="AD1222" t="s">
        <v>184</v>
      </c>
    </row>
    <row r="1223" spans="2:30">
      <c r="B1223">
        <v>2</v>
      </c>
      <c r="C1223">
        <v>1020</v>
      </c>
      <c r="D1223" t="s">
        <v>181</v>
      </c>
      <c r="E1223">
        <v>10050287</v>
      </c>
      <c r="F1223" t="s">
        <v>1318</v>
      </c>
      <c r="G1223" t="s">
        <v>31</v>
      </c>
      <c r="H1223" t="s">
        <v>32</v>
      </c>
      <c r="I1223" t="s">
        <v>183</v>
      </c>
      <c r="J1223" t="s">
        <v>45</v>
      </c>
      <c r="K1223" t="s">
        <v>35</v>
      </c>
      <c r="L1223" t="s">
        <v>36</v>
      </c>
      <c r="M1223" t="s">
        <v>37</v>
      </c>
      <c r="N1223">
        <v>20</v>
      </c>
      <c r="O1223">
        <v>11</v>
      </c>
      <c r="P1223">
        <v>0</v>
      </c>
      <c r="Q1223">
        <v>15</v>
      </c>
      <c r="R1223">
        <v>465</v>
      </c>
      <c r="S1223" t="str">
        <f t="shared" si="95"/>
        <v>PX: Baja Crit.</v>
      </c>
      <c r="T1223">
        <f t="shared" si="96"/>
        <v>0</v>
      </c>
      <c r="U1223">
        <f t="shared" si="97"/>
        <v>0</v>
      </c>
      <c r="V1223">
        <f t="shared" si="98"/>
        <v>1</v>
      </c>
      <c r="W1223">
        <f t="shared" si="99"/>
        <v>0</v>
      </c>
      <c r="X1223">
        <v>1</v>
      </c>
      <c r="Y1223" s="2">
        <v>45768</v>
      </c>
      <c r="Z1223" s="3" t="s">
        <v>38</v>
      </c>
      <c r="AA1223" t="s">
        <v>39</v>
      </c>
      <c r="AB1223" t="s">
        <v>40</v>
      </c>
      <c r="AC1223" t="s">
        <v>40</v>
      </c>
      <c r="AD1223" t="s">
        <v>184</v>
      </c>
    </row>
    <row r="1224" spans="2:30">
      <c r="B1224">
        <v>2</v>
      </c>
      <c r="C1224">
        <v>1020</v>
      </c>
      <c r="D1224" t="s">
        <v>181</v>
      </c>
      <c r="E1224">
        <v>10050306</v>
      </c>
      <c r="F1224" t="s">
        <v>1319</v>
      </c>
      <c r="G1224" t="s">
        <v>31</v>
      </c>
      <c r="H1224" t="s">
        <v>32</v>
      </c>
      <c r="I1224" t="s">
        <v>183</v>
      </c>
      <c r="J1224" t="s">
        <v>34</v>
      </c>
      <c r="K1224" t="s">
        <v>35</v>
      </c>
      <c r="L1224" t="s">
        <v>36</v>
      </c>
      <c r="M1224" t="s">
        <v>69</v>
      </c>
      <c r="N1224">
        <v>4</v>
      </c>
      <c r="O1224">
        <v>3</v>
      </c>
      <c r="P1224">
        <v>1</v>
      </c>
      <c r="Q1224">
        <v>11</v>
      </c>
      <c r="R1224" s="4">
        <v>1042.1099999999999</v>
      </c>
      <c r="S1224" t="str">
        <f t="shared" si="95"/>
        <v>PX: Baja Crit.</v>
      </c>
      <c r="T1224">
        <f t="shared" si="96"/>
        <v>0</v>
      </c>
      <c r="U1224">
        <f t="shared" si="97"/>
        <v>0</v>
      </c>
      <c r="V1224">
        <f t="shared" si="98"/>
        <v>0</v>
      </c>
      <c r="W1224">
        <f t="shared" si="99"/>
        <v>1</v>
      </c>
      <c r="X1224">
        <v>1</v>
      </c>
      <c r="Y1224" s="2">
        <v>45768</v>
      </c>
      <c r="Z1224" s="3" t="s">
        <v>70</v>
      </c>
      <c r="AA1224" t="s">
        <v>39</v>
      </c>
      <c r="AB1224" t="s">
        <v>40</v>
      </c>
      <c r="AC1224" t="s">
        <v>40</v>
      </c>
      <c r="AD1224" t="s">
        <v>184</v>
      </c>
    </row>
    <row r="1225" spans="2:30">
      <c r="B1225">
        <v>2</v>
      </c>
      <c r="C1225">
        <v>1020</v>
      </c>
      <c r="D1225" t="s">
        <v>693</v>
      </c>
      <c r="E1225">
        <v>10050529</v>
      </c>
      <c r="F1225" t="s">
        <v>1320</v>
      </c>
      <c r="G1225" t="s">
        <v>43</v>
      </c>
      <c r="H1225" t="s">
        <v>32</v>
      </c>
      <c r="I1225" t="s">
        <v>695</v>
      </c>
      <c r="J1225" t="s">
        <v>45</v>
      </c>
      <c r="K1225" t="s">
        <v>35</v>
      </c>
      <c r="L1225" t="s">
        <v>175</v>
      </c>
      <c r="M1225" t="s">
        <v>88</v>
      </c>
      <c r="N1225">
        <v>0</v>
      </c>
      <c r="O1225">
        <v>0</v>
      </c>
      <c r="P1225">
        <v>0</v>
      </c>
      <c r="Q1225">
        <v>15</v>
      </c>
      <c r="R1225">
        <v>0</v>
      </c>
      <c r="S1225" t="str">
        <f t="shared" si="95"/>
        <v>PY: Media Crit.</v>
      </c>
      <c r="T1225">
        <f t="shared" si="96"/>
        <v>0</v>
      </c>
      <c r="U1225">
        <f t="shared" si="97"/>
        <v>0</v>
      </c>
      <c r="V1225">
        <f t="shared" si="98"/>
        <v>0</v>
      </c>
      <c r="W1225">
        <f t="shared" si="99"/>
        <v>1</v>
      </c>
      <c r="X1225">
        <v>1</v>
      </c>
      <c r="Y1225" s="2">
        <v>45768</v>
      </c>
      <c r="Z1225" s="3" t="s">
        <v>89</v>
      </c>
      <c r="AA1225" t="s">
        <v>39</v>
      </c>
      <c r="AB1225" t="s">
        <v>40</v>
      </c>
      <c r="AC1225" t="s">
        <v>40</v>
      </c>
      <c r="AD1225" t="s">
        <v>696</v>
      </c>
    </row>
    <row r="1226" spans="2:30">
      <c r="B1226">
        <v>2</v>
      </c>
      <c r="C1226">
        <v>1020</v>
      </c>
      <c r="D1226" t="s">
        <v>693</v>
      </c>
      <c r="E1226">
        <v>10050571</v>
      </c>
      <c r="F1226" t="s">
        <v>1321</v>
      </c>
      <c r="G1226" t="s">
        <v>31</v>
      </c>
      <c r="H1226" t="s">
        <v>32</v>
      </c>
      <c r="I1226" t="s">
        <v>695</v>
      </c>
      <c r="J1226" t="s">
        <v>45</v>
      </c>
      <c r="K1226" t="s">
        <v>35</v>
      </c>
      <c r="L1226" t="s">
        <v>175</v>
      </c>
      <c r="M1226" t="s">
        <v>55</v>
      </c>
      <c r="N1226">
        <v>0</v>
      </c>
      <c r="O1226">
        <v>0</v>
      </c>
      <c r="P1226">
        <v>0</v>
      </c>
      <c r="Q1226">
        <v>0</v>
      </c>
      <c r="R1226">
        <v>0</v>
      </c>
      <c r="S1226" t="str">
        <f t="shared" si="95"/>
        <v>PX: Baja Crit.</v>
      </c>
      <c r="T1226">
        <f t="shared" si="96"/>
        <v>1</v>
      </c>
      <c r="U1226">
        <f t="shared" si="97"/>
        <v>0</v>
      </c>
      <c r="V1226">
        <f t="shared" si="98"/>
        <v>0</v>
      </c>
      <c r="W1226">
        <f t="shared" si="99"/>
        <v>0</v>
      </c>
      <c r="X1226">
        <v>1</v>
      </c>
      <c r="Y1226" s="2">
        <v>45768</v>
      </c>
      <c r="Z1226" s="3" t="s">
        <v>56</v>
      </c>
      <c r="AA1226" t="s">
        <v>39</v>
      </c>
      <c r="AB1226" t="s">
        <v>40</v>
      </c>
      <c r="AC1226" t="s">
        <v>40</v>
      </c>
      <c r="AD1226" t="s">
        <v>696</v>
      </c>
    </row>
    <row r="1227" spans="2:30">
      <c r="B1227">
        <v>2</v>
      </c>
      <c r="C1227">
        <v>1020</v>
      </c>
      <c r="D1227" t="s">
        <v>181</v>
      </c>
      <c r="E1227">
        <v>10050572</v>
      </c>
      <c r="F1227" t="s">
        <v>1322</v>
      </c>
      <c r="G1227" t="s">
        <v>31</v>
      </c>
      <c r="H1227" t="s">
        <v>32</v>
      </c>
      <c r="I1227" t="s">
        <v>183</v>
      </c>
      <c r="J1227" t="s">
        <v>45</v>
      </c>
      <c r="K1227" t="s">
        <v>35</v>
      </c>
      <c r="L1227" t="s">
        <v>36</v>
      </c>
      <c r="M1227" t="s">
        <v>55</v>
      </c>
      <c r="N1227">
        <v>50</v>
      </c>
      <c r="O1227">
        <v>31</v>
      </c>
      <c r="P1227">
        <v>10</v>
      </c>
      <c r="Q1227">
        <v>50</v>
      </c>
      <c r="R1227">
        <v>43.39</v>
      </c>
      <c r="S1227" t="str">
        <f t="shared" si="95"/>
        <v>PX: Baja Crit.</v>
      </c>
      <c r="T1227">
        <f t="shared" si="96"/>
        <v>0</v>
      </c>
      <c r="U1227">
        <f t="shared" si="97"/>
        <v>0</v>
      </c>
      <c r="V1227">
        <f t="shared" si="98"/>
        <v>1</v>
      </c>
      <c r="W1227">
        <f t="shared" si="99"/>
        <v>0</v>
      </c>
      <c r="X1227">
        <v>1</v>
      </c>
      <c r="Y1227" s="2">
        <v>45768</v>
      </c>
      <c r="Z1227" s="3" t="s">
        <v>56</v>
      </c>
      <c r="AA1227" t="s">
        <v>39</v>
      </c>
      <c r="AB1227" t="s">
        <v>40</v>
      </c>
      <c r="AC1227" t="s">
        <v>40</v>
      </c>
      <c r="AD1227" t="s">
        <v>184</v>
      </c>
    </row>
    <row r="1228" spans="2:30">
      <c r="B1228">
        <v>2</v>
      </c>
      <c r="C1228">
        <v>1020</v>
      </c>
      <c r="D1228" t="s">
        <v>181</v>
      </c>
      <c r="E1228">
        <v>10050616</v>
      </c>
      <c r="F1228" t="s">
        <v>1323</v>
      </c>
      <c r="G1228" t="s">
        <v>31</v>
      </c>
      <c r="H1228" t="s">
        <v>60</v>
      </c>
      <c r="I1228" t="s">
        <v>183</v>
      </c>
      <c r="J1228" t="s">
        <v>45</v>
      </c>
      <c r="K1228" t="s">
        <v>35</v>
      </c>
      <c r="L1228" t="s">
        <v>36</v>
      </c>
      <c r="M1228" t="s">
        <v>55</v>
      </c>
      <c r="N1228">
        <v>80</v>
      </c>
      <c r="O1228">
        <v>51</v>
      </c>
      <c r="P1228">
        <v>10</v>
      </c>
      <c r="Q1228">
        <v>80</v>
      </c>
      <c r="R1228">
        <v>68.290000000000006</v>
      </c>
      <c r="S1228" t="str">
        <f t="shared" si="95"/>
        <v>PX: Baja Crit.</v>
      </c>
      <c r="T1228">
        <f t="shared" si="96"/>
        <v>0</v>
      </c>
      <c r="U1228">
        <f t="shared" si="97"/>
        <v>0</v>
      </c>
      <c r="V1228">
        <f t="shared" si="98"/>
        <v>1</v>
      </c>
      <c r="W1228">
        <f t="shared" si="99"/>
        <v>0</v>
      </c>
      <c r="X1228">
        <v>1</v>
      </c>
      <c r="Y1228" s="2">
        <v>45768</v>
      </c>
      <c r="Z1228" s="3" t="s">
        <v>56</v>
      </c>
      <c r="AA1228" t="s">
        <v>39</v>
      </c>
      <c r="AB1228" t="s">
        <v>40</v>
      </c>
      <c r="AC1228" t="s">
        <v>40</v>
      </c>
      <c r="AD1228" t="s">
        <v>184</v>
      </c>
    </row>
    <row r="1229" spans="2:30">
      <c r="B1229">
        <v>2</v>
      </c>
      <c r="C1229">
        <v>1020</v>
      </c>
      <c r="D1229" t="s">
        <v>181</v>
      </c>
      <c r="E1229">
        <v>10050617</v>
      </c>
      <c r="F1229" t="s">
        <v>1324</v>
      </c>
      <c r="G1229" t="s">
        <v>31</v>
      </c>
      <c r="H1229" t="s">
        <v>32</v>
      </c>
      <c r="I1229" t="s">
        <v>183</v>
      </c>
      <c r="J1229" t="s">
        <v>45</v>
      </c>
      <c r="K1229" t="s">
        <v>35</v>
      </c>
      <c r="L1229" t="s">
        <v>36</v>
      </c>
      <c r="M1229" t="s">
        <v>55</v>
      </c>
      <c r="N1229">
        <v>30</v>
      </c>
      <c r="O1229">
        <v>21</v>
      </c>
      <c r="P1229">
        <v>4</v>
      </c>
      <c r="Q1229">
        <v>30</v>
      </c>
      <c r="R1229">
        <v>18.84</v>
      </c>
      <c r="S1229" t="str">
        <f t="shared" si="95"/>
        <v>PX: Baja Crit.</v>
      </c>
      <c r="T1229">
        <f t="shared" si="96"/>
        <v>0</v>
      </c>
      <c r="U1229">
        <f t="shared" si="97"/>
        <v>0</v>
      </c>
      <c r="V1229">
        <f t="shared" si="98"/>
        <v>1</v>
      </c>
      <c r="W1229">
        <f t="shared" si="99"/>
        <v>0</v>
      </c>
      <c r="X1229">
        <v>1</v>
      </c>
      <c r="Y1229" s="2">
        <v>45768</v>
      </c>
      <c r="Z1229" s="3" t="s">
        <v>56</v>
      </c>
      <c r="AA1229" t="s">
        <v>39</v>
      </c>
      <c r="AB1229" t="s">
        <v>40</v>
      </c>
      <c r="AC1229" t="s">
        <v>40</v>
      </c>
      <c r="AD1229" t="s">
        <v>184</v>
      </c>
    </row>
    <row r="1230" spans="2:30">
      <c r="B1230">
        <v>2</v>
      </c>
      <c r="C1230">
        <v>1020</v>
      </c>
      <c r="D1230" t="s">
        <v>181</v>
      </c>
      <c r="E1230">
        <v>10050663</v>
      </c>
      <c r="F1230" t="s">
        <v>1325</v>
      </c>
      <c r="G1230" t="s">
        <v>31</v>
      </c>
      <c r="H1230" t="s">
        <v>32</v>
      </c>
      <c r="I1230" t="s">
        <v>183</v>
      </c>
      <c r="J1230" t="s">
        <v>45</v>
      </c>
      <c r="K1230" t="s">
        <v>35</v>
      </c>
      <c r="L1230" t="s">
        <v>36</v>
      </c>
      <c r="M1230" t="s">
        <v>55</v>
      </c>
      <c r="N1230">
        <v>60</v>
      </c>
      <c r="O1230">
        <v>31</v>
      </c>
      <c r="P1230">
        <v>5</v>
      </c>
      <c r="Q1230">
        <v>40</v>
      </c>
      <c r="R1230">
        <v>142.47999999999999</v>
      </c>
      <c r="S1230" t="str">
        <f t="shared" si="95"/>
        <v>PX: Baja Crit.</v>
      </c>
      <c r="T1230">
        <f t="shared" si="96"/>
        <v>0</v>
      </c>
      <c r="U1230">
        <f t="shared" si="97"/>
        <v>0</v>
      </c>
      <c r="V1230">
        <f t="shared" si="98"/>
        <v>1</v>
      </c>
      <c r="W1230">
        <f t="shared" si="99"/>
        <v>0</v>
      </c>
      <c r="X1230">
        <v>1</v>
      </c>
      <c r="Y1230" s="2">
        <v>45768</v>
      </c>
      <c r="Z1230" s="3" t="s">
        <v>56</v>
      </c>
      <c r="AA1230" t="s">
        <v>39</v>
      </c>
      <c r="AB1230" t="s">
        <v>40</v>
      </c>
      <c r="AC1230" t="s">
        <v>40</v>
      </c>
      <c r="AD1230" t="s">
        <v>184</v>
      </c>
    </row>
    <row r="1231" spans="2:30">
      <c r="B1231">
        <v>2</v>
      </c>
      <c r="C1231">
        <v>1020</v>
      </c>
      <c r="D1231" t="s">
        <v>181</v>
      </c>
      <c r="E1231">
        <v>10050665</v>
      </c>
      <c r="F1231" t="s">
        <v>1326</v>
      </c>
      <c r="G1231" t="s">
        <v>31</v>
      </c>
      <c r="H1231" t="s">
        <v>32</v>
      </c>
      <c r="I1231" t="s">
        <v>183</v>
      </c>
      <c r="J1231" t="s">
        <v>45</v>
      </c>
      <c r="K1231" t="s">
        <v>35</v>
      </c>
      <c r="L1231" t="s">
        <v>36</v>
      </c>
      <c r="M1231" t="s">
        <v>37</v>
      </c>
      <c r="N1231">
        <v>10</v>
      </c>
      <c r="O1231">
        <v>6</v>
      </c>
      <c r="P1231">
        <v>3</v>
      </c>
      <c r="Q1231">
        <v>10</v>
      </c>
      <c r="R1231">
        <v>812.09</v>
      </c>
      <c r="S1231" t="str">
        <f t="shared" si="95"/>
        <v>PX: Baja Crit.</v>
      </c>
      <c r="T1231">
        <f t="shared" si="96"/>
        <v>0</v>
      </c>
      <c r="U1231">
        <f t="shared" si="97"/>
        <v>0</v>
      </c>
      <c r="V1231">
        <f t="shared" si="98"/>
        <v>1</v>
      </c>
      <c r="W1231">
        <f t="shared" si="99"/>
        <v>0</v>
      </c>
      <c r="X1231">
        <v>1</v>
      </c>
      <c r="Y1231" s="2">
        <v>45768</v>
      </c>
      <c r="Z1231" s="3" t="s">
        <v>38</v>
      </c>
      <c r="AA1231" t="s">
        <v>39</v>
      </c>
      <c r="AB1231" t="s">
        <v>40</v>
      </c>
      <c r="AC1231" t="s">
        <v>40</v>
      </c>
      <c r="AD1231" t="s">
        <v>184</v>
      </c>
    </row>
    <row r="1232" spans="2:30">
      <c r="B1232">
        <v>2</v>
      </c>
      <c r="C1232">
        <v>1020</v>
      </c>
      <c r="D1232" t="s">
        <v>181</v>
      </c>
      <c r="E1232">
        <v>10050768</v>
      </c>
      <c r="F1232" t="s">
        <v>1327</v>
      </c>
      <c r="G1232" t="s">
        <v>31</v>
      </c>
      <c r="H1232" t="s">
        <v>32</v>
      </c>
      <c r="I1232" t="s">
        <v>183</v>
      </c>
      <c r="J1232" t="s">
        <v>45</v>
      </c>
      <c r="K1232" t="s">
        <v>35</v>
      </c>
      <c r="L1232" t="s">
        <v>36</v>
      </c>
      <c r="M1232" t="s">
        <v>69</v>
      </c>
      <c r="N1232">
        <v>30</v>
      </c>
      <c r="O1232">
        <v>11</v>
      </c>
      <c r="P1232">
        <v>2</v>
      </c>
      <c r="Q1232">
        <v>30</v>
      </c>
      <c r="R1232">
        <v>136.16</v>
      </c>
      <c r="S1232" t="str">
        <f t="shared" si="95"/>
        <v>PX: Baja Crit.</v>
      </c>
      <c r="T1232">
        <f t="shared" si="96"/>
        <v>0</v>
      </c>
      <c r="U1232">
        <f t="shared" si="97"/>
        <v>0</v>
      </c>
      <c r="V1232">
        <f t="shared" si="98"/>
        <v>1</v>
      </c>
      <c r="W1232">
        <f t="shared" si="99"/>
        <v>0</v>
      </c>
      <c r="X1232">
        <v>1</v>
      </c>
      <c r="Y1232" s="2">
        <v>45768</v>
      </c>
      <c r="Z1232" s="3" t="s">
        <v>70</v>
      </c>
      <c r="AA1232" t="s">
        <v>39</v>
      </c>
      <c r="AB1232" t="s">
        <v>40</v>
      </c>
      <c r="AC1232" t="s">
        <v>40</v>
      </c>
      <c r="AD1232" t="s">
        <v>184</v>
      </c>
    </row>
    <row r="1233" spans="2:30">
      <c r="B1233">
        <v>2</v>
      </c>
      <c r="C1233">
        <v>1020</v>
      </c>
      <c r="D1233" t="s">
        <v>181</v>
      </c>
      <c r="E1233">
        <v>10050840</v>
      </c>
      <c r="F1233" t="s">
        <v>1328</v>
      </c>
      <c r="G1233" t="s">
        <v>31</v>
      </c>
      <c r="H1233" t="s">
        <v>32</v>
      </c>
      <c r="I1233" t="s">
        <v>183</v>
      </c>
      <c r="J1233" t="s">
        <v>34</v>
      </c>
      <c r="K1233" t="s">
        <v>35</v>
      </c>
      <c r="L1233" t="s">
        <v>36</v>
      </c>
      <c r="M1233" t="s">
        <v>88</v>
      </c>
      <c r="N1233">
        <v>30</v>
      </c>
      <c r="O1233">
        <v>21</v>
      </c>
      <c r="P1233">
        <v>10</v>
      </c>
      <c r="Q1233">
        <v>30</v>
      </c>
      <c r="R1233">
        <v>50.7</v>
      </c>
      <c r="S1233" t="str">
        <f t="shared" si="95"/>
        <v>PX: Baja Crit.</v>
      </c>
      <c r="T1233">
        <f t="shared" si="96"/>
        <v>0</v>
      </c>
      <c r="U1233">
        <f t="shared" si="97"/>
        <v>0</v>
      </c>
      <c r="V1233">
        <f t="shared" si="98"/>
        <v>1</v>
      </c>
      <c r="W1233">
        <f t="shared" si="99"/>
        <v>0</v>
      </c>
      <c r="X1233">
        <v>1</v>
      </c>
      <c r="Y1233" s="2">
        <v>45768</v>
      </c>
      <c r="Z1233" s="3" t="s">
        <v>89</v>
      </c>
      <c r="AA1233" t="s">
        <v>39</v>
      </c>
      <c r="AB1233" t="s">
        <v>40</v>
      </c>
      <c r="AC1233" t="s">
        <v>40</v>
      </c>
      <c r="AD1233" t="s">
        <v>184</v>
      </c>
    </row>
    <row r="1234" spans="2:30">
      <c r="B1234">
        <v>2</v>
      </c>
      <c r="C1234">
        <v>1020</v>
      </c>
      <c r="D1234" t="s">
        <v>388</v>
      </c>
      <c r="E1234">
        <v>10052565</v>
      </c>
      <c r="F1234" t="s">
        <v>1329</v>
      </c>
      <c r="G1234" t="s">
        <v>31</v>
      </c>
      <c r="H1234" t="s">
        <v>44</v>
      </c>
      <c r="I1234" t="s">
        <v>390</v>
      </c>
      <c r="J1234" t="s">
        <v>45</v>
      </c>
      <c r="K1234" t="s">
        <v>35</v>
      </c>
      <c r="L1234" t="s">
        <v>175</v>
      </c>
      <c r="M1234" t="s">
        <v>37</v>
      </c>
      <c r="N1234">
        <v>0</v>
      </c>
      <c r="O1234">
        <v>0</v>
      </c>
      <c r="P1234">
        <v>1</v>
      </c>
      <c r="Q1234">
        <v>1</v>
      </c>
      <c r="R1234" s="4">
        <v>8270.3700000000008</v>
      </c>
      <c r="S1234" t="str">
        <f t="shared" si="95"/>
        <v>PX: Baja Crit.</v>
      </c>
      <c r="T1234">
        <f t="shared" si="96"/>
        <v>0</v>
      </c>
      <c r="U1234">
        <f t="shared" si="97"/>
        <v>1</v>
      </c>
      <c r="V1234">
        <f t="shared" si="98"/>
        <v>0</v>
      </c>
      <c r="W1234">
        <f t="shared" si="99"/>
        <v>1</v>
      </c>
      <c r="X1234">
        <v>1</v>
      </c>
      <c r="Y1234" s="2">
        <v>45768</v>
      </c>
      <c r="Z1234" s="3" t="s">
        <v>38</v>
      </c>
      <c r="AA1234" t="s">
        <v>39</v>
      </c>
      <c r="AB1234" t="s">
        <v>40</v>
      </c>
      <c r="AC1234" t="s">
        <v>40</v>
      </c>
      <c r="AD1234" t="s">
        <v>391</v>
      </c>
    </row>
    <row r="1235" spans="2:30">
      <c r="B1235">
        <v>2</v>
      </c>
      <c r="C1235">
        <v>1020</v>
      </c>
      <c r="D1235" t="s">
        <v>388</v>
      </c>
      <c r="E1235">
        <v>10053566</v>
      </c>
      <c r="F1235" t="s">
        <v>1330</v>
      </c>
      <c r="G1235" t="s">
        <v>52</v>
      </c>
      <c r="H1235" t="s">
        <v>32</v>
      </c>
      <c r="I1235" t="s">
        <v>390</v>
      </c>
      <c r="J1235" t="s">
        <v>45</v>
      </c>
      <c r="K1235" t="s">
        <v>35</v>
      </c>
      <c r="L1235" t="s">
        <v>175</v>
      </c>
      <c r="M1235" t="s">
        <v>117</v>
      </c>
      <c r="N1235">
        <v>0</v>
      </c>
      <c r="O1235">
        <v>0</v>
      </c>
      <c r="P1235">
        <v>2</v>
      </c>
      <c r="Q1235">
        <v>2</v>
      </c>
      <c r="R1235" s="4">
        <v>78568.56</v>
      </c>
      <c r="S1235" t="str">
        <f t="shared" si="95"/>
        <v>PZ: Alta Crit.</v>
      </c>
      <c r="T1235">
        <f t="shared" si="96"/>
        <v>0</v>
      </c>
      <c r="U1235">
        <f t="shared" si="97"/>
        <v>1</v>
      </c>
      <c r="V1235">
        <f t="shared" si="98"/>
        <v>0</v>
      </c>
      <c r="W1235">
        <f t="shared" si="99"/>
        <v>1</v>
      </c>
      <c r="X1235">
        <v>1</v>
      </c>
      <c r="Y1235" s="2">
        <v>45768</v>
      </c>
      <c r="Z1235" s="3" t="s">
        <v>118</v>
      </c>
      <c r="AA1235" t="s">
        <v>39</v>
      </c>
      <c r="AB1235" t="s">
        <v>40</v>
      </c>
      <c r="AC1235" t="s">
        <v>40</v>
      </c>
      <c r="AD1235" t="s">
        <v>391</v>
      </c>
    </row>
    <row r="1236" spans="2:30">
      <c r="B1236">
        <v>2</v>
      </c>
      <c r="C1236">
        <v>1020</v>
      </c>
      <c r="D1236" t="s">
        <v>172</v>
      </c>
      <c r="E1236">
        <v>10053692</v>
      </c>
      <c r="F1236" t="s">
        <v>1331</v>
      </c>
      <c r="G1236" t="s">
        <v>52</v>
      </c>
      <c r="H1236" t="s">
        <v>32</v>
      </c>
      <c r="I1236" t="s">
        <v>584</v>
      </c>
      <c r="J1236" t="s">
        <v>45</v>
      </c>
      <c r="K1236" t="s">
        <v>35</v>
      </c>
      <c r="L1236" t="s">
        <v>175</v>
      </c>
      <c r="M1236" t="s">
        <v>117</v>
      </c>
      <c r="N1236">
        <v>0</v>
      </c>
      <c r="O1236">
        <v>0</v>
      </c>
      <c r="P1236">
        <v>0</v>
      </c>
      <c r="Q1236">
        <v>0</v>
      </c>
      <c r="R1236">
        <v>0</v>
      </c>
      <c r="S1236" t="str">
        <f t="shared" si="95"/>
        <v>PZ: Alta Crit.</v>
      </c>
      <c r="T1236">
        <f t="shared" si="96"/>
        <v>1</v>
      </c>
      <c r="U1236">
        <f t="shared" si="97"/>
        <v>0</v>
      </c>
      <c r="V1236">
        <f t="shared" si="98"/>
        <v>0</v>
      </c>
      <c r="W1236">
        <f t="shared" si="99"/>
        <v>0</v>
      </c>
      <c r="X1236">
        <v>1</v>
      </c>
      <c r="Y1236" s="2">
        <v>45768</v>
      </c>
      <c r="Z1236" s="3" t="s">
        <v>118</v>
      </c>
      <c r="AA1236" t="s">
        <v>39</v>
      </c>
      <c r="AB1236" t="s">
        <v>40</v>
      </c>
      <c r="AC1236" t="s">
        <v>40</v>
      </c>
      <c r="AD1236" t="s">
        <v>585</v>
      </c>
    </row>
    <row r="1237" spans="2:30">
      <c r="B1237">
        <v>2</v>
      </c>
      <c r="C1237">
        <v>1020</v>
      </c>
      <c r="D1237" t="s">
        <v>181</v>
      </c>
      <c r="E1237">
        <v>10054087</v>
      </c>
      <c r="F1237" t="s">
        <v>1332</v>
      </c>
      <c r="G1237" t="s">
        <v>43</v>
      </c>
      <c r="H1237" t="s">
        <v>32</v>
      </c>
      <c r="I1237" t="s">
        <v>183</v>
      </c>
      <c r="J1237" t="s">
        <v>45</v>
      </c>
      <c r="K1237" t="s">
        <v>35</v>
      </c>
      <c r="L1237" t="s">
        <v>36</v>
      </c>
      <c r="M1237" t="s">
        <v>117</v>
      </c>
      <c r="N1237">
        <v>4</v>
      </c>
      <c r="O1237">
        <v>3</v>
      </c>
      <c r="P1237">
        <v>1</v>
      </c>
      <c r="Q1237">
        <v>0</v>
      </c>
      <c r="R1237">
        <v>0</v>
      </c>
      <c r="S1237" t="str">
        <f t="shared" si="95"/>
        <v>PY: Media Crit.</v>
      </c>
      <c r="T1237">
        <f t="shared" si="96"/>
        <v>1</v>
      </c>
      <c r="U1237">
        <f t="shared" si="97"/>
        <v>0</v>
      </c>
      <c r="V1237">
        <f t="shared" si="98"/>
        <v>0</v>
      </c>
      <c r="W1237">
        <f t="shared" si="99"/>
        <v>0</v>
      </c>
      <c r="X1237">
        <v>1</v>
      </c>
      <c r="Y1237" s="2">
        <v>45768</v>
      </c>
      <c r="Z1237" s="3" t="s">
        <v>118</v>
      </c>
      <c r="AA1237" t="s">
        <v>39</v>
      </c>
      <c r="AB1237" t="s">
        <v>76</v>
      </c>
      <c r="AC1237" s="5" t="s">
        <v>77</v>
      </c>
      <c r="AD1237" t="s">
        <v>184</v>
      </c>
    </row>
    <row r="1238" spans="2:30">
      <c r="B1238">
        <v>2</v>
      </c>
      <c r="C1238">
        <v>1020</v>
      </c>
      <c r="D1238" t="s">
        <v>384</v>
      </c>
      <c r="E1238">
        <v>10054090</v>
      </c>
      <c r="F1238" t="s">
        <v>1333</v>
      </c>
      <c r="G1238" t="s">
        <v>43</v>
      </c>
      <c r="H1238" t="s">
        <v>44</v>
      </c>
      <c r="I1238" t="s">
        <v>386</v>
      </c>
      <c r="J1238" t="s">
        <v>45</v>
      </c>
      <c r="K1238" t="s">
        <v>62</v>
      </c>
      <c r="L1238" t="s">
        <v>175</v>
      </c>
      <c r="M1238" t="s">
        <v>117</v>
      </c>
      <c r="N1238">
        <v>0</v>
      </c>
      <c r="O1238">
        <v>0</v>
      </c>
      <c r="P1238">
        <v>0</v>
      </c>
      <c r="Q1238">
        <v>33</v>
      </c>
      <c r="R1238" s="4">
        <v>14123.76</v>
      </c>
      <c r="S1238" t="str">
        <f t="shared" si="95"/>
        <v>PY: Media Crit.</v>
      </c>
      <c r="T1238">
        <f t="shared" si="96"/>
        <v>0</v>
      </c>
      <c r="U1238">
        <f t="shared" si="97"/>
        <v>0</v>
      </c>
      <c r="V1238">
        <f t="shared" si="98"/>
        <v>0</v>
      </c>
      <c r="W1238">
        <f t="shared" si="99"/>
        <v>1</v>
      </c>
      <c r="X1238">
        <v>1</v>
      </c>
      <c r="Y1238" s="2">
        <v>45768</v>
      </c>
      <c r="Z1238" s="3" t="s">
        <v>118</v>
      </c>
      <c r="AA1238" t="s">
        <v>39</v>
      </c>
      <c r="AB1238" t="s">
        <v>40</v>
      </c>
      <c r="AC1238" t="s">
        <v>40</v>
      </c>
      <c r="AD1238" t="s">
        <v>387</v>
      </c>
    </row>
    <row r="1239" spans="2:30">
      <c r="B1239">
        <v>2</v>
      </c>
      <c r="C1239">
        <v>1020</v>
      </c>
      <c r="D1239" t="s">
        <v>384</v>
      </c>
      <c r="E1239">
        <v>10054177</v>
      </c>
      <c r="F1239" t="s">
        <v>1334</v>
      </c>
      <c r="G1239" t="s">
        <v>43</v>
      </c>
      <c r="H1239" t="s">
        <v>32</v>
      </c>
      <c r="I1239" t="s">
        <v>386</v>
      </c>
      <c r="J1239" t="s">
        <v>45</v>
      </c>
      <c r="K1239" t="s">
        <v>62</v>
      </c>
      <c r="L1239" t="s">
        <v>175</v>
      </c>
      <c r="M1239" t="s">
        <v>117</v>
      </c>
      <c r="N1239">
        <v>0</v>
      </c>
      <c r="O1239">
        <v>0</v>
      </c>
      <c r="P1239">
        <v>2</v>
      </c>
      <c r="Q1239">
        <v>0</v>
      </c>
      <c r="R1239">
        <v>0</v>
      </c>
      <c r="S1239" t="str">
        <f t="shared" si="95"/>
        <v>PY: Media Crit.</v>
      </c>
      <c r="T1239">
        <f t="shared" si="96"/>
        <v>1</v>
      </c>
      <c r="U1239">
        <f t="shared" si="97"/>
        <v>0</v>
      </c>
      <c r="V1239">
        <f t="shared" si="98"/>
        <v>0</v>
      </c>
      <c r="W1239">
        <f t="shared" si="99"/>
        <v>0</v>
      </c>
      <c r="X1239">
        <v>1</v>
      </c>
      <c r="Y1239" s="2">
        <v>45768</v>
      </c>
      <c r="Z1239" s="3" t="s">
        <v>118</v>
      </c>
      <c r="AA1239" t="s">
        <v>39</v>
      </c>
      <c r="AB1239" t="s">
        <v>76</v>
      </c>
      <c r="AC1239" s="5" t="s">
        <v>77</v>
      </c>
      <c r="AD1239" t="s">
        <v>387</v>
      </c>
    </row>
    <row r="1240" spans="2:30">
      <c r="B1240">
        <v>2</v>
      </c>
      <c r="C1240">
        <v>1020</v>
      </c>
      <c r="D1240" t="s">
        <v>181</v>
      </c>
      <c r="E1240">
        <v>10054188</v>
      </c>
      <c r="F1240" t="s">
        <v>1335</v>
      </c>
      <c r="G1240" t="s">
        <v>31</v>
      </c>
      <c r="H1240" t="s">
        <v>60</v>
      </c>
      <c r="I1240" t="s">
        <v>183</v>
      </c>
      <c r="J1240" t="s">
        <v>45</v>
      </c>
      <c r="K1240" t="s">
        <v>35</v>
      </c>
      <c r="L1240" t="s">
        <v>36</v>
      </c>
      <c r="M1240" t="s">
        <v>88</v>
      </c>
      <c r="N1240">
        <v>40</v>
      </c>
      <c r="O1240">
        <v>21</v>
      </c>
      <c r="P1240">
        <v>10</v>
      </c>
      <c r="Q1240">
        <v>50</v>
      </c>
      <c r="R1240" s="4">
        <v>4329.6000000000004</v>
      </c>
      <c r="S1240" t="str">
        <f t="shared" si="95"/>
        <v>PX: Baja Crit.</v>
      </c>
      <c r="T1240">
        <f t="shared" si="96"/>
        <v>0</v>
      </c>
      <c r="U1240">
        <f t="shared" si="97"/>
        <v>0</v>
      </c>
      <c r="V1240">
        <f t="shared" si="98"/>
        <v>0</v>
      </c>
      <c r="W1240">
        <f t="shared" si="99"/>
        <v>1</v>
      </c>
      <c r="X1240">
        <v>1</v>
      </c>
      <c r="Y1240" s="2">
        <v>45768</v>
      </c>
      <c r="Z1240" s="3" t="s">
        <v>89</v>
      </c>
      <c r="AA1240" t="s">
        <v>39</v>
      </c>
      <c r="AB1240" t="s">
        <v>76</v>
      </c>
      <c r="AC1240" s="5" t="s">
        <v>77</v>
      </c>
      <c r="AD1240" t="s">
        <v>184</v>
      </c>
    </row>
    <row r="1241" spans="2:30">
      <c r="B1241">
        <v>2</v>
      </c>
      <c r="C1241">
        <v>1020</v>
      </c>
      <c r="D1241" t="s">
        <v>181</v>
      </c>
      <c r="E1241">
        <v>10054211</v>
      </c>
      <c r="F1241" t="s">
        <v>1336</v>
      </c>
      <c r="G1241" t="s">
        <v>43</v>
      </c>
      <c r="H1241" t="s">
        <v>60</v>
      </c>
      <c r="I1241" t="s">
        <v>183</v>
      </c>
      <c r="J1241" t="s">
        <v>45</v>
      </c>
      <c r="K1241" t="s">
        <v>35</v>
      </c>
      <c r="L1241" t="s">
        <v>36</v>
      </c>
      <c r="M1241" t="s">
        <v>69</v>
      </c>
      <c r="N1241">
        <v>16</v>
      </c>
      <c r="O1241">
        <v>4</v>
      </c>
      <c r="P1241">
        <v>3</v>
      </c>
      <c r="Q1241">
        <v>3</v>
      </c>
      <c r="R1241">
        <v>902.98</v>
      </c>
      <c r="S1241" t="str">
        <f t="shared" si="95"/>
        <v>PY: Media Crit.</v>
      </c>
      <c r="T1241">
        <f t="shared" si="96"/>
        <v>0</v>
      </c>
      <c r="U1241">
        <f t="shared" si="97"/>
        <v>1</v>
      </c>
      <c r="V1241">
        <f t="shared" si="98"/>
        <v>0</v>
      </c>
      <c r="W1241">
        <f t="shared" si="99"/>
        <v>0</v>
      </c>
      <c r="X1241">
        <v>1</v>
      </c>
      <c r="Y1241" s="2">
        <v>45768</v>
      </c>
      <c r="Z1241" s="3" t="s">
        <v>70</v>
      </c>
      <c r="AA1241" t="s">
        <v>39</v>
      </c>
      <c r="AB1241" t="s">
        <v>76</v>
      </c>
      <c r="AC1241" s="5" t="s">
        <v>77</v>
      </c>
      <c r="AD1241" t="s">
        <v>184</v>
      </c>
    </row>
    <row r="1242" spans="2:30">
      <c r="B1242">
        <v>2</v>
      </c>
      <c r="C1242">
        <v>1020</v>
      </c>
      <c r="D1242" t="s">
        <v>181</v>
      </c>
      <c r="E1242">
        <v>10054835</v>
      </c>
      <c r="F1242" t="s">
        <v>1337</v>
      </c>
      <c r="G1242" t="s">
        <v>43</v>
      </c>
      <c r="H1242" t="s">
        <v>32</v>
      </c>
      <c r="I1242" t="s">
        <v>183</v>
      </c>
      <c r="J1242" t="s">
        <v>45</v>
      </c>
      <c r="K1242" t="s">
        <v>35</v>
      </c>
      <c r="L1242" t="s">
        <v>36</v>
      </c>
      <c r="M1242" t="s">
        <v>37</v>
      </c>
      <c r="N1242">
        <v>4</v>
      </c>
      <c r="O1242">
        <v>3</v>
      </c>
      <c r="P1242">
        <v>2</v>
      </c>
      <c r="Q1242">
        <v>2</v>
      </c>
      <c r="R1242" s="4">
        <v>32073.13</v>
      </c>
      <c r="S1242" t="str">
        <f t="shared" si="95"/>
        <v>PY: Media Crit.</v>
      </c>
      <c r="T1242">
        <f t="shared" si="96"/>
        <v>0</v>
      </c>
      <c r="U1242">
        <f t="shared" si="97"/>
        <v>1</v>
      </c>
      <c r="V1242">
        <f t="shared" si="98"/>
        <v>0</v>
      </c>
      <c r="W1242">
        <f t="shared" si="99"/>
        <v>0</v>
      </c>
      <c r="X1242">
        <v>1</v>
      </c>
      <c r="Y1242" s="2">
        <v>45768</v>
      </c>
      <c r="Z1242" s="3" t="s">
        <v>38</v>
      </c>
      <c r="AA1242" t="s">
        <v>39</v>
      </c>
      <c r="AB1242" t="s">
        <v>49</v>
      </c>
      <c r="AC1242" s="5" t="s">
        <v>50</v>
      </c>
      <c r="AD1242" t="s">
        <v>184</v>
      </c>
    </row>
    <row r="1243" spans="2:30">
      <c r="B1243">
        <v>2</v>
      </c>
      <c r="C1243">
        <v>1020</v>
      </c>
      <c r="D1243" t="s">
        <v>181</v>
      </c>
      <c r="E1243">
        <v>10054839</v>
      </c>
      <c r="F1243" t="s">
        <v>1338</v>
      </c>
      <c r="G1243" t="s">
        <v>52</v>
      </c>
      <c r="H1243" t="s">
        <v>32</v>
      </c>
      <c r="I1243" t="s">
        <v>183</v>
      </c>
      <c r="J1243" t="s">
        <v>45</v>
      </c>
      <c r="K1243" t="s">
        <v>35</v>
      </c>
      <c r="L1243" t="s">
        <v>36</v>
      </c>
      <c r="M1243" t="s">
        <v>37</v>
      </c>
      <c r="N1243">
        <v>4</v>
      </c>
      <c r="O1243">
        <v>3</v>
      </c>
      <c r="P1243">
        <v>2</v>
      </c>
      <c r="Q1243">
        <v>2</v>
      </c>
      <c r="R1243" s="4">
        <v>29493.25</v>
      </c>
      <c r="S1243" t="str">
        <f t="shared" si="95"/>
        <v>PZ: Alta Crit.</v>
      </c>
      <c r="T1243">
        <f t="shared" si="96"/>
        <v>0</v>
      </c>
      <c r="U1243">
        <f t="shared" si="97"/>
        <v>1</v>
      </c>
      <c r="V1243">
        <f t="shared" si="98"/>
        <v>0</v>
      </c>
      <c r="W1243">
        <f t="shared" si="99"/>
        <v>0</v>
      </c>
      <c r="X1243">
        <v>1</v>
      </c>
      <c r="Y1243" s="2">
        <v>45768</v>
      </c>
      <c r="Z1243" s="3" t="s">
        <v>38</v>
      </c>
      <c r="AA1243" t="s">
        <v>39</v>
      </c>
      <c r="AB1243" t="s">
        <v>49</v>
      </c>
      <c r="AC1243" s="5" t="s">
        <v>50</v>
      </c>
      <c r="AD1243" t="s">
        <v>184</v>
      </c>
    </row>
    <row r="1244" spans="2:30">
      <c r="B1244">
        <v>2</v>
      </c>
      <c r="C1244">
        <v>1020</v>
      </c>
      <c r="D1244" t="s">
        <v>181</v>
      </c>
      <c r="E1244">
        <v>10054962</v>
      </c>
      <c r="F1244" t="s">
        <v>1339</v>
      </c>
      <c r="G1244" t="s">
        <v>31</v>
      </c>
      <c r="H1244" t="s">
        <v>60</v>
      </c>
      <c r="I1244" t="s">
        <v>183</v>
      </c>
      <c r="J1244" t="s">
        <v>45</v>
      </c>
      <c r="K1244" t="s">
        <v>35</v>
      </c>
      <c r="L1244" t="s">
        <v>36</v>
      </c>
      <c r="M1244" t="s">
        <v>69</v>
      </c>
      <c r="N1244">
        <v>100</v>
      </c>
      <c r="O1244">
        <v>100</v>
      </c>
      <c r="P1244">
        <v>0</v>
      </c>
      <c r="Q1244">
        <v>100</v>
      </c>
      <c r="R1244">
        <v>308.39</v>
      </c>
      <c r="S1244" t="str">
        <f t="shared" si="95"/>
        <v>PX: Baja Crit.</v>
      </c>
      <c r="T1244">
        <f t="shared" si="96"/>
        <v>0</v>
      </c>
      <c r="U1244">
        <f t="shared" si="97"/>
        <v>0</v>
      </c>
      <c r="V1244">
        <f t="shared" si="98"/>
        <v>1</v>
      </c>
      <c r="W1244">
        <f t="shared" si="99"/>
        <v>0</v>
      </c>
      <c r="X1244">
        <v>1</v>
      </c>
      <c r="Y1244" s="2">
        <v>45768</v>
      </c>
      <c r="Z1244" s="3" t="s">
        <v>70</v>
      </c>
      <c r="AA1244" t="s">
        <v>39</v>
      </c>
      <c r="AB1244" t="s">
        <v>40</v>
      </c>
      <c r="AC1244" t="s">
        <v>40</v>
      </c>
      <c r="AD1244" t="s">
        <v>184</v>
      </c>
    </row>
    <row r="1245" spans="2:30">
      <c r="B1245">
        <v>2</v>
      </c>
      <c r="C1245">
        <v>1020</v>
      </c>
      <c r="D1245" t="s">
        <v>181</v>
      </c>
      <c r="E1245">
        <v>10055228</v>
      </c>
      <c r="F1245" t="s">
        <v>1340</v>
      </c>
      <c r="G1245" t="s">
        <v>52</v>
      </c>
      <c r="H1245" t="s">
        <v>32</v>
      </c>
      <c r="I1245" t="s">
        <v>183</v>
      </c>
      <c r="J1245" t="s">
        <v>45</v>
      </c>
      <c r="K1245" t="s">
        <v>35</v>
      </c>
      <c r="L1245" t="s">
        <v>36</v>
      </c>
      <c r="M1245" t="s">
        <v>55</v>
      </c>
      <c r="N1245">
        <v>50</v>
      </c>
      <c r="O1245">
        <v>30</v>
      </c>
      <c r="P1245">
        <v>6</v>
      </c>
      <c r="Q1245">
        <v>50</v>
      </c>
      <c r="R1245">
        <v>177.6</v>
      </c>
      <c r="S1245" t="str">
        <f t="shared" si="95"/>
        <v>PZ: Alta Crit.</v>
      </c>
      <c r="T1245">
        <f t="shared" si="96"/>
        <v>0</v>
      </c>
      <c r="U1245">
        <f t="shared" si="97"/>
        <v>0</v>
      </c>
      <c r="V1245">
        <f t="shared" si="98"/>
        <v>1</v>
      </c>
      <c r="W1245">
        <f t="shared" si="99"/>
        <v>0</v>
      </c>
      <c r="X1245">
        <v>1</v>
      </c>
      <c r="Y1245" s="2">
        <v>45768</v>
      </c>
      <c r="Z1245" s="3" t="s">
        <v>56</v>
      </c>
      <c r="AA1245" t="s">
        <v>39</v>
      </c>
      <c r="AB1245" t="s">
        <v>40</v>
      </c>
      <c r="AC1245" t="s">
        <v>40</v>
      </c>
      <c r="AD1245" t="s">
        <v>184</v>
      </c>
    </row>
    <row r="1246" spans="2:30">
      <c r="B1246">
        <v>2</v>
      </c>
      <c r="C1246">
        <v>1020</v>
      </c>
      <c r="D1246" t="s">
        <v>181</v>
      </c>
      <c r="E1246">
        <v>10055259</v>
      </c>
      <c r="F1246" t="s">
        <v>1341</v>
      </c>
      <c r="G1246" t="s">
        <v>43</v>
      </c>
      <c r="H1246" t="s">
        <v>60</v>
      </c>
      <c r="I1246" t="s">
        <v>183</v>
      </c>
      <c r="J1246" t="s">
        <v>45</v>
      </c>
      <c r="K1246" t="s">
        <v>35</v>
      </c>
      <c r="L1246" t="s">
        <v>36</v>
      </c>
      <c r="M1246" t="s">
        <v>46</v>
      </c>
      <c r="N1246">
        <v>4</v>
      </c>
      <c r="O1246">
        <v>2</v>
      </c>
      <c r="P1246">
        <v>0</v>
      </c>
      <c r="Q1246">
        <v>4</v>
      </c>
      <c r="R1246" s="4">
        <v>1042.43</v>
      </c>
      <c r="S1246" t="str">
        <f t="shared" si="95"/>
        <v>PY: Media Crit.</v>
      </c>
      <c r="T1246">
        <f t="shared" si="96"/>
        <v>0</v>
      </c>
      <c r="U1246">
        <f t="shared" si="97"/>
        <v>0</v>
      </c>
      <c r="V1246">
        <f t="shared" si="98"/>
        <v>1</v>
      </c>
      <c r="W1246">
        <f t="shared" si="99"/>
        <v>0</v>
      </c>
      <c r="X1246">
        <v>1</v>
      </c>
      <c r="Y1246" s="2">
        <v>45768</v>
      </c>
      <c r="Z1246" s="3" t="s">
        <v>47</v>
      </c>
      <c r="AA1246" t="s">
        <v>39</v>
      </c>
      <c r="AB1246" t="s">
        <v>40</v>
      </c>
      <c r="AC1246" t="s">
        <v>40</v>
      </c>
      <c r="AD1246" t="s">
        <v>184</v>
      </c>
    </row>
    <row r="1247" spans="2:30">
      <c r="B1247">
        <v>2</v>
      </c>
      <c r="C1247">
        <v>1020</v>
      </c>
      <c r="D1247" t="s">
        <v>693</v>
      </c>
      <c r="E1247">
        <v>10055289</v>
      </c>
      <c r="F1247" t="s">
        <v>1342</v>
      </c>
      <c r="G1247" t="s">
        <v>43</v>
      </c>
      <c r="H1247" t="s">
        <v>32</v>
      </c>
      <c r="I1247" t="s">
        <v>695</v>
      </c>
      <c r="J1247" t="s">
        <v>45</v>
      </c>
      <c r="K1247" t="s">
        <v>35</v>
      </c>
      <c r="L1247" t="s">
        <v>175</v>
      </c>
      <c r="M1247" t="s">
        <v>117</v>
      </c>
      <c r="N1247">
        <v>0</v>
      </c>
      <c r="O1247">
        <v>0</v>
      </c>
      <c r="P1247">
        <v>0</v>
      </c>
      <c r="Q1247">
        <v>0</v>
      </c>
      <c r="R1247">
        <v>0</v>
      </c>
      <c r="S1247" t="str">
        <f t="shared" si="95"/>
        <v>PY: Media Crit.</v>
      </c>
      <c r="T1247">
        <f t="shared" si="96"/>
        <v>1</v>
      </c>
      <c r="U1247">
        <f t="shared" si="97"/>
        <v>0</v>
      </c>
      <c r="V1247">
        <f t="shared" si="98"/>
        <v>0</v>
      </c>
      <c r="W1247">
        <f t="shared" si="99"/>
        <v>0</v>
      </c>
      <c r="X1247">
        <v>1</v>
      </c>
      <c r="Y1247" s="2">
        <v>45768</v>
      </c>
      <c r="Z1247" s="3" t="s">
        <v>118</v>
      </c>
      <c r="AA1247" t="s">
        <v>39</v>
      </c>
      <c r="AB1247" t="s">
        <v>40</v>
      </c>
      <c r="AC1247" t="s">
        <v>40</v>
      </c>
      <c r="AD1247" t="s">
        <v>696</v>
      </c>
    </row>
    <row r="1248" spans="2:30">
      <c r="B1248">
        <v>2</v>
      </c>
      <c r="C1248">
        <v>1020</v>
      </c>
      <c r="D1248" t="s">
        <v>181</v>
      </c>
      <c r="E1248">
        <v>10055665</v>
      </c>
      <c r="F1248" t="s">
        <v>1343</v>
      </c>
      <c r="G1248" t="s">
        <v>31</v>
      </c>
      <c r="H1248" t="s">
        <v>32</v>
      </c>
      <c r="I1248" t="s">
        <v>183</v>
      </c>
      <c r="J1248" t="s">
        <v>34</v>
      </c>
      <c r="K1248" t="s">
        <v>260</v>
      </c>
      <c r="L1248" t="s">
        <v>36</v>
      </c>
      <c r="M1248" t="s">
        <v>37</v>
      </c>
      <c r="N1248">
        <v>4</v>
      </c>
      <c r="O1248">
        <v>3</v>
      </c>
      <c r="P1248">
        <v>1</v>
      </c>
      <c r="Q1248">
        <v>1</v>
      </c>
      <c r="R1248">
        <v>410.13</v>
      </c>
      <c r="S1248" t="str">
        <f t="shared" si="95"/>
        <v>PX: Baja Crit.</v>
      </c>
      <c r="T1248">
        <f t="shared" si="96"/>
        <v>0</v>
      </c>
      <c r="U1248">
        <f t="shared" si="97"/>
        <v>1</v>
      </c>
      <c r="V1248">
        <f t="shared" si="98"/>
        <v>0</v>
      </c>
      <c r="W1248">
        <f t="shared" si="99"/>
        <v>0</v>
      </c>
      <c r="X1248">
        <v>1</v>
      </c>
      <c r="Y1248" s="2">
        <v>45768</v>
      </c>
      <c r="Z1248" s="3" t="s">
        <v>38</v>
      </c>
      <c r="AA1248" t="s">
        <v>39</v>
      </c>
      <c r="AB1248" t="s">
        <v>49</v>
      </c>
      <c r="AC1248" s="5" t="s">
        <v>50</v>
      </c>
      <c r="AD1248" t="s">
        <v>184</v>
      </c>
    </row>
    <row r="1249" spans="2:30">
      <c r="B1249">
        <v>2</v>
      </c>
      <c r="C1249">
        <v>1020</v>
      </c>
      <c r="D1249" t="s">
        <v>181</v>
      </c>
      <c r="E1249">
        <v>10055797</v>
      </c>
      <c r="F1249" t="s">
        <v>1344</v>
      </c>
      <c r="G1249" t="s">
        <v>31</v>
      </c>
      <c r="H1249" t="s">
        <v>32</v>
      </c>
      <c r="I1249" t="s">
        <v>183</v>
      </c>
      <c r="J1249" t="s">
        <v>45</v>
      </c>
      <c r="K1249" t="s">
        <v>35</v>
      </c>
      <c r="L1249" t="s">
        <v>36</v>
      </c>
      <c r="M1249" t="s">
        <v>55</v>
      </c>
      <c r="N1249">
        <v>6</v>
      </c>
      <c r="O1249">
        <v>3</v>
      </c>
      <c r="P1249">
        <v>2</v>
      </c>
      <c r="Q1249">
        <v>12</v>
      </c>
      <c r="R1249">
        <v>104.13</v>
      </c>
      <c r="S1249" t="str">
        <f t="shared" si="95"/>
        <v>PX: Baja Crit.</v>
      </c>
      <c r="T1249">
        <f t="shared" si="96"/>
        <v>0</v>
      </c>
      <c r="U1249">
        <f t="shared" si="97"/>
        <v>0</v>
      </c>
      <c r="V1249">
        <f t="shared" si="98"/>
        <v>0</v>
      </c>
      <c r="W1249">
        <f t="shared" si="99"/>
        <v>1</v>
      </c>
      <c r="X1249">
        <v>1</v>
      </c>
      <c r="Y1249" s="2">
        <v>45768</v>
      </c>
      <c r="Z1249" s="3" t="s">
        <v>56</v>
      </c>
      <c r="AA1249" t="s">
        <v>39</v>
      </c>
      <c r="AB1249" t="s">
        <v>40</v>
      </c>
      <c r="AC1249" t="s">
        <v>40</v>
      </c>
      <c r="AD1249" t="s">
        <v>184</v>
      </c>
    </row>
    <row r="1250" spans="2:30">
      <c r="B1250">
        <v>2</v>
      </c>
      <c r="C1250">
        <v>1020</v>
      </c>
      <c r="D1250" t="s">
        <v>384</v>
      </c>
      <c r="E1250">
        <v>10056273</v>
      </c>
      <c r="F1250" t="s">
        <v>1345</v>
      </c>
      <c r="G1250" t="s">
        <v>43</v>
      </c>
      <c r="H1250" t="s">
        <v>32</v>
      </c>
      <c r="I1250" t="s">
        <v>386</v>
      </c>
      <c r="J1250" t="s">
        <v>45</v>
      </c>
      <c r="K1250" t="s">
        <v>35</v>
      </c>
      <c r="L1250" t="s">
        <v>175</v>
      </c>
      <c r="M1250" t="s">
        <v>69</v>
      </c>
      <c r="N1250">
        <v>0</v>
      </c>
      <c r="O1250">
        <v>0</v>
      </c>
      <c r="P1250">
        <v>0</v>
      </c>
      <c r="Q1250">
        <v>9</v>
      </c>
      <c r="R1250" s="4">
        <v>2374.27</v>
      </c>
      <c r="S1250" t="str">
        <f t="shared" si="95"/>
        <v>PY: Media Crit.</v>
      </c>
      <c r="T1250">
        <f t="shared" si="96"/>
        <v>0</v>
      </c>
      <c r="U1250">
        <f t="shared" si="97"/>
        <v>0</v>
      </c>
      <c r="V1250">
        <f t="shared" si="98"/>
        <v>0</v>
      </c>
      <c r="W1250">
        <f t="shared" si="99"/>
        <v>1</v>
      </c>
      <c r="X1250">
        <v>1</v>
      </c>
      <c r="Y1250" s="2">
        <v>45768</v>
      </c>
      <c r="Z1250" s="3" t="s">
        <v>70</v>
      </c>
      <c r="AA1250" t="s">
        <v>39</v>
      </c>
      <c r="AB1250" t="s">
        <v>40</v>
      </c>
      <c r="AC1250" t="s">
        <v>40</v>
      </c>
      <c r="AD1250" t="s">
        <v>387</v>
      </c>
    </row>
    <row r="1251" spans="2:30">
      <c r="B1251">
        <v>2</v>
      </c>
      <c r="C1251">
        <v>1020</v>
      </c>
      <c r="D1251" t="s">
        <v>181</v>
      </c>
      <c r="E1251">
        <v>10056380</v>
      </c>
      <c r="F1251" t="s">
        <v>1346</v>
      </c>
      <c r="G1251" t="s">
        <v>43</v>
      </c>
      <c r="H1251" t="s">
        <v>32</v>
      </c>
      <c r="I1251" t="s">
        <v>183</v>
      </c>
      <c r="J1251" t="s">
        <v>45</v>
      </c>
      <c r="K1251" t="s">
        <v>252</v>
      </c>
      <c r="L1251" t="s">
        <v>36</v>
      </c>
      <c r="M1251" t="s">
        <v>46</v>
      </c>
      <c r="N1251">
        <v>100</v>
      </c>
      <c r="O1251">
        <v>51</v>
      </c>
      <c r="P1251">
        <v>10</v>
      </c>
      <c r="Q1251">
        <v>140</v>
      </c>
      <c r="R1251" s="4">
        <v>1893.47</v>
      </c>
      <c r="S1251" t="str">
        <f t="shared" si="95"/>
        <v>PY: Media Crit.</v>
      </c>
      <c r="T1251">
        <f t="shared" si="96"/>
        <v>0</v>
      </c>
      <c r="U1251">
        <f t="shared" si="97"/>
        <v>0</v>
      </c>
      <c r="V1251">
        <f t="shared" si="98"/>
        <v>0</v>
      </c>
      <c r="W1251">
        <f t="shared" si="99"/>
        <v>1</v>
      </c>
      <c r="X1251">
        <v>1</v>
      </c>
      <c r="Y1251" s="2">
        <v>45768</v>
      </c>
      <c r="Z1251" s="3" t="s">
        <v>47</v>
      </c>
      <c r="AA1251" t="s">
        <v>39</v>
      </c>
      <c r="AB1251" t="s">
        <v>40</v>
      </c>
      <c r="AC1251" t="s">
        <v>40</v>
      </c>
      <c r="AD1251" t="s">
        <v>184</v>
      </c>
    </row>
    <row r="1252" spans="2:30">
      <c r="B1252">
        <v>2</v>
      </c>
      <c r="C1252">
        <v>1020</v>
      </c>
      <c r="D1252" t="s">
        <v>181</v>
      </c>
      <c r="E1252">
        <v>10056468</v>
      </c>
      <c r="F1252" t="s">
        <v>1347</v>
      </c>
      <c r="G1252" t="s">
        <v>31</v>
      </c>
      <c r="H1252" t="s">
        <v>32</v>
      </c>
      <c r="I1252" t="s">
        <v>183</v>
      </c>
      <c r="J1252" t="s">
        <v>45</v>
      </c>
      <c r="K1252" t="s">
        <v>35</v>
      </c>
      <c r="L1252" t="s">
        <v>36</v>
      </c>
      <c r="M1252" t="s">
        <v>46</v>
      </c>
      <c r="N1252">
        <v>2</v>
      </c>
      <c r="O1252">
        <v>1</v>
      </c>
      <c r="P1252">
        <v>0</v>
      </c>
      <c r="Q1252">
        <v>6</v>
      </c>
      <c r="R1252">
        <v>283.68</v>
      </c>
      <c r="S1252" t="str">
        <f t="shared" si="95"/>
        <v>PX: Baja Crit.</v>
      </c>
      <c r="T1252">
        <f t="shared" si="96"/>
        <v>0</v>
      </c>
      <c r="U1252">
        <f t="shared" si="97"/>
        <v>0</v>
      </c>
      <c r="V1252">
        <f t="shared" si="98"/>
        <v>0</v>
      </c>
      <c r="W1252">
        <f t="shared" si="99"/>
        <v>1</v>
      </c>
      <c r="X1252">
        <v>1</v>
      </c>
      <c r="Y1252" s="2">
        <v>45768</v>
      </c>
      <c r="Z1252" s="3" t="s">
        <v>47</v>
      </c>
      <c r="AA1252" t="s">
        <v>39</v>
      </c>
      <c r="AB1252" t="s">
        <v>40</v>
      </c>
      <c r="AC1252" t="s">
        <v>40</v>
      </c>
      <c r="AD1252" t="s">
        <v>184</v>
      </c>
    </row>
    <row r="1253" spans="2:30">
      <c r="B1253">
        <v>2</v>
      </c>
      <c r="C1253">
        <v>1020</v>
      </c>
      <c r="D1253" t="s">
        <v>388</v>
      </c>
      <c r="E1253">
        <v>10056487</v>
      </c>
      <c r="F1253" t="s">
        <v>1348</v>
      </c>
      <c r="G1253" t="s">
        <v>52</v>
      </c>
      <c r="H1253" t="s">
        <v>32</v>
      </c>
      <c r="I1253" t="s">
        <v>390</v>
      </c>
      <c r="J1253" t="s">
        <v>45</v>
      </c>
      <c r="K1253" t="s">
        <v>252</v>
      </c>
      <c r="L1253" t="s">
        <v>175</v>
      </c>
      <c r="M1253" t="s">
        <v>46</v>
      </c>
      <c r="N1253">
        <v>0</v>
      </c>
      <c r="O1253">
        <v>0</v>
      </c>
      <c r="P1253">
        <v>100</v>
      </c>
      <c r="Q1253">
        <v>100</v>
      </c>
      <c r="R1253" s="4">
        <v>7177.43</v>
      </c>
      <c r="S1253" t="str">
        <f t="shared" si="95"/>
        <v>PZ: Alta Crit.</v>
      </c>
      <c r="T1253">
        <f t="shared" si="96"/>
        <v>0</v>
      </c>
      <c r="U1253">
        <f t="shared" si="97"/>
        <v>1</v>
      </c>
      <c r="V1253">
        <f t="shared" si="98"/>
        <v>0</v>
      </c>
      <c r="W1253">
        <f t="shared" si="99"/>
        <v>1</v>
      </c>
      <c r="X1253">
        <v>1</v>
      </c>
      <c r="Y1253" s="2">
        <v>45768</v>
      </c>
      <c r="Z1253" s="3" t="s">
        <v>47</v>
      </c>
      <c r="AA1253" t="s">
        <v>39</v>
      </c>
      <c r="AB1253" t="s">
        <v>40</v>
      </c>
      <c r="AC1253" t="s">
        <v>40</v>
      </c>
      <c r="AD1253" t="s">
        <v>391</v>
      </c>
    </row>
    <row r="1254" spans="2:30">
      <c r="B1254">
        <v>2</v>
      </c>
      <c r="C1254">
        <v>1020</v>
      </c>
      <c r="D1254" t="s">
        <v>181</v>
      </c>
      <c r="E1254">
        <v>10056518</v>
      </c>
      <c r="F1254" t="s">
        <v>1349</v>
      </c>
      <c r="G1254" t="s">
        <v>43</v>
      </c>
      <c r="H1254" t="s">
        <v>32</v>
      </c>
      <c r="I1254" t="s">
        <v>183</v>
      </c>
      <c r="J1254" t="s">
        <v>45</v>
      </c>
      <c r="K1254" t="s">
        <v>260</v>
      </c>
      <c r="L1254" t="s">
        <v>36</v>
      </c>
      <c r="M1254" t="s">
        <v>69</v>
      </c>
      <c r="N1254">
        <v>39</v>
      </c>
      <c r="O1254">
        <v>19</v>
      </c>
      <c r="P1254">
        <v>8</v>
      </c>
      <c r="Q1254">
        <v>22</v>
      </c>
      <c r="R1254" s="4">
        <v>6247.67</v>
      </c>
      <c r="S1254" t="str">
        <f t="shared" si="95"/>
        <v>PY: Media Crit.</v>
      </c>
      <c r="T1254">
        <f t="shared" si="96"/>
        <v>0</v>
      </c>
      <c r="U1254">
        <f t="shared" si="97"/>
        <v>0</v>
      </c>
      <c r="V1254">
        <f t="shared" si="98"/>
        <v>1</v>
      </c>
      <c r="W1254">
        <f t="shared" si="99"/>
        <v>0</v>
      </c>
      <c r="X1254">
        <v>1</v>
      </c>
      <c r="Y1254" s="2">
        <v>45768</v>
      </c>
      <c r="Z1254" s="3" t="s">
        <v>70</v>
      </c>
      <c r="AA1254" t="s">
        <v>39</v>
      </c>
      <c r="AB1254" t="s">
        <v>40</v>
      </c>
      <c r="AC1254" t="s">
        <v>40</v>
      </c>
      <c r="AD1254" t="s">
        <v>184</v>
      </c>
    </row>
    <row r="1255" spans="2:30">
      <c r="B1255">
        <v>2</v>
      </c>
      <c r="C1255">
        <v>1020</v>
      </c>
      <c r="D1255" t="s">
        <v>181</v>
      </c>
      <c r="E1255">
        <v>10056520</v>
      </c>
      <c r="F1255" t="s">
        <v>1350</v>
      </c>
      <c r="G1255" t="s">
        <v>31</v>
      </c>
      <c r="H1255" t="s">
        <v>60</v>
      </c>
      <c r="I1255" t="s">
        <v>183</v>
      </c>
      <c r="J1255" t="s">
        <v>45</v>
      </c>
      <c r="K1255" t="s">
        <v>35</v>
      </c>
      <c r="L1255" t="s">
        <v>36</v>
      </c>
      <c r="M1255" t="s">
        <v>69</v>
      </c>
      <c r="N1255">
        <v>15</v>
      </c>
      <c r="O1255">
        <v>11</v>
      </c>
      <c r="P1255">
        <v>2</v>
      </c>
      <c r="Q1255">
        <v>0</v>
      </c>
      <c r="R1255">
        <v>0</v>
      </c>
      <c r="S1255" t="str">
        <f t="shared" si="95"/>
        <v>PX: Baja Crit.</v>
      </c>
      <c r="T1255">
        <f t="shared" si="96"/>
        <v>1</v>
      </c>
      <c r="U1255">
        <f t="shared" si="97"/>
        <v>0</v>
      </c>
      <c r="V1255">
        <f t="shared" si="98"/>
        <v>0</v>
      </c>
      <c r="W1255">
        <f t="shared" si="99"/>
        <v>0</v>
      </c>
      <c r="X1255">
        <v>1</v>
      </c>
      <c r="Y1255" s="2">
        <v>45768</v>
      </c>
      <c r="Z1255" s="3" t="s">
        <v>70</v>
      </c>
      <c r="AA1255" t="s">
        <v>39</v>
      </c>
      <c r="AB1255" t="s">
        <v>49</v>
      </c>
      <c r="AC1255" s="5" t="s">
        <v>50</v>
      </c>
      <c r="AD1255" t="s">
        <v>184</v>
      </c>
    </row>
    <row r="1256" spans="2:30">
      <c r="B1256">
        <v>2</v>
      </c>
      <c r="C1256">
        <v>1020</v>
      </c>
      <c r="D1256" t="s">
        <v>181</v>
      </c>
      <c r="E1256">
        <v>10056541</v>
      </c>
      <c r="F1256" t="s">
        <v>1351</v>
      </c>
      <c r="G1256" t="s">
        <v>43</v>
      </c>
      <c r="H1256" t="s">
        <v>32</v>
      </c>
      <c r="I1256" t="s">
        <v>183</v>
      </c>
      <c r="J1256" t="s">
        <v>45</v>
      </c>
      <c r="K1256" t="s">
        <v>35</v>
      </c>
      <c r="L1256" t="s">
        <v>36</v>
      </c>
      <c r="M1256" t="s">
        <v>88</v>
      </c>
      <c r="N1256">
        <v>20</v>
      </c>
      <c r="O1256">
        <v>15</v>
      </c>
      <c r="P1256">
        <v>5</v>
      </c>
      <c r="Q1256">
        <v>16</v>
      </c>
      <c r="R1256">
        <v>414.79</v>
      </c>
      <c r="S1256" t="str">
        <f t="shared" si="95"/>
        <v>PY: Media Crit.</v>
      </c>
      <c r="T1256">
        <f t="shared" si="96"/>
        <v>0</v>
      </c>
      <c r="U1256">
        <f t="shared" si="97"/>
        <v>0</v>
      </c>
      <c r="V1256">
        <f t="shared" si="98"/>
        <v>1</v>
      </c>
      <c r="W1256">
        <f t="shared" si="99"/>
        <v>0</v>
      </c>
      <c r="X1256">
        <v>1</v>
      </c>
      <c r="Y1256" s="2">
        <v>45768</v>
      </c>
      <c r="Z1256" s="3" t="s">
        <v>89</v>
      </c>
      <c r="AA1256" t="s">
        <v>39</v>
      </c>
      <c r="AB1256" t="s">
        <v>40</v>
      </c>
      <c r="AC1256" t="s">
        <v>40</v>
      </c>
      <c r="AD1256" t="s">
        <v>184</v>
      </c>
    </row>
    <row r="1257" spans="2:30">
      <c r="B1257">
        <v>2</v>
      </c>
      <c r="C1257">
        <v>1020</v>
      </c>
      <c r="D1257" t="s">
        <v>181</v>
      </c>
      <c r="E1257">
        <v>10056624</v>
      </c>
      <c r="F1257" t="s">
        <v>1352</v>
      </c>
      <c r="G1257" t="s">
        <v>52</v>
      </c>
      <c r="H1257" t="s">
        <v>60</v>
      </c>
      <c r="I1257" t="s">
        <v>183</v>
      </c>
      <c r="J1257" t="s">
        <v>45</v>
      </c>
      <c r="K1257" t="s">
        <v>35</v>
      </c>
      <c r="L1257" t="s">
        <v>36</v>
      </c>
      <c r="M1257" t="s">
        <v>46</v>
      </c>
      <c r="N1257">
        <v>2</v>
      </c>
      <c r="O1257">
        <v>2</v>
      </c>
      <c r="P1257">
        <v>1</v>
      </c>
      <c r="Q1257">
        <v>0</v>
      </c>
      <c r="R1257">
        <v>0</v>
      </c>
      <c r="S1257" t="str">
        <f t="shared" si="95"/>
        <v>PZ: Alta Crit.</v>
      </c>
      <c r="T1257">
        <f t="shared" si="96"/>
        <v>1</v>
      </c>
      <c r="U1257">
        <f t="shared" si="97"/>
        <v>0</v>
      </c>
      <c r="V1257">
        <f t="shared" si="98"/>
        <v>0</v>
      </c>
      <c r="W1257">
        <f t="shared" si="99"/>
        <v>0</v>
      </c>
      <c r="X1257">
        <v>1</v>
      </c>
      <c r="Y1257" s="2">
        <v>45768</v>
      </c>
      <c r="Z1257" s="3" t="s">
        <v>47</v>
      </c>
      <c r="AA1257" t="s">
        <v>39</v>
      </c>
      <c r="AB1257" t="s">
        <v>76</v>
      </c>
      <c r="AC1257" s="5" t="s">
        <v>77</v>
      </c>
      <c r="AD1257" t="s">
        <v>184</v>
      </c>
    </row>
    <row r="1258" spans="2:30">
      <c r="B1258">
        <v>2</v>
      </c>
      <c r="C1258">
        <v>1020</v>
      </c>
      <c r="D1258" t="s">
        <v>181</v>
      </c>
      <c r="E1258">
        <v>10056703</v>
      </c>
      <c r="F1258" t="s">
        <v>1353</v>
      </c>
      <c r="G1258" t="s">
        <v>43</v>
      </c>
      <c r="H1258" t="s">
        <v>32</v>
      </c>
      <c r="I1258" t="s">
        <v>183</v>
      </c>
      <c r="J1258" t="s">
        <v>45</v>
      </c>
      <c r="K1258" t="s">
        <v>35</v>
      </c>
      <c r="L1258" t="s">
        <v>36</v>
      </c>
      <c r="M1258" t="s">
        <v>46</v>
      </c>
      <c r="N1258">
        <v>4</v>
      </c>
      <c r="O1258">
        <v>3</v>
      </c>
      <c r="P1258">
        <v>1</v>
      </c>
      <c r="Q1258">
        <v>2</v>
      </c>
      <c r="R1258">
        <v>304.22000000000003</v>
      </c>
      <c r="S1258" t="str">
        <f t="shared" si="95"/>
        <v>PY: Media Crit.</v>
      </c>
      <c r="T1258">
        <f t="shared" si="96"/>
        <v>0</v>
      </c>
      <c r="U1258">
        <f t="shared" si="97"/>
        <v>0</v>
      </c>
      <c r="V1258">
        <f t="shared" si="98"/>
        <v>1</v>
      </c>
      <c r="W1258">
        <f t="shared" si="99"/>
        <v>0</v>
      </c>
      <c r="X1258">
        <v>1</v>
      </c>
      <c r="Y1258" s="2">
        <v>45768</v>
      </c>
      <c r="Z1258" s="3" t="s">
        <v>47</v>
      </c>
      <c r="AA1258" t="s">
        <v>39</v>
      </c>
      <c r="AB1258" t="s">
        <v>49</v>
      </c>
      <c r="AC1258" s="5" t="s">
        <v>50</v>
      </c>
      <c r="AD1258" t="s">
        <v>184</v>
      </c>
    </row>
    <row r="1259" spans="2:30">
      <c r="B1259">
        <v>2</v>
      </c>
      <c r="C1259">
        <v>1020</v>
      </c>
      <c r="D1259" t="s">
        <v>181</v>
      </c>
      <c r="E1259">
        <v>10056728</v>
      </c>
      <c r="F1259" t="s">
        <v>1354</v>
      </c>
      <c r="G1259" t="s">
        <v>52</v>
      </c>
      <c r="H1259" t="s">
        <v>32</v>
      </c>
      <c r="I1259" t="s">
        <v>183</v>
      </c>
      <c r="J1259" t="s">
        <v>45</v>
      </c>
      <c r="K1259" t="s">
        <v>35</v>
      </c>
      <c r="L1259" t="s">
        <v>36</v>
      </c>
      <c r="M1259" t="s">
        <v>69</v>
      </c>
      <c r="N1259">
        <v>2</v>
      </c>
      <c r="O1259">
        <v>2</v>
      </c>
      <c r="P1259">
        <v>1</v>
      </c>
      <c r="Q1259">
        <v>2</v>
      </c>
      <c r="R1259" s="4">
        <v>2342.67</v>
      </c>
      <c r="S1259" t="str">
        <f t="shared" si="95"/>
        <v>PZ: Alta Crit.</v>
      </c>
      <c r="T1259">
        <f t="shared" si="96"/>
        <v>0</v>
      </c>
      <c r="U1259">
        <f t="shared" si="97"/>
        <v>0</v>
      </c>
      <c r="V1259">
        <f t="shared" si="98"/>
        <v>1</v>
      </c>
      <c r="W1259">
        <f t="shared" si="99"/>
        <v>0</v>
      </c>
      <c r="X1259">
        <v>1</v>
      </c>
      <c r="Y1259" s="2">
        <v>45768</v>
      </c>
      <c r="Z1259" s="3" t="s">
        <v>70</v>
      </c>
      <c r="AA1259" t="s">
        <v>39</v>
      </c>
      <c r="AB1259" t="s">
        <v>40</v>
      </c>
      <c r="AC1259" t="s">
        <v>40</v>
      </c>
      <c r="AD1259" t="s">
        <v>184</v>
      </c>
    </row>
    <row r="1260" spans="2:30">
      <c r="B1260">
        <v>2</v>
      </c>
      <c r="C1260">
        <v>1020</v>
      </c>
      <c r="D1260" t="s">
        <v>693</v>
      </c>
      <c r="E1260">
        <v>10056867</v>
      </c>
      <c r="F1260" t="s">
        <v>1355</v>
      </c>
      <c r="G1260" t="s">
        <v>43</v>
      </c>
      <c r="H1260" t="s">
        <v>32</v>
      </c>
      <c r="I1260" t="s">
        <v>695</v>
      </c>
      <c r="J1260" t="s">
        <v>45</v>
      </c>
      <c r="K1260" t="s">
        <v>35</v>
      </c>
      <c r="L1260" t="s">
        <v>175</v>
      </c>
      <c r="M1260" t="s">
        <v>46</v>
      </c>
      <c r="N1260">
        <v>0</v>
      </c>
      <c r="O1260">
        <v>0</v>
      </c>
      <c r="P1260">
        <v>0</v>
      </c>
      <c r="Q1260">
        <v>0</v>
      </c>
      <c r="R1260">
        <v>0</v>
      </c>
      <c r="S1260" t="str">
        <f t="shared" si="95"/>
        <v>PY: Media Crit.</v>
      </c>
      <c r="T1260">
        <f t="shared" si="96"/>
        <v>1</v>
      </c>
      <c r="U1260">
        <f t="shared" si="97"/>
        <v>0</v>
      </c>
      <c r="V1260">
        <f t="shared" si="98"/>
        <v>0</v>
      </c>
      <c r="W1260">
        <f t="shared" si="99"/>
        <v>0</v>
      </c>
      <c r="X1260">
        <v>1</v>
      </c>
      <c r="Y1260" s="2">
        <v>45768</v>
      </c>
      <c r="Z1260" s="3" t="s">
        <v>47</v>
      </c>
      <c r="AA1260" t="s">
        <v>39</v>
      </c>
      <c r="AB1260" t="s">
        <v>40</v>
      </c>
      <c r="AC1260" t="s">
        <v>40</v>
      </c>
      <c r="AD1260" t="s">
        <v>696</v>
      </c>
    </row>
    <row r="1261" spans="2:30">
      <c r="B1261">
        <v>2</v>
      </c>
      <c r="C1261">
        <v>1020</v>
      </c>
      <c r="D1261" t="s">
        <v>384</v>
      </c>
      <c r="E1261">
        <v>10057058</v>
      </c>
      <c r="F1261" t="s">
        <v>1356</v>
      </c>
      <c r="G1261" t="s">
        <v>43</v>
      </c>
      <c r="H1261" t="s">
        <v>60</v>
      </c>
      <c r="I1261" t="s">
        <v>386</v>
      </c>
      <c r="J1261" t="s">
        <v>45</v>
      </c>
      <c r="K1261" t="s">
        <v>35</v>
      </c>
      <c r="L1261" t="s">
        <v>175</v>
      </c>
      <c r="M1261" t="s">
        <v>117</v>
      </c>
      <c r="N1261">
        <v>0</v>
      </c>
      <c r="O1261">
        <v>0</v>
      </c>
      <c r="P1261">
        <v>0</v>
      </c>
      <c r="Q1261">
        <v>148</v>
      </c>
      <c r="R1261" s="4">
        <v>30864.880000000001</v>
      </c>
      <c r="S1261" t="str">
        <f t="shared" si="95"/>
        <v>PY: Media Crit.</v>
      </c>
      <c r="T1261">
        <f t="shared" si="96"/>
        <v>0</v>
      </c>
      <c r="U1261">
        <f t="shared" si="97"/>
        <v>0</v>
      </c>
      <c r="V1261">
        <f t="shared" si="98"/>
        <v>0</v>
      </c>
      <c r="W1261">
        <f t="shared" si="99"/>
        <v>1</v>
      </c>
      <c r="X1261">
        <v>1</v>
      </c>
      <c r="Y1261" s="2">
        <v>45768</v>
      </c>
      <c r="Z1261" s="3" t="s">
        <v>118</v>
      </c>
      <c r="AA1261" t="s">
        <v>39</v>
      </c>
      <c r="AB1261" t="s">
        <v>40</v>
      </c>
      <c r="AC1261" t="s">
        <v>40</v>
      </c>
      <c r="AD1261" t="s">
        <v>387</v>
      </c>
    </row>
    <row r="1262" spans="2:30">
      <c r="B1262">
        <v>2</v>
      </c>
      <c r="C1262">
        <v>1020</v>
      </c>
      <c r="D1262" t="s">
        <v>181</v>
      </c>
      <c r="E1262">
        <v>10057124</v>
      </c>
      <c r="F1262" t="s">
        <v>1357</v>
      </c>
      <c r="G1262" t="s">
        <v>52</v>
      </c>
      <c r="H1262" t="s">
        <v>44</v>
      </c>
      <c r="I1262" t="s">
        <v>183</v>
      </c>
      <c r="J1262" t="s">
        <v>45</v>
      </c>
      <c r="K1262" t="s">
        <v>35</v>
      </c>
      <c r="L1262" t="s">
        <v>36</v>
      </c>
      <c r="M1262" t="s">
        <v>69</v>
      </c>
      <c r="N1262">
        <v>2</v>
      </c>
      <c r="O1262">
        <v>1</v>
      </c>
      <c r="P1262">
        <v>0</v>
      </c>
      <c r="Q1262">
        <v>2</v>
      </c>
      <c r="R1262" s="4">
        <v>2091.37</v>
      </c>
      <c r="S1262" t="str">
        <f t="shared" si="95"/>
        <v>PZ: Alta Crit.</v>
      </c>
      <c r="T1262">
        <f t="shared" si="96"/>
        <v>0</v>
      </c>
      <c r="U1262">
        <f t="shared" si="97"/>
        <v>0</v>
      </c>
      <c r="V1262">
        <f t="shared" si="98"/>
        <v>1</v>
      </c>
      <c r="W1262">
        <f t="shared" si="99"/>
        <v>0</v>
      </c>
      <c r="X1262">
        <v>1</v>
      </c>
      <c r="Y1262" s="2">
        <v>45768</v>
      </c>
      <c r="Z1262" s="3" t="s">
        <v>70</v>
      </c>
      <c r="AA1262" t="s">
        <v>39</v>
      </c>
      <c r="AB1262" t="s">
        <v>40</v>
      </c>
      <c r="AC1262" t="s">
        <v>40</v>
      </c>
      <c r="AD1262" t="s">
        <v>184</v>
      </c>
    </row>
    <row r="1263" spans="2:30">
      <c r="B1263">
        <v>2</v>
      </c>
      <c r="C1263">
        <v>1020</v>
      </c>
      <c r="D1263" t="s">
        <v>181</v>
      </c>
      <c r="E1263">
        <v>10057143</v>
      </c>
      <c r="F1263" t="s">
        <v>1358</v>
      </c>
      <c r="G1263" t="s">
        <v>43</v>
      </c>
      <c r="H1263" t="s">
        <v>32</v>
      </c>
      <c r="I1263" t="s">
        <v>183</v>
      </c>
      <c r="J1263" t="s">
        <v>45</v>
      </c>
      <c r="K1263" t="s">
        <v>35</v>
      </c>
      <c r="L1263" t="s">
        <v>36</v>
      </c>
      <c r="M1263" t="s">
        <v>69</v>
      </c>
      <c r="N1263">
        <v>2</v>
      </c>
      <c r="O1263">
        <v>2</v>
      </c>
      <c r="P1263">
        <v>1</v>
      </c>
      <c r="Q1263">
        <v>2</v>
      </c>
      <c r="R1263" s="4">
        <v>2170.5</v>
      </c>
      <c r="S1263" t="str">
        <f t="shared" si="95"/>
        <v>PY: Media Crit.</v>
      </c>
      <c r="T1263">
        <f t="shared" si="96"/>
        <v>0</v>
      </c>
      <c r="U1263">
        <f t="shared" si="97"/>
        <v>0</v>
      </c>
      <c r="V1263">
        <f t="shared" si="98"/>
        <v>1</v>
      </c>
      <c r="W1263">
        <f t="shared" si="99"/>
        <v>0</v>
      </c>
      <c r="X1263">
        <v>1</v>
      </c>
      <c r="Y1263" s="2">
        <v>45768</v>
      </c>
      <c r="Z1263" s="3" t="s">
        <v>70</v>
      </c>
      <c r="AA1263" t="s">
        <v>39</v>
      </c>
      <c r="AB1263" t="s">
        <v>40</v>
      </c>
      <c r="AC1263" t="s">
        <v>40</v>
      </c>
      <c r="AD1263" t="s">
        <v>184</v>
      </c>
    </row>
    <row r="1264" spans="2:30">
      <c r="B1264">
        <v>2</v>
      </c>
      <c r="C1264">
        <v>1020</v>
      </c>
      <c r="D1264" t="s">
        <v>181</v>
      </c>
      <c r="E1264">
        <v>10057145</v>
      </c>
      <c r="F1264" t="s">
        <v>1359</v>
      </c>
      <c r="G1264" t="s">
        <v>52</v>
      </c>
      <c r="H1264" t="s">
        <v>44</v>
      </c>
      <c r="I1264" t="s">
        <v>183</v>
      </c>
      <c r="J1264" t="s">
        <v>45</v>
      </c>
      <c r="K1264" t="s">
        <v>35</v>
      </c>
      <c r="L1264" t="s">
        <v>36</v>
      </c>
      <c r="M1264" t="s">
        <v>69</v>
      </c>
      <c r="N1264">
        <v>2</v>
      </c>
      <c r="O1264">
        <v>1</v>
      </c>
      <c r="P1264">
        <v>0</v>
      </c>
      <c r="Q1264">
        <v>2</v>
      </c>
      <c r="R1264">
        <v>873.74</v>
      </c>
      <c r="S1264" t="str">
        <f t="shared" si="95"/>
        <v>PZ: Alta Crit.</v>
      </c>
      <c r="T1264">
        <f t="shared" si="96"/>
        <v>0</v>
      </c>
      <c r="U1264">
        <f t="shared" si="97"/>
        <v>0</v>
      </c>
      <c r="V1264">
        <f t="shared" si="98"/>
        <v>1</v>
      </c>
      <c r="W1264">
        <f t="shared" si="99"/>
        <v>0</v>
      </c>
      <c r="X1264">
        <v>1</v>
      </c>
      <c r="Y1264" s="2">
        <v>45768</v>
      </c>
      <c r="Z1264" s="3" t="s">
        <v>70</v>
      </c>
      <c r="AA1264" t="s">
        <v>39</v>
      </c>
      <c r="AB1264" t="s">
        <v>40</v>
      </c>
      <c r="AC1264" t="s">
        <v>40</v>
      </c>
      <c r="AD1264" t="s">
        <v>184</v>
      </c>
    </row>
    <row r="1265" spans="2:30">
      <c r="B1265">
        <v>2</v>
      </c>
      <c r="C1265">
        <v>1020</v>
      </c>
      <c r="D1265" t="s">
        <v>181</v>
      </c>
      <c r="E1265">
        <v>10057146</v>
      </c>
      <c r="F1265" t="s">
        <v>1360</v>
      </c>
      <c r="G1265" t="s">
        <v>43</v>
      </c>
      <c r="H1265" t="s">
        <v>44</v>
      </c>
      <c r="I1265" t="s">
        <v>183</v>
      </c>
      <c r="J1265" t="s">
        <v>45</v>
      </c>
      <c r="K1265" t="s">
        <v>35</v>
      </c>
      <c r="L1265" t="s">
        <v>36</v>
      </c>
      <c r="M1265" t="s">
        <v>69</v>
      </c>
      <c r="N1265">
        <v>3</v>
      </c>
      <c r="O1265">
        <v>2</v>
      </c>
      <c r="P1265">
        <v>1</v>
      </c>
      <c r="Q1265">
        <v>3</v>
      </c>
      <c r="R1265" s="4">
        <v>8709</v>
      </c>
      <c r="S1265" t="str">
        <f t="shared" si="95"/>
        <v>PY: Media Crit.</v>
      </c>
      <c r="T1265">
        <f t="shared" si="96"/>
        <v>0</v>
      </c>
      <c r="U1265">
        <f t="shared" si="97"/>
        <v>0</v>
      </c>
      <c r="V1265">
        <f t="shared" si="98"/>
        <v>1</v>
      </c>
      <c r="W1265">
        <f t="shared" si="99"/>
        <v>0</v>
      </c>
      <c r="X1265">
        <v>1</v>
      </c>
      <c r="Y1265" s="2">
        <v>45768</v>
      </c>
      <c r="Z1265" s="3" t="s">
        <v>70</v>
      </c>
      <c r="AA1265" t="s">
        <v>39</v>
      </c>
      <c r="AB1265" t="s">
        <v>40</v>
      </c>
      <c r="AC1265" t="s">
        <v>40</v>
      </c>
      <c r="AD1265" t="s">
        <v>184</v>
      </c>
    </row>
    <row r="1266" spans="2:30">
      <c r="B1266">
        <v>2</v>
      </c>
      <c r="C1266">
        <v>1020</v>
      </c>
      <c r="D1266" t="s">
        <v>693</v>
      </c>
      <c r="E1266">
        <v>10090559</v>
      </c>
      <c r="F1266" t="s">
        <v>1361</v>
      </c>
      <c r="G1266" t="s">
        <v>52</v>
      </c>
      <c r="H1266" t="s">
        <v>32</v>
      </c>
      <c r="I1266" t="s">
        <v>695</v>
      </c>
      <c r="J1266" t="s">
        <v>45</v>
      </c>
      <c r="K1266" t="s">
        <v>35</v>
      </c>
      <c r="L1266" t="s">
        <v>36</v>
      </c>
      <c r="M1266" t="s">
        <v>46</v>
      </c>
      <c r="N1266">
        <v>4</v>
      </c>
      <c r="O1266">
        <v>3</v>
      </c>
      <c r="P1266">
        <v>1</v>
      </c>
      <c r="Q1266">
        <v>4</v>
      </c>
      <c r="R1266" s="4">
        <v>5928.03</v>
      </c>
      <c r="S1266" t="str">
        <f t="shared" si="95"/>
        <v>PZ: Alta Crit.</v>
      </c>
      <c r="T1266">
        <f t="shared" si="96"/>
        <v>0</v>
      </c>
      <c r="U1266">
        <f t="shared" si="97"/>
        <v>0</v>
      </c>
      <c r="V1266">
        <f t="shared" si="98"/>
        <v>1</v>
      </c>
      <c r="W1266">
        <f t="shared" si="99"/>
        <v>0</v>
      </c>
      <c r="X1266">
        <v>1</v>
      </c>
      <c r="Y1266" s="2">
        <v>45768</v>
      </c>
      <c r="Z1266" s="3" t="s">
        <v>47</v>
      </c>
      <c r="AA1266" t="s">
        <v>39</v>
      </c>
      <c r="AB1266" t="s">
        <v>40</v>
      </c>
      <c r="AC1266" t="s">
        <v>40</v>
      </c>
      <c r="AD1266" t="s">
        <v>696</v>
      </c>
    </row>
    <row r="1267" spans="2:30">
      <c r="B1267">
        <v>2</v>
      </c>
      <c r="C1267">
        <v>1020</v>
      </c>
      <c r="D1267" t="s">
        <v>181</v>
      </c>
      <c r="E1267">
        <v>10090563</v>
      </c>
      <c r="F1267" t="s">
        <v>1362</v>
      </c>
      <c r="G1267" t="s">
        <v>43</v>
      </c>
      <c r="H1267" t="s">
        <v>32</v>
      </c>
      <c r="I1267" t="s">
        <v>183</v>
      </c>
      <c r="J1267" t="s">
        <v>45</v>
      </c>
      <c r="K1267" t="s">
        <v>35</v>
      </c>
      <c r="L1267" t="s">
        <v>36</v>
      </c>
      <c r="M1267" t="s">
        <v>46</v>
      </c>
      <c r="N1267">
        <v>4</v>
      </c>
      <c r="O1267">
        <v>3</v>
      </c>
      <c r="P1267">
        <v>0</v>
      </c>
      <c r="Q1267">
        <v>2</v>
      </c>
      <c r="R1267" s="4">
        <v>1956.07</v>
      </c>
      <c r="S1267" t="str">
        <f t="shared" si="95"/>
        <v>PY: Media Crit.</v>
      </c>
      <c r="T1267">
        <f t="shared" si="96"/>
        <v>0</v>
      </c>
      <c r="U1267">
        <f t="shared" si="97"/>
        <v>0</v>
      </c>
      <c r="V1267">
        <f t="shared" si="98"/>
        <v>1</v>
      </c>
      <c r="W1267">
        <f t="shared" si="99"/>
        <v>0</v>
      </c>
      <c r="X1267">
        <v>1</v>
      </c>
      <c r="Y1267" s="2">
        <v>45768</v>
      </c>
      <c r="Z1267" s="3" t="s">
        <v>47</v>
      </c>
      <c r="AA1267" t="s">
        <v>39</v>
      </c>
      <c r="AB1267" t="s">
        <v>49</v>
      </c>
      <c r="AC1267" s="5" t="s">
        <v>50</v>
      </c>
      <c r="AD1267" t="s">
        <v>184</v>
      </c>
    </row>
    <row r="1268" spans="2:30">
      <c r="B1268">
        <v>2</v>
      </c>
      <c r="C1268">
        <v>1020</v>
      </c>
      <c r="D1268" t="s">
        <v>388</v>
      </c>
      <c r="E1268">
        <v>10090623</v>
      </c>
      <c r="F1268" t="s">
        <v>1363</v>
      </c>
      <c r="G1268" t="s">
        <v>52</v>
      </c>
      <c r="H1268" t="s">
        <v>32</v>
      </c>
      <c r="I1268" t="s">
        <v>390</v>
      </c>
      <c r="J1268" t="s">
        <v>45</v>
      </c>
      <c r="K1268" t="s">
        <v>35</v>
      </c>
      <c r="L1268" t="s">
        <v>175</v>
      </c>
      <c r="M1268" t="s">
        <v>69</v>
      </c>
      <c r="N1268">
        <v>0</v>
      </c>
      <c r="O1268">
        <v>0</v>
      </c>
      <c r="P1268">
        <v>1</v>
      </c>
      <c r="Q1268">
        <v>1</v>
      </c>
      <c r="R1268" s="4">
        <v>13035.29</v>
      </c>
      <c r="S1268" t="str">
        <f t="shared" si="95"/>
        <v>PZ: Alta Crit.</v>
      </c>
      <c r="T1268">
        <f t="shared" si="96"/>
        <v>0</v>
      </c>
      <c r="U1268">
        <f t="shared" si="97"/>
        <v>1</v>
      </c>
      <c r="V1268">
        <f t="shared" si="98"/>
        <v>0</v>
      </c>
      <c r="W1268">
        <f t="shared" si="99"/>
        <v>1</v>
      </c>
      <c r="X1268">
        <v>1</v>
      </c>
      <c r="Y1268" s="2">
        <v>45768</v>
      </c>
      <c r="Z1268" s="3" t="s">
        <v>70</v>
      </c>
      <c r="AA1268" t="s">
        <v>39</v>
      </c>
      <c r="AB1268" t="s">
        <v>40</v>
      </c>
      <c r="AC1268" t="s">
        <v>40</v>
      </c>
      <c r="AD1268" t="s">
        <v>391</v>
      </c>
    </row>
    <row r="1269" spans="2:30">
      <c r="B1269">
        <v>2</v>
      </c>
      <c r="C1269">
        <v>1020</v>
      </c>
      <c r="D1269" t="s">
        <v>388</v>
      </c>
      <c r="E1269">
        <v>10090672</v>
      </c>
      <c r="F1269" t="s">
        <v>1364</v>
      </c>
      <c r="G1269" t="s">
        <v>52</v>
      </c>
      <c r="H1269" t="s">
        <v>32</v>
      </c>
      <c r="I1269" t="s">
        <v>390</v>
      </c>
      <c r="J1269" t="s">
        <v>45</v>
      </c>
      <c r="K1269" t="s">
        <v>35</v>
      </c>
      <c r="L1269" t="s">
        <v>175</v>
      </c>
      <c r="M1269" t="s">
        <v>37</v>
      </c>
      <c r="N1269">
        <v>0</v>
      </c>
      <c r="O1269">
        <v>0</v>
      </c>
      <c r="P1269">
        <v>2</v>
      </c>
      <c r="Q1269">
        <v>2</v>
      </c>
      <c r="R1269" s="4">
        <v>6576</v>
      </c>
      <c r="S1269" t="str">
        <f t="shared" si="95"/>
        <v>PZ: Alta Crit.</v>
      </c>
      <c r="T1269">
        <f t="shared" si="96"/>
        <v>0</v>
      </c>
      <c r="U1269">
        <f t="shared" si="97"/>
        <v>1</v>
      </c>
      <c r="V1269">
        <f t="shared" si="98"/>
        <v>0</v>
      </c>
      <c r="W1269">
        <f t="shared" si="99"/>
        <v>1</v>
      </c>
      <c r="X1269">
        <v>1</v>
      </c>
      <c r="Y1269" s="2">
        <v>45768</v>
      </c>
      <c r="Z1269" s="3" t="s">
        <v>38</v>
      </c>
      <c r="AA1269" t="s">
        <v>39</v>
      </c>
      <c r="AB1269" t="s">
        <v>40</v>
      </c>
      <c r="AC1269" t="s">
        <v>40</v>
      </c>
      <c r="AD1269" t="s">
        <v>391</v>
      </c>
    </row>
    <row r="1270" spans="2:30">
      <c r="B1270">
        <v>2</v>
      </c>
      <c r="C1270">
        <v>1020</v>
      </c>
      <c r="D1270" t="s">
        <v>388</v>
      </c>
      <c r="E1270">
        <v>10090673</v>
      </c>
      <c r="F1270" t="s">
        <v>1365</v>
      </c>
      <c r="G1270" t="s">
        <v>52</v>
      </c>
      <c r="H1270" t="s">
        <v>32</v>
      </c>
      <c r="I1270" t="s">
        <v>390</v>
      </c>
      <c r="J1270" t="s">
        <v>45</v>
      </c>
      <c r="K1270" t="s">
        <v>35</v>
      </c>
      <c r="L1270" t="s">
        <v>175</v>
      </c>
      <c r="M1270" t="s">
        <v>37</v>
      </c>
      <c r="N1270">
        <v>0</v>
      </c>
      <c r="O1270">
        <v>0</v>
      </c>
      <c r="P1270">
        <v>2</v>
      </c>
      <c r="Q1270">
        <v>2</v>
      </c>
      <c r="R1270" s="4">
        <v>6576</v>
      </c>
      <c r="S1270" t="str">
        <f t="shared" si="95"/>
        <v>PZ: Alta Crit.</v>
      </c>
      <c r="T1270">
        <f t="shared" si="96"/>
        <v>0</v>
      </c>
      <c r="U1270">
        <f t="shared" si="97"/>
        <v>1</v>
      </c>
      <c r="V1270">
        <f t="shared" si="98"/>
        <v>0</v>
      </c>
      <c r="W1270">
        <f t="shared" si="99"/>
        <v>1</v>
      </c>
      <c r="X1270">
        <v>1</v>
      </c>
      <c r="Y1270" s="2">
        <v>45768</v>
      </c>
      <c r="Z1270" s="3" t="s">
        <v>38</v>
      </c>
      <c r="AA1270" t="s">
        <v>39</v>
      </c>
      <c r="AB1270" t="s">
        <v>40</v>
      </c>
      <c r="AC1270" t="s">
        <v>40</v>
      </c>
      <c r="AD1270" t="s">
        <v>391</v>
      </c>
    </row>
    <row r="1271" spans="2:30">
      <c r="B1271">
        <v>2</v>
      </c>
      <c r="C1271">
        <v>1020</v>
      </c>
      <c r="D1271" t="s">
        <v>181</v>
      </c>
      <c r="E1271">
        <v>10090733</v>
      </c>
      <c r="F1271" t="s">
        <v>1366</v>
      </c>
      <c r="G1271" t="s">
        <v>43</v>
      </c>
      <c r="H1271" t="s">
        <v>32</v>
      </c>
      <c r="I1271" t="s">
        <v>183</v>
      </c>
      <c r="J1271" t="s">
        <v>45</v>
      </c>
      <c r="K1271" t="s">
        <v>35</v>
      </c>
      <c r="L1271" t="s">
        <v>36</v>
      </c>
      <c r="M1271" t="s">
        <v>46</v>
      </c>
      <c r="N1271">
        <v>4</v>
      </c>
      <c r="O1271">
        <v>3</v>
      </c>
      <c r="P1271">
        <v>1</v>
      </c>
      <c r="Q1271">
        <v>6</v>
      </c>
      <c r="R1271" s="4">
        <v>2091.71</v>
      </c>
      <c r="S1271" t="str">
        <f t="shared" si="95"/>
        <v>PY: Media Crit.</v>
      </c>
      <c r="T1271">
        <f t="shared" si="96"/>
        <v>0</v>
      </c>
      <c r="U1271">
        <f t="shared" si="97"/>
        <v>0</v>
      </c>
      <c r="V1271">
        <f t="shared" si="98"/>
        <v>0</v>
      </c>
      <c r="W1271">
        <f t="shared" si="99"/>
        <v>1</v>
      </c>
      <c r="X1271">
        <v>1</v>
      </c>
      <c r="Y1271" s="2">
        <v>45768</v>
      </c>
      <c r="Z1271" s="3" t="s">
        <v>47</v>
      </c>
      <c r="AA1271" t="s">
        <v>39</v>
      </c>
      <c r="AB1271" t="s">
        <v>40</v>
      </c>
      <c r="AC1271" t="s">
        <v>40</v>
      </c>
      <c r="AD1271" t="s">
        <v>184</v>
      </c>
    </row>
    <row r="1272" spans="2:30">
      <c r="B1272">
        <v>2</v>
      </c>
      <c r="C1272">
        <v>1020</v>
      </c>
      <c r="D1272" t="s">
        <v>181</v>
      </c>
      <c r="E1272">
        <v>10090757</v>
      </c>
      <c r="F1272" t="s">
        <v>1367</v>
      </c>
      <c r="G1272" t="s">
        <v>43</v>
      </c>
      <c r="H1272" t="s">
        <v>32</v>
      </c>
      <c r="I1272" t="s">
        <v>183</v>
      </c>
      <c r="J1272" t="s">
        <v>45</v>
      </c>
      <c r="K1272" t="s">
        <v>35</v>
      </c>
      <c r="L1272" t="s">
        <v>36</v>
      </c>
      <c r="M1272" t="s">
        <v>46</v>
      </c>
      <c r="N1272">
        <v>4</v>
      </c>
      <c r="O1272">
        <v>4</v>
      </c>
      <c r="P1272">
        <v>2</v>
      </c>
      <c r="Q1272">
        <v>4</v>
      </c>
      <c r="R1272" s="4">
        <v>2741.63</v>
      </c>
      <c r="S1272" t="str">
        <f t="shared" si="95"/>
        <v>PY: Media Crit.</v>
      </c>
      <c r="T1272">
        <f t="shared" si="96"/>
        <v>0</v>
      </c>
      <c r="U1272">
        <f t="shared" si="97"/>
        <v>0</v>
      </c>
      <c r="V1272">
        <f t="shared" si="98"/>
        <v>1</v>
      </c>
      <c r="W1272">
        <f t="shared" si="99"/>
        <v>0</v>
      </c>
      <c r="X1272">
        <v>1</v>
      </c>
      <c r="Y1272" s="2">
        <v>45768</v>
      </c>
      <c r="Z1272" s="3" t="s">
        <v>47</v>
      </c>
      <c r="AA1272" t="s">
        <v>39</v>
      </c>
      <c r="AB1272" t="s">
        <v>40</v>
      </c>
      <c r="AC1272" t="s">
        <v>40</v>
      </c>
      <c r="AD1272" t="s">
        <v>184</v>
      </c>
    </row>
    <row r="1273" spans="2:30">
      <c r="B1273">
        <v>2</v>
      </c>
      <c r="C1273">
        <v>1020</v>
      </c>
      <c r="D1273" t="s">
        <v>181</v>
      </c>
      <c r="E1273">
        <v>10152994</v>
      </c>
      <c r="F1273" t="s">
        <v>1368</v>
      </c>
      <c r="G1273" t="s">
        <v>31</v>
      </c>
      <c r="H1273" t="s">
        <v>32</v>
      </c>
      <c r="I1273" t="s">
        <v>183</v>
      </c>
      <c r="J1273" t="s">
        <v>45</v>
      </c>
      <c r="K1273" t="s">
        <v>35</v>
      </c>
      <c r="L1273" t="s">
        <v>36</v>
      </c>
      <c r="M1273" t="s">
        <v>37</v>
      </c>
      <c r="N1273">
        <v>4</v>
      </c>
      <c r="O1273">
        <v>3</v>
      </c>
      <c r="P1273">
        <v>1</v>
      </c>
      <c r="Q1273">
        <v>9</v>
      </c>
      <c r="R1273">
        <v>41.94</v>
      </c>
      <c r="S1273" t="str">
        <f t="shared" si="95"/>
        <v>PX: Baja Crit.</v>
      </c>
      <c r="T1273">
        <f t="shared" si="96"/>
        <v>0</v>
      </c>
      <c r="U1273">
        <f t="shared" si="97"/>
        <v>0</v>
      </c>
      <c r="V1273">
        <f t="shared" si="98"/>
        <v>0</v>
      </c>
      <c r="W1273">
        <f t="shared" si="99"/>
        <v>1</v>
      </c>
      <c r="X1273">
        <v>1</v>
      </c>
      <c r="Y1273" s="2">
        <v>45768</v>
      </c>
      <c r="Z1273" s="3" t="s">
        <v>38</v>
      </c>
      <c r="AA1273" t="s">
        <v>39</v>
      </c>
      <c r="AB1273" t="s">
        <v>40</v>
      </c>
      <c r="AC1273" t="s">
        <v>40</v>
      </c>
      <c r="AD1273" t="s">
        <v>184</v>
      </c>
    </row>
    <row r="1274" spans="2:30">
      <c r="B1274">
        <v>2</v>
      </c>
      <c r="C1274">
        <v>1020</v>
      </c>
      <c r="D1274" t="s">
        <v>181</v>
      </c>
      <c r="E1274">
        <v>10162888</v>
      </c>
      <c r="F1274" t="s">
        <v>1369</v>
      </c>
      <c r="G1274" t="s">
        <v>43</v>
      </c>
      <c r="H1274" t="s">
        <v>32</v>
      </c>
      <c r="I1274" t="s">
        <v>183</v>
      </c>
      <c r="J1274" t="s">
        <v>45</v>
      </c>
      <c r="K1274" t="s">
        <v>35</v>
      </c>
      <c r="L1274" t="s">
        <v>36</v>
      </c>
      <c r="M1274" t="s">
        <v>46</v>
      </c>
      <c r="N1274">
        <v>10</v>
      </c>
      <c r="O1274">
        <v>6</v>
      </c>
      <c r="P1274">
        <v>2</v>
      </c>
      <c r="Q1274">
        <v>10</v>
      </c>
      <c r="R1274">
        <v>220.88</v>
      </c>
      <c r="S1274" t="str">
        <f t="shared" si="95"/>
        <v>PY: Media Crit.</v>
      </c>
      <c r="T1274">
        <f t="shared" si="96"/>
        <v>0</v>
      </c>
      <c r="U1274">
        <f t="shared" si="97"/>
        <v>0</v>
      </c>
      <c r="V1274">
        <f t="shared" si="98"/>
        <v>1</v>
      </c>
      <c r="W1274">
        <f t="shared" si="99"/>
        <v>0</v>
      </c>
      <c r="X1274">
        <v>1</v>
      </c>
      <c r="Y1274" s="2">
        <v>45768</v>
      </c>
      <c r="Z1274" s="3" t="s">
        <v>47</v>
      </c>
      <c r="AA1274" t="s">
        <v>39</v>
      </c>
      <c r="AB1274" t="s">
        <v>40</v>
      </c>
      <c r="AC1274" t="s">
        <v>40</v>
      </c>
      <c r="AD1274" t="s">
        <v>184</v>
      </c>
    </row>
    <row r="1275" spans="2:30">
      <c r="B1275">
        <v>2</v>
      </c>
      <c r="C1275">
        <v>1020</v>
      </c>
      <c r="D1275" t="s">
        <v>181</v>
      </c>
      <c r="E1275">
        <v>10163982</v>
      </c>
      <c r="F1275" t="s">
        <v>1370</v>
      </c>
      <c r="G1275" t="s">
        <v>43</v>
      </c>
      <c r="H1275" t="s">
        <v>32</v>
      </c>
      <c r="I1275" t="s">
        <v>183</v>
      </c>
      <c r="J1275" t="s">
        <v>45</v>
      </c>
      <c r="K1275" t="s">
        <v>35</v>
      </c>
      <c r="L1275" t="s">
        <v>36</v>
      </c>
      <c r="M1275" t="s">
        <v>46</v>
      </c>
      <c r="N1275">
        <v>1</v>
      </c>
      <c r="O1275">
        <v>1</v>
      </c>
      <c r="P1275">
        <v>1</v>
      </c>
      <c r="Q1275">
        <v>1</v>
      </c>
      <c r="R1275">
        <v>325.76</v>
      </c>
      <c r="S1275" t="str">
        <f t="shared" si="95"/>
        <v>PY: Media Crit.</v>
      </c>
      <c r="T1275">
        <f t="shared" si="96"/>
        <v>0</v>
      </c>
      <c r="U1275">
        <f t="shared" si="97"/>
        <v>1</v>
      </c>
      <c r="V1275">
        <f t="shared" si="98"/>
        <v>0</v>
      </c>
      <c r="W1275">
        <f t="shared" si="99"/>
        <v>0</v>
      </c>
      <c r="X1275">
        <v>1</v>
      </c>
      <c r="Y1275" s="2">
        <v>45768</v>
      </c>
      <c r="Z1275" s="3" t="s">
        <v>47</v>
      </c>
      <c r="AA1275" t="s">
        <v>39</v>
      </c>
      <c r="AB1275" t="s">
        <v>40</v>
      </c>
      <c r="AC1275" t="s">
        <v>40</v>
      </c>
      <c r="AD1275" t="s">
        <v>184</v>
      </c>
    </row>
    <row r="1276" spans="2:30">
      <c r="B1276">
        <v>2</v>
      </c>
      <c r="C1276">
        <v>1020</v>
      </c>
      <c r="D1276" t="s">
        <v>181</v>
      </c>
      <c r="E1276">
        <v>10168051</v>
      </c>
      <c r="F1276" t="s">
        <v>1371</v>
      </c>
      <c r="G1276" t="s">
        <v>31</v>
      </c>
      <c r="H1276" t="s">
        <v>32</v>
      </c>
      <c r="I1276" t="s">
        <v>183</v>
      </c>
      <c r="J1276" t="s">
        <v>45</v>
      </c>
      <c r="K1276" t="s">
        <v>35</v>
      </c>
      <c r="L1276" t="s">
        <v>36</v>
      </c>
      <c r="M1276" t="s">
        <v>37</v>
      </c>
      <c r="N1276">
        <v>2</v>
      </c>
      <c r="O1276">
        <v>2</v>
      </c>
      <c r="P1276">
        <v>1</v>
      </c>
      <c r="Q1276">
        <v>2</v>
      </c>
      <c r="R1276">
        <v>249.52</v>
      </c>
      <c r="S1276" t="str">
        <f t="shared" si="95"/>
        <v>PX: Baja Crit.</v>
      </c>
      <c r="T1276">
        <f t="shared" si="96"/>
        <v>0</v>
      </c>
      <c r="U1276">
        <f t="shared" si="97"/>
        <v>0</v>
      </c>
      <c r="V1276">
        <f t="shared" si="98"/>
        <v>1</v>
      </c>
      <c r="W1276">
        <f t="shared" si="99"/>
        <v>0</v>
      </c>
      <c r="X1276">
        <v>1</v>
      </c>
      <c r="Y1276" s="2">
        <v>45768</v>
      </c>
      <c r="Z1276" s="3" t="s">
        <v>38</v>
      </c>
      <c r="AA1276" t="s">
        <v>39</v>
      </c>
      <c r="AB1276" t="s">
        <v>40</v>
      </c>
      <c r="AC1276" t="s">
        <v>40</v>
      </c>
      <c r="AD1276" t="s">
        <v>184</v>
      </c>
    </row>
    <row r="1277" spans="2:30">
      <c r="B1277">
        <v>2</v>
      </c>
      <c r="C1277">
        <v>1020</v>
      </c>
      <c r="D1277" t="s">
        <v>384</v>
      </c>
      <c r="E1277">
        <v>10192136</v>
      </c>
      <c r="F1277" t="s">
        <v>1372</v>
      </c>
      <c r="G1277" t="s">
        <v>43</v>
      </c>
      <c r="H1277" t="s">
        <v>44</v>
      </c>
      <c r="I1277" t="s">
        <v>386</v>
      </c>
      <c r="J1277" t="s">
        <v>45</v>
      </c>
      <c r="K1277" t="s">
        <v>35</v>
      </c>
      <c r="L1277" t="s">
        <v>175</v>
      </c>
      <c r="M1277" t="s">
        <v>117</v>
      </c>
      <c r="N1277">
        <v>0</v>
      </c>
      <c r="O1277">
        <v>0</v>
      </c>
      <c r="P1277">
        <v>0</v>
      </c>
      <c r="Q1277">
        <v>141</v>
      </c>
      <c r="R1277" s="4">
        <v>19022.97</v>
      </c>
      <c r="S1277" t="str">
        <f t="shared" si="95"/>
        <v>PY: Media Crit.</v>
      </c>
      <c r="T1277">
        <f t="shared" si="96"/>
        <v>0</v>
      </c>
      <c r="U1277">
        <f t="shared" si="97"/>
        <v>0</v>
      </c>
      <c r="V1277">
        <f t="shared" si="98"/>
        <v>0</v>
      </c>
      <c r="W1277">
        <f t="shared" si="99"/>
        <v>1</v>
      </c>
      <c r="X1277">
        <v>1</v>
      </c>
      <c r="Y1277" s="2">
        <v>45768</v>
      </c>
      <c r="Z1277" s="3" t="s">
        <v>118</v>
      </c>
      <c r="AA1277" t="s">
        <v>39</v>
      </c>
      <c r="AB1277" t="s">
        <v>40</v>
      </c>
      <c r="AC1277" t="s">
        <v>40</v>
      </c>
      <c r="AD1277" t="s">
        <v>387</v>
      </c>
    </row>
    <row r="1278" spans="2:30">
      <c r="B1278">
        <v>2</v>
      </c>
      <c r="C1278">
        <v>1020</v>
      </c>
      <c r="D1278" t="s">
        <v>388</v>
      </c>
      <c r="E1278">
        <v>10227931</v>
      </c>
      <c r="F1278" t="s">
        <v>1373</v>
      </c>
      <c r="G1278" t="s">
        <v>52</v>
      </c>
      <c r="H1278" t="s">
        <v>32</v>
      </c>
      <c r="I1278" t="s">
        <v>390</v>
      </c>
      <c r="J1278" t="s">
        <v>45</v>
      </c>
      <c r="K1278" t="s">
        <v>35</v>
      </c>
      <c r="L1278" t="s">
        <v>175</v>
      </c>
      <c r="M1278" t="s">
        <v>69</v>
      </c>
      <c r="N1278">
        <v>0</v>
      </c>
      <c r="O1278">
        <v>0</v>
      </c>
      <c r="P1278">
        <v>1</v>
      </c>
      <c r="Q1278">
        <v>1</v>
      </c>
      <c r="R1278" s="4">
        <v>3511.31</v>
      </c>
      <c r="S1278" t="str">
        <f t="shared" si="95"/>
        <v>PZ: Alta Crit.</v>
      </c>
      <c r="T1278">
        <f t="shared" si="96"/>
        <v>0</v>
      </c>
      <c r="U1278">
        <f t="shared" si="97"/>
        <v>1</v>
      </c>
      <c r="V1278">
        <f t="shared" si="98"/>
        <v>0</v>
      </c>
      <c r="W1278">
        <f t="shared" si="99"/>
        <v>1</v>
      </c>
      <c r="X1278">
        <v>1</v>
      </c>
      <c r="Y1278" s="2">
        <v>45768</v>
      </c>
      <c r="Z1278" s="3" t="s">
        <v>70</v>
      </c>
      <c r="AA1278" t="s">
        <v>39</v>
      </c>
      <c r="AB1278" t="s">
        <v>40</v>
      </c>
      <c r="AC1278" t="s">
        <v>40</v>
      </c>
      <c r="AD1278" t="s">
        <v>391</v>
      </c>
    </row>
    <row r="1279" spans="2:30">
      <c r="B1279">
        <v>2</v>
      </c>
      <c r="C1279">
        <v>1020</v>
      </c>
      <c r="D1279" t="s">
        <v>181</v>
      </c>
      <c r="E1279">
        <v>10286518</v>
      </c>
      <c r="F1279" t="s">
        <v>1374</v>
      </c>
      <c r="G1279" t="s">
        <v>31</v>
      </c>
      <c r="H1279" t="s">
        <v>60</v>
      </c>
      <c r="I1279" t="s">
        <v>183</v>
      </c>
      <c r="J1279" t="s">
        <v>45</v>
      </c>
      <c r="K1279" t="s">
        <v>35</v>
      </c>
      <c r="L1279" t="s">
        <v>36</v>
      </c>
      <c r="M1279" t="s">
        <v>46</v>
      </c>
      <c r="N1279">
        <v>4</v>
      </c>
      <c r="O1279">
        <v>3</v>
      </c>
      <c r="P1279">
        <v>1</v>
      </c>
      <c r="Q1279">
        <v>3</v>
      </c>
      <c r="R1279" s="4">
        <v>3903.29</v>
      </c>
      <c r="S1279" t="str">
        <f t="shared" si="95"/>
        <v>PX: Baja Crit.</v>
      </c>
      <c r="T1279">
        <f t="shared" si="96"/>
        <v>0</v>
      </c>
      <c r="U1279">
        <f t="shared" si="97"/>
        <v>0</v>
      </c>
      <c r="V1279">
        <f t="shared" si="98"/>
        <v>1</v>
      </c>
      <c r="W1279">
        <f t="shared" si="99"/>
        <v>0</v>
      </c>
      <c r="X1279">
        <v>1</v>
      </c>
      <c r="Y1279" s="2">
        <v>45768</v>
      </c>
      <c r="Z1279" s="3" t="s">
        <v>47</v>
      </c>
      <c r="AA1279" t="s">
        <v>39</v>
      </c>
      <c r="AB1279" t="s">
        <v>40</v>
      </c>
      <c r="AC1279" t="s">
        <v>40</v>
      </c>
      <c r="AD1279" t="s">
        <v>184</v>
      </c>
    </row>
    <row r="1280" spans="2:30">
      <c r="B1280">
        <v>2</v>
      </c>
      <c r="C1280">
        <v>1020</v>
      </c>
      <c r="D1280" t="s">
        <v>181</v>
      </c>
      <c r="E1280">
        <v>10292018</v>
      </c>
      <c r="F1280" t="s">
        <v>1375</v>
      </c>
      <c r="G1280" t="s">
        <v>43</v>
      </c>
      <c r="H1280" t="s">
        <v>32</v>
      </c>
      <c r="I1280" t="s">
        <v>183</v>
      </c>
      <c r="J1280" t="s">
        <v>45</v>
      </c>
      <c r="K1280" t="s">
        <v>35</v>
      </c>
      <c r="L1280" t="s">
        <v>36</v>
      </c>
      <c r="M1280" t="s">
        <v>46</v>
      </c>
      <c r="N1280">
        <v>4</v>
      </c>
      <c r="O1280">
        <v>3</v>
      </c>
      <c r="P1280">
        <v>2</v>
      </c>
      <c r="Q1280">
        <v>5</v>
      </c>
      <c r="R1280" s="4">
        <v>20052.37</v>
      </c>
      <c r="S1280" t="str">
        <f t="shared" si="95"/>
        <v>PY: Media Crit.</v>
      </c>
      <c r="T1280">
        <f t="shared" si="96"/>
        <v>0</v>
      </c>
      <c r="U1280">
        <f t="shared" si="97"/>
        <v>0</v>
      </c>
      <c r="V1280">
        <f t="shared" si="98"/>
        <v>0</v>
      </c>
      <c r="W1280">
        <f t="shared" si="99"/>
        <v>1</v>
      </c>
      <c r="X1280">
        <v>1</v>
      </c>
      <c r="Y1280" s="2">
        <v>45768</v>
      </c>
      <c r="Z1280" s="3" t="s">
        <v>47</v>
      </c>
      <c r="AA1280" t="s">
        <v>39</v>
      </c>
      <c r="AB1280" t="s">
        <v>40</v>
      </c>
      <c r="AC1280" t="s">
        <v>40</v>
      </c>
      <c r="AD1280" t="s">
        <v>184</v>
      </c>
    </row>
    <row r="1281" spans="2:30">
      <c r="B1281">
        <v>2</v>
      </c>
      <c r="C1281">
        <v>1020</v>
      </c>
      <c r="D1281" t="s">
        <v>181</v>
      </c>
      <c r="E1281">
        <v>10292074</v>
      </c>
      <c r="F1281" t="s">
        <v>1376</v>
      </c>
      <c r="G1281" t="s">
        <v>52</v>
      </c>
      <c r="H1281" t="s">
        <v>32</v>
      </c>
      <c r="I1281" t="s">
        <v>183</v>
      </c>
      <c r="J1281" t="s">
        <v>45</v>
      </c>
      <c r="K1281" t="s">
        <v>35</v>
      </c>
      <c r="L1281" t="s">
        <v>36</v>
      </c>
      <c r="M1281" t="s">
        <v>117</v>
      </c>
      <c r="N1281">
        <v>2</v>
      </c>
      <c r="O1281">
        <v>2</v>
      </c>
      <c r="P1281">
        <v>1</v>
      </c>
      <c r="Q1281">
        <v>2</v>
      </c>
      <c r="R1281">
        <v>340</v>
      </c>
      <c r="S1281" t="str">
        <f t="shared" si="95"/>
        <v>PZ: Alta Crit.</v>
      </c>
      <c r="T1281">
        <f t="shared" si="96"/>
        <v>0</v>
      </c>
      <c r="U1281">
        <f t="shared" si="97"/>
        <v>0</v>
      </c>
      <c r="V1281">
        <f t="shared" si="98"/>
        <v>1</v>
      </c>
      <c r="W1281">
        <f t="shared" si="99"/>
        <v>0</v>
      </c>
      <c r="X1281">
        <v>1</v>
      </c>
      <c r="Y1281" s="2">
        <v>45768</v>
      </c>
      <c r="Z1281" s="3" t="s">
        <v>118</v>
      </c>
      <c r="AA1281" t="s">
        <v>39</v>
      </c>
      <c r="AB1281" t="s">
        <v>40</v>
      </c>
      <c r="AC1281" t="s">
        <v>40</v>
      </c>
      <c r="AD1281" t="s">
        <v>184</v>
      </c>
    </row>
    <row r="1282" spans="2:30">
      <c r="B1282">
        <v>2</v>
      </c>
      <c r="C1282">
        <v>1020</v>
      </c>
      <c r="D1282" t="s">
        <v>181</v>
      </c>
      <c r="E1282">
        <v>10292075</v>
      </c>
      <c r="F1282" t="s">
        <v>1377</v>
      </c>
      <c r="G1282" t="s">
        <v>52</v>
      </c>
      <c r="H1282" t="s">
        <v>32</v>
      </c>
      <c r="I1282" t="s">
        <v>183</v>
      </c>
      <c r="J1282" t="s">
        <v>45</v>
      </c>
      <c r="K1282" t="s">
        <v>35</v>
      </c>
      <c r="L1282" t="s">
        <v>36</v>
      </c>
      <c r="M1282" t="s">
        <v>117</v>
      </c>
      <c r="N1282">
        <v>2</v>
      </c>
      <c r="O1282">
        <v>2</v>
      </c>
      <c r="P1282">
        <v>1</v>
      </c>
      <c r="Q1282">
        <v>2</v>
      </c>
      <c r="R1282">
        <v>96.27</v>
      </c>
      <c r="S1282" t="str">
        <f t="shared" ref="S1282:S1345" si="100">+IF(G1282="PZ", "PZ: Alta Crit.",IF(G1282="PY","PY: Media Crit.", "PX: Baja Crit."))</f>
        <v>PZ: Alta Crit.</v>
      </c>
      <c r="T1282">
        <f t="shared" ref="T1282:T1345" si="101">+IF(Q1282=0,1,0)</f>
        <v>0</v>
      </c>
      <c r="U1282">
        <f t="shared" ref="U1282:U1345" si="102">+IF(AND(Q1282&lt;=P1282,Q1282&gt;0),1,0)</f>
        <v>0</v>
      </c>
      <c r="V1282">
        <f t="shared" ref="V1282:V1345" si="103">+IF(AND(Q1282&gt;P1282,Q1282&lt;=N1282),1,0)</f>
        <v>1</v>
      </c>
      <c r="W1282">
        <f t="shared" ref="W1282:W1345" si="104">+IF(Q1282&gt;N1282,1,0)</f>
        <v>0</v>
      </c>
      <c r="X1282">
        <v>1</v>
      </c>
      <c r="Y1282" s="2">
        <v>45768</v>
      </c>
      <c r="Z1282" s="3" t="s">
        <v>118</v>
      </c>
      <c r="AA1282" t="s">
        <v>39</v>
      </c>
      <c r="AB1282" t="s">
        <v>40</v>
      </c>
      <c r="AC1282" t="s">
        <v>40</v>
      </c>
      <c r="AD1282" t="s">
        <v>184</v>
      </c>
    </row>
    <row r="1283" spans="2:30">
      <c r="B1283">
        <v>2</v>
      </c>
      <c r="C1283">
        <v>1020</v>
      </c>
      <c r="D1283" t="s">
        <v>181</v>
      </c>
      <c r="E1283">
        <v>10292076</v>
      </c>
      <c r="F1283" t="s">
        <v>1378</v>
      </c>
      <c r="G1283" t="s">
        <v>52</v>
      </c>
      <c r="H1283" t="s">
        <v>32</v>
      </c>
      <c r="I1283" t="s">
        <v>183</v>
      </c>
      <c r="J1283" t="s">
        <v>45</v>
      </c>
      <c r="K1283" t="s">
        <v>35</v>
      </c>
      <c r="L1283" t="s">
        <v>36</v>
      </c>
      <c r="M1283" t="s">
        <v>117</v>
      </c>
      <c r="N1283">
        <v>2</v>
      </c>
      <c r="O1283">
        <v>2</v>
      </c>
      <c r="P1283">
        <v>1</v>
      </c>
      <c r="Q1283">
        <v>2</v>
      </c>
      <c r="R1283">
        <v>696.72</v>
      </c>
      <c r="S1283" t="str">
        <f t="shared" si="100"/>
        <v>PZ: Alta Crit.</v>
      </c>
      <c r="T1283">
        <f t="shared" si="101"/>
        <v>0</v>
      </c>
      <c r="U1283">
        <f t="shared" si="102"/>
        <v>0</v>
      </c>
      <c r="V1283">
        <f t="shared" si="103"/>
        <v>1</v>
      </c>
      <c r="W1283">
        <f t="shared" si="104"/>
        <v>0</v>
      </c>
      <c r="X1283">
        <v>1</v>
      </c>
      <c r="Y1283" s="2">
        <v>45768</v>
      </c>
      <c r="Z1283" s="3" t="s">
        <v>118</v>
      </c>
      <c r="AA1283" t="s">
        <v>39</v>
      </c>
      <c r="AB1283" t="s">
        <v>40</v>
      </c>
      <c r="AC1283" t="s">
        <v>40</v>
      </c>
      <c r="AD1283" t="s">
        <v>184</v>
      </c>
    </row>
    <row r="1284" spans="2:30">
      <c r="B1284">
        <v>2</v>
      </c>
      <c r="C1284">
        <v>1020</v>
      </c>
      <c r="D1284" t="s">
        <v>388</v>
      </c>
      <c r="E1284">
        <v>10293129</v>
      </c>
      <c r="F1284" t="s">
        <v>1379</v>
      </c>
      <c r="G1284" t="s">
        <v>52</v>
      </c>
      <c r="H1284" t="s">
        <v>32</v>
      </c>
      <c r="I1284" t="s">
        <v>390</v>
      </c>
      <c r="J1284" t="s">
        <v>45</v>
      </c>
      <c r="K1284" t="s">
        <v>35</v>
      </c>
      <c r="L1284" t="s">
        <v>175</v>
      </c>
      <c r="M1284" t="s">
        <v>69</v>
      </c>
      <c r="N1284">
        <v>0</v>
      </c>
      <c r="O1284">
        <v>0</v>
      </c>
      <c r="P1284">
        <v>1</v>
      </c>
      <c r="Q1284">
        <v>1</v>
      </c>
      <c r="R1284" s="4">
        <v>4457.57</v>
      </c>
      <c r="S1284" t="str">
        <f t="shared" si="100"/>
        <v>PZ: Alta Crit.</v>
      </c>
      <c r="T1284">
        <f t="shared" si="101"/>
        <v>0</v>
      </c>
      <c r="U1284">
        <f t="shared" si="102"/>
        <v>1</v>
      </c>
      <c r="V1284">
        <f t="shared" si="103"/>
        <v>0</v>
      </c>
      <c r="W1284">
        <f t="shared" si="104"/>
        <v>1</v>
      </c>
      <c r="X1284">
        <v>1</v>
      </c>
      <c r="Y1284" s="2">
        <v>45768</v>
      </c>
      <c r="Z1284" s="3" t="s">
        <v>70</v>
      </c>
      <c r="AA1284" t="s">
        <v>39</v>
      </c>
      <c r="AB1284" t="s">
        <v>40</v>
      </c>
      <c r="AC1284" t="s">
        <v>40</v>
      </c>
      <c r="AD1284" t="s">
        <v>391</v>
      </c>
    </row>
    <row r="1285" spans="2:30">
      <c r="B1285">
        <v>2</v>
      </c>
      <c r="C1285">
        <v>1020</v>
      </c>
      <c r="D1285" t="s">
        <v>388</v>
      </c>
      <c r="E1285">
        <v>10293638</v>
      </c>
      <c r="F1285" t="s">
        <v>1380</v>
      </c>
      <c r="G1285" t="s">
        <v>43</v>
      </c>
      <c r="H1285" t="s">
        <v>32</v>
      </c>
      <c r="I1285" t="s">
        <v>390</v>
      </c>
      <c r="J1285" t="s">
        <v>45</v>
      </c>
      <c r="K1285" t="s">
        <v>35</v>
      </c>
      <c r="L1285" t="s">
        <v>175</v>
      </c>
      <c r="M1285" t="s">
        <v>69</v>
      </c>
      <c r="N1285">
        <v>0</v>
      </c>
      <c r="O1285">
        <v>0</v>
      </c>
      <c r="P1285">
        <v>2</v>
      </c>
      <c r="Q1285">
        <v>0</v>
      </c>
      <c r="R1285">
        <v>0</v>
      </c>
      <c r="S1285" t="str">
        <f t="shared" si="100"/>
        <v>PY: Media Crit.</v>
      </c>
      <c r="T1285">
        <f t="shared" si="101"/>
        <v>1</v>
      </c>
      <c r="U1285">
        <f t="shared" si="102"/>
        <v>0</v>
      </c>
      <c r="V1285">
        <f t="shared" si="103"/>
        <v>0</v>
      </c>
      <c r="W1285">
        <f t="shared" si="104"/>
        <v>0</v>
      </c>
      <c r="X1285">
        <v>1</v>
      </c>
      <c r="Y1285" s="2">
        <v>45768</v>
      </c>
      <c r="Z1285" s="3" t="s">
        <v>70</v>
      </c>
      <c r="AA1285" t="s">
        <v>39</v>
      </c>
      <c r="AB1285" t="s">
        <v>49</v>
      </c>
      <c r="AC1285" s="5" t="s">
        <v>50</v>
      </c>
      <c r="AD1285" t="s">
        <v>391</v>
      </c>
    </row>
    <row r="1286" spans="2:30">
      <c r="B1286">
        <v>2</v>
      </c>
      <c r="C1286">
        <v>1020</v>
      </c>
      <c r="D1286" t="s">
        <v>388</v>
      </c>
      <c r="E1286">
        <v>10294259</v>
      </c>
      <c r="F1286" t="s">
        <v>1381</v>
      </c>
      <c r="G1286" t="s">
        <v>43</v>
      </c>
      <c r="H1286" t="s">
        <v>32</v>
      </c>
      <c r="I1286" t="s">
        <v>390</v>
      </c>
      <c r="J1286" t="s">
        <v>45</v>
      </c>
      <c r="K1286" t="s">
        <v>35</v>
      </c>
      <c r="L1286" t="s">
        <v>175</v>
      </c>
      <c r="M1286" t="s">
        <v>69</v>
      </c>
      <c r="N1286">
        <v>0</v>
      </c>
      <c r="O1286">
        <v>0</v>
      </c>
      <c r="P1286">
        <v>2</v>
      </c>
      <c r="Q1286">
        <v>0</v>
      </c>
      <c r="R1286">
        <v>0</v>
      </c>
      <c r="S1286" t="str">
        <f t="shared" si="100"/>
        <v>PY: Media Crit.</v>
      </c>
      <c r="T1286">
        <f t="shared" si="101"/>
        <v>1</v>
      </c>
      <c r="U1286">
        <f t="shared" si="102"/>
        <v>0</v>
      </c>
      <c r="V1286">
        <f t="shared" si="103"/>
        <v>0</v>
      </c>
      <c r="W1286">
        <f t="shared" si="104"/>
        <v>0</v>
      </c>
      <c r="X1286">
        <v>1</v>
      </c>
      <c r="Y1286" s="2">
        <v>45768</v>
      </c>
      <c r="Z1286" s="3" t="s">
        <v>70</v>
      </c>
      <c r="AA1286" t="s">
        <v>39</v>
      </c>
      <c r="AB1286" t="s">
        <v>49</v>
      </c>
      <c r="AC1286" s="5" t="s">
        <v>50</v>
      </c>
      <c r="AD1286" t="s">
        <v>391</v>
      </c>
    </row>
    <row r="1287" spans="2:30">
      <c r="B1287">
        <v>2</v>
      </c>
      <c r="C1287">
        <v>1020</v>
      </c>
      <c r="D1287" t="s">
        <v>181</v>
      </c>
      <c r="E1287">
        <v>10294907</v>
      </c>
      <c r="F1287" t="s">
        <v>1382</v>
      </c>
      <c r="G1287" t="s">
        <v>43</v>
      </c>
      <c r="H1287" t="s">
        <v>32</v>
      </c>
      <c r="I1287" t="s">
        <v>183</v>
      </c>
      <c r="J1287" t="s">
        <v>45</v>
      </c>
      <c r="K1287" t="s">
        <v>35</v>
      </c>
      <c r="L1287" t="s">
        <v>36</v>
      </c>
      <c r="M1287" t="s">
        <v>46</v>
      </c>
      <c r="N1287">
        <v>3</v>
      </c>
      <c r="O1287">
        <v>1</v>
      </c>
      <c r="P1287">
        <v>0</v>
      </c>
      <c r="Q1287">
        <v>3</v>
      </c>
      <c r="R1287" s="4">
        <v>2683.51</v>
      </c>
      <c r="S1287" t="str">
        <f t="shared" si="100"/>
        <v>PY: Media Crit.</v>
      </c>
      <c r="T1287">
        <f t="shared" si="101"/>
        <v>0</v>
      </c>
      <c r="U1287">
        <f t="shared" si="102"/>
        <v>0</v>
      </c>
      <c r="V1287">
        <f t="shared" si="103"/>
        <v>1</v>
      </c>
      <c r="W1287">
        <f t="shared" si="104"/>
        <v>0</v>
      </c>
      <c r="X1287">
        <v>1</v>
      </c>
      <c r="Y1287" s="2">
        <v>45768</v>
      </c>
      <c r="Z1287" s="3" t="s">
        <v>47</v>
      </c>
      <c r="AA1287" t="s">
        <v>39</v>
      </c>
      <c r="AB1287" t="s">
        <v>40</v>
      </c>
      <c r="AC1287" t="s">
        <v>40</v>
      </c>
      <c r="AD1287" t="s">
        <v>184</v>
      </c>
    </row>
    <row r="1288" spans="2:30">
      <c r="B1288">
        <v>2</v>
      </c>
      <c r="C1288">
        <v>1020</v>
      </c>
      <c r="D1288" t="s">
        <v>388</v>
      </c>
      <c r="E1288">
        <v>10295109</v>
      </c>
      <c r="F1288" t="s">
        <v>1383</v>
      </c>
      <c r="G1288" t="s">
        <v>52</v>
      </c>
      <c r="H1288" t="s">
        <v>32</v>
      </c>
      <c r="I1288" t="s">
        <v>390</v>
      </c>
      <c r="J1288" t="s">
        <v>45</v>
      </c>
      <c r="K1288" t="s">
        <v>35</v>
      </c>
      <c r="L1288" t="s">
        <v>175</v>
      </c>
      <c r="M1288" t="s">
        <v>46</v>
      </c>
      <c r="N1288">
        <v>0</v>
      </c>
      <c r="O1288">
        <v>0</v>
      </c>
      <c r="P1288">
        <v>1</v>
      </c>
      <c r="Q1288">
        <v>0</v>
      </c>
      <c r="R1288">
        <v>0</v>
      </c>
      <c r="S1288" t="str">
        <f t="shared" si="100"/>
        <v>PZ: Alta Crit.</v>
      </c>
      <c r="T1288">
        <f t="shared" si="101"/>
        <v>1</v>
      </c>
      <c r="U1288">
        <f t="shared" si="102"/>
        <v>0</v>
      </c>
      <c r="V1288">
        <f t="shared" si="103"/>
        <v>0</v>
      </c>
      <c r="W1288">
        <f t="shared" si="104"/>
        <v>0</v>
      </c>
      <c r="X1288">
        <v>1</v>
      </c>
      <c r="Y1288" s="2">
        <v>45768</v>
      </c>
      <c r="Z1288" s="3" t="s">
        <v>47</v>
      </c>
      <c r="AA1288" t="s">
        <v>39</v>
      </c>
      <c r="AB1288" t="s">
        <v>49</v>
      </c>
      <c r="AC1288" s="5" t="s">
        <v>50</v>
      </c>
      <c r="AD1288" t="s">
        <v>391</v>
      </c>
    </row>
    <row r="1289" spans="2:30">
      <c r="B1289">
        <v>2</v>
      </c>
      <c r="C1289">
        <v>1020</v>
      </c>
      <c r="D1289" t="s">
        <v>181</v>
      </c>
      <c r="E1289">
        <v>10295502</v>
      </c>
      <c r="F1289" t="s">
        <v>1384</v>
      </c>
      <c r="G1289" t="s">
        <v>43</v>
      </c>
      <c r="H1289" t="s">
        <v>32</v>
      </c>
      <c r="I1289" t="s">
        <v>183</v>
      </c>
      <c r="J1289" t="s">
        <v>45</v>
      </c>
      <c r="K1289" t="s">
        <v>260</v>
      </c>
      <c r="L1289" t="s">
        <v>36</v>
      </c>
      <c r="M1289" t="s">
        <v>69</v>
      </c>
      <c r="N1289">
        <v>6</v>
      </c>
      <c r="O1289">
        <v>4</v>
      </c>
      <c r="P1289">
        <v>1</v>
      </c>
      <c r="Q1289">
        <v>6</v>
      </c>
      <c r="R1289" s="4">
        <v>8547.74</v>
      </c>
      <c r="S1289" t="str">
        <f t="shared" si="100"/>
        <v>PY: Media Crit.</v>
      </c>
      <c r="T1289">
        <f t="shared" si="101"/>
        <v>0</v>
      </c>
      <c r="U1289">
        <f t="shared" si="102"/>
        <v>0</v>
      </c>
      <c r="V1289">
        <f t="shared" si="103"/>
        <v>1</v>
      </c>
      <c r="W1289">
        <f t="shared" si="104"/>
        <v>0</v>
      </c>
      <c r="X1289">
        <v>1</v>
      </c>
      <c r="Y1289" s="2">
        <v>45768</v>
      </c>
      <c r="Z1289" s="3" t="s">
        <v>70</v>
      </c>
      <c r="AA1289" t="s">
        <v>39</v>
      </c>
      <c r="AB1289" t="s">
        <v>40</v>
      </c>
      <c r="AC1289" t="s">
        <v>40</v>
      </c>
      <c r="AD1289" t="s">
        <v>184</v>
      </c>
    </row>
    <row r="1290" spans="2:30">
      <c r="B1290">
        <v>2</v>
      </c>
      <c r="C1290">
        <v>1020</v>
      </c>
      <c r="D1290" t="s">
        <v>181</v>
      </c>
      <c r="E1290">
        <v>10297499</v>
      </c>
      <c r="F1290" t="s">
        <v>1385</v>
      </c>
      <c r="G1290" t="s">
        <v>52</v>
      </c>
      <c r="H1290" t="s">
        <v>32</v>
      </c>
      <c r="I1290" t="s">
        <v>183</v>
      </c>
      <c r="J1290" t="s">
        <v>45</v>
      </c>
      <c r="K1290" t="s">
        <v>35</v>
      </c>
      <c r="L1290" t="s">
        <v>36</v>
      </c>
      <c r="M1290" t="s">
        <v>46</v>
      </c>
      <c r="N1290">
        <v>1</v>
      </c>
      <c r="O1290">
        <v>1</v>
      </c>
      <c r="P1290">
        <v>1</v>
      </c>
      <c r="Q1290">
        <v>1</v>
      </c>
      <c r="R1290">
        <v>995.02</v>
      </c>
      <c r="S1290" t="str">
        <f t="shared" si="100"/>
        <v>PZ: Alta Crit.</v>
      </c>
      <c r="T1290">
        <f t="shared" si="101"/>
        <v>0</v>
      </c>
      <c r="U1290">
        <f t="shared" si="102"/>
        <v>1</v>
      </c>
      <c r="V1290">
        <f t="shared" si="103"/>
        <v>0</v>
      </c>
      <c r="W1290">
        <f t="shared" si="104"/>
        <v>0</v>
      </c>
      <c r="X1290">
        <v>1</v>
      </c>
      <c r="Y1290" s="2">
        <v>45768</v>
      </c>
      <c r="Z1290" s="3" t="s">
        <v>47</v>
      </c>
      <c r="AA1290" t="s">
        <v>39</v>
      </c>
      <c r="AB1290" t="s">
        <v>40</v>
      </c>
      <c r="AC1290" t="s">
        <v>40</v>
      </c>
      <c r="AD1290" t="s">
        <v>184</v>
      </c>
    </row>
    <row r="1291" spans="2:30">
      <c r="B1291">
        <v>2</v>
      </c>
      <c r="C1291">
        <v>1020</v>
      </c>
      <c r="D1291" t="s">
        <v>388</v>
      </c>
      <c r="E1291">
        <v>10297502</v>
      </c>
      <c r="F1291" t="s">
        <v>1386</v>
      </c>
      <c r="G1291" t="s">
        <v>52</v>
      </c>
      <c r="H1291" t="s">
        <v>32</v>
      </c>
      <c r="I1291" t="s">
        <v>390</v>
      </c>
      <c r="J1291" t="s">
        <v>45</v>
      </c>
      <c r="K1291" t="s">
        <v>35</v>
      </c>
      <c r="L1291" t="s">
        <v>175</v>
      </c>
      <c r="M1291" t="s">
        <v>46</v>
      </c>
      <c r="N1291">
        <v>0</v>
      </c>
      <c r="O1291">
        <v>0</v>
      </c>
      <c r="P1291">
        <v>1</v>
      </c>
      <c r="Q1291">
        <v>1</v>
      </c>
      <c r="R1291" s="4">
        <v>9552.32</v>
      </c>
      <c r="S1291" t="str">
        <f t="shared" si="100"/>
        <v>PZ: Alta Crit.</v>
      </c>
      <c r="T1291">
        <f t="shared" si="101"/>
        <v>0</v>
      </c>
      <c r="U1291">
        <f t="shared" si="102"/>
        <v>1</v>
      </c>
      <c r="V1291">
        <f t="shared" si="103"/>
        <v>0</v>
      </c>
      <c r="W1291">
        <f t="shared" si="104"/>
        <v>1</v>
      </c>
      <c r="X1291">
        <v>1</v>
      </c>
      <c r="Y1291" s="2">
        <v>45768</v>
      </c>
      <c r="Z1291" s="3" t="s">
        <v>47</v>
      </c>
      <c r="AA1291" t="s">
        <v>39</v>
      </c>
      <c r="AB1291" t="s">
        <v>40</v>
      </c>
      <c r="AC1291" t="s">
        <v>40</v>
      </c>
      <c r="AD1291" t="s">
        <v>391</v>
      </c>
    </row>
    <row r="1292" spans="2:30">
      <c r="B1292">
        <v>2</v>
      </c>
      <c r="C1292">
        <v>1020</v>
      </c>
      <c r="D1292" t="s">
        <v>181</v>
      </c>
      <c r="E1292">
        <v>10297504</v>
      </c>
      <c r="F1292" t="s">
        <v>1387</v>
      </c>
      <c r="G1292" t="s">
        <v>52</v>
      </c>
      <c r="H1292" t="s">
        <v>32</v>
      </c>
      <c r="I1292" t="s">
        <v>183</v>
      </c>
      <c r="J1292" t="s">
        <v>45</v>
      </c>
      <c r="K1292" t="s">
        <v>35</v>
      </c>
      <c r="L1292" t="s">
        <v>36</v>
      </c>
      <c r="M1292" t="s">
        <v>46</v>
      </c>
      <c r="N1292">
        <v>2</v>
      </c>
      <c r="O1292">
        <v>2</v>
      </c>
      <c r="P1292">
        <v>1</v>
      </c>
      <c r="Q1292">
        <v>2</v>
      </c>
      <c r="R1292" s="4">
        <v>2013.52</v>
      </c>
      <c r="S1292" t="str">
        <f t="shared" si="100"/>
        <v>PZ: Alta Crit.</v>
      </c>
      <c r="T1292">
        <f t="shared" si="101"/>
        <v>0</v>
      </c>
      <c r="U1292">
        <f t="shared" si="102"/>
        <v>0</v>
      </c>
      <c r="V1292">
        <f t="shared" si="103"/>
        <v>1</v>
      </c>
      <c r="W1292">
        <f t="shared" si="104"/>
        <v>0</v>
      </c>
      <c r="X1292">
        <v>1</v>
      </c>
      <c r="Y1292" s="2">
        <v>45768</v>
      </c>
      <c r="Z1292" s="3" t="s">
        <v>47</v>
      </c>
      <c r="AA1292" t="s">
        <v>39</v>
      </c>
      <c r="AB1292" t="s">
        <v>40</v>
      </c>
      <c r="AC1292" t="s">
        <v>40</v>
      </c>
      <c r="AD1292" t="s">
        <v>184</v>
      </c>
    </row>
    <row r="1293" spans="2:30">
      <c r="B1293">
        <v>2</v>
      </c>
      <c r="C1293">
        <v>1020</v>
      </c>
      <c r="D1293" t="s">
        <v>181</v>
      </c>
      <c r="E1293">
        <v>10297507</v>
      </c>
      <c r="F1293" t="s">
        <v>1388</v>
      </c>
      <c r="G1293" t="s">
        <v>31</v>
      </c>
      <c r="H1293" t="s">
        <v>32</v>
      </c>
      <c r="I1293" t="s">
        <v>183</v>
      </c>
      <c r="J1293" t="s">
        <v>45</v>
      </c>
      <c r="K1293" t="s">
        <v>35</v>
      </c>
      <c r="L1293" t="s">
        <v>36</v>
      </c>
      <c r="M1293" t="s">
        <v>46</v>
      </c>
      <c r="N1293">
        <v>1</v>
      </c>
      <c r="O1293">
        <v>1</v>
      </c>
      <c r="P1293">
        <v>1</v>
      </c>
      <c r="Q1293">
        <v>1</v>
      </c>
      <c r="R1293" s="4">
        <v>1902.17</v>
      </c>
      <c r="S1293" t="str">
        <f t="shared" si="100"/>
        <v>PX: Baja Crit.</v>
      </c>
      <c r="T1293">
        <f t="shared" si="101"/>
        <v>0</v>
      </c>
      <c r="U1293">
        <f t="shared" si="102"/>
        <v>1</v>
      </c>
      <c r="V1293">
        <f t="shared" si="103"/>
        <v>0</v>
      </c>
      <c r="W1293">
        <f t="shared" si="104"/>
        <v>0</v>
      </c>
      <c r="X1293">
        <v>1</v>
      </c>
      <c r="Y1293" s="2">
        <v>45768</v>
      </c>
      <c r="Z1293" s="3" t="s">
        <v>47</v>
      </c>
      <c r="AA1293" t="s">
        <v>39</v>
      </c>
      <c r="AB1293" t="s">
        <v>40</v>
      </c>
      <c r="AC1293" t="s">
        <v>40</v>
      </c>
      <c r="AD1293" t="s">
        <v>184</v>
      </c>
    </row>
    <row r="1294" spans="2:30">
      <c r="B1294">
        <v>2</v>
      </c>
      <c r="C1294">
        <v>1020</v>
      </c>
      <c r="D1294" t="s">
        <v>181</v>
      </c>
      <c r="E1294">
        <v>10297863</v>
      </c>
      <c r="F1294" t="s">
        <v>1389</v>
      </c>
      <c r="G1294" t="s">
        <v>43</v>
      </c>
      <c r="H1294" t="s">
        <v>32</v>
      </c>
      <c r="I1294" t="s">
        <v>183</v>
      </c>
      <c r="J1294" t="s">
        <v>45</v>
      </c>
      <c r="K1294" t="s">
        <v>35</v>
      </c>
      <c r="L1294" t="s">
        <v>36</v>
      </c>
      <c r="M1294" t="s">
        <v>117</v>
      </c>
      <c r="N1294">
        <v>6</v>
      </c>
      <c r="O1294">
        <v>5</v>
      </c>
      <c r="P1294">
        <v>2</v>
      </c>
      <c r="Q1294">
        <v>4</v>
      </c>
      <c r="R1294">
        <v>626.01</v>
      </c>
      <c r="S1294" t="str">
        <f t="shared" si="100"/>
        <v>PY: Media Crit.</v>
      </c>
      <c r="T1294">
        <f t="shared" si="101"/>
        <v>0</v>
      </c>
      <c r="U1294">
        <f t="shared" si="102"/>
        <v>0</v>
      </c>
      <c r="V1294">
        <f t="shared" si="103"/>
        <v>1</v>
      </c>
      <c r="W1294">
        <f t="shared" si="104"/>
        <v>0</v>
      </c>
      <c r="X1294">
        <v>1</v>
      </c>
      <c r="Y1294" s="2">
        <v>45768</v>
      </c>
      <c r="Z1294" s="3" t="s">
        <v>118</v>
      </c>
      <c r="AA1294" t="s">
        <v>39</v>
      </c>
      <c r="AB1294" t="s">
        <v>49</v>
      </c>
      <c r="AC1294" s="5" t="s">
        <v>50</v>
      </c>
      <c r="AD1294" t="s">
        <v>184</v>
      </c>
    </row>
    <row r="1295" spans="2:30">
      <c r="B1295">
        <v>2</v>
      </c>
      <c r="C1295">
        <v>1020</v>
      </c>
      <c r="D1295" t="s">
        <v>181</v>
      </c>
      <c r="E1295">
        <v>10297896</v>
      </c>
      <c r="F1295" t="s">
        <v>1390</v>
      </c>
      <c r="G1295" t="s">
        <v>31</v>
      </c>
      <c r="H1295" t="s">
        <v>32</v>
      </c>
      <c r="I1295" t="s">
        <v>183</v>
      </c>
      <c r="J1295" t="s">
        <v>45</v>
      </c>
      <c r="K1295" t="s">
        <v>35</v>
      </c>
      <c r="L1295" t="s">
        <v>36</v>
      </c>
      <c r="M1295" t="s">
        <v>46</v>
      </c>
      <c r="N1295">
        <v>1</v>
      </c>
      <c r="O1295">
        <v>1</v>
      </c>
      <c r="P1295">
        <v>1</v>
      </c>
      <c r="Q1295">
        <v>3</v>
      </c>
      <c r="R1295" s="4">
        <v>8352.9699999999993</v>
      </c>
      <c r="S1295" t="str">
        <f t="shared" si="100"/>
        <v>PX: Baja Crit.</v>
      </c>
      <c r="T1295">
        <f t="shared" si="101"/>
        <v>0</v>
      </c>
      <c r="U1295">
        <f t="shared" si="102"/>
        <v>0</v>
      </c>
      <c r="V1295">
        <f t="shared" si="103"/>
        <v>0</v>
      </c>
      <c r="W1295">
        <f t="shared" si="104"/>
        <v>1</v>
      </c>
      <c r="X1295">
        <v>1</v>
      </c>
      <c r="Y1295" s="2">
        <v>45768</v>
      </c>
      <c r="Z1295" s="3" t="s">
        <v>47</v>
      </c>
      <c r="AA1295" t="s">
        <v>39</v>
      </c>
      <c r="AB1295" t="s">
        <v>40</v>
      </c>
      <c r="AC1295" t="s">
        <v>40</v>
      </c>
      <c r="AD1295" t="s">
        <v>184</v>
      </c>
    </row>
    <row r="1296" spans="2:30">
      <c r="B1296">
        <v>2</v>
      </c>
      <c r="C1296">
        <v>1020</v>
      </c>
      <c r="D1296" t="s">
        <v>181</v>
      </c>
      <c r="E1296">
        <v>10298275</v>
      </c>
      <c r="F1296" t="s">
        <v>1391</v>
      </c>
      <c r="G1296" t="s">
        <v>43</v>
      </c>
      <c r="H1296" t="s">
        <v>32</v>
      </c>
      <c r="I1296" t="s">
        <v>183</v>
      </c>
      <c r="J1296" t="s">
        <v>45</v>
      </c>
      <c r="K1296" t="s">
        <v>35</v>
      </c>
      <c r="L1296" t="s">
        <v>36</v>
      </c>
      <c r="M1296" t="s">
        <v>46</v>
      </c>
      <c r="N1296">
        <v>13</v>
      </c>
      <c r="O1296">
        <v>6</v>
      </c>
      <c r="P1296">
        <v>2</v>
      </c>
      <c r="Q1296">
        <v>13</v>
      </c>
      <c r="R1296">
        <v>939.83</v>
      </c>
      <c r="S1296" t="str">
        <f t="shared" si="100"/>
        <v>PY: Media Crit.</v>
      </c>
      <c r="T1296">
        <f t="shared" si="101"/>
        <v>0</v>
      </c>
      <c r="U1296">
        <f t="shared" si="102"/>
        <v>0</v>
      </c>
      <c r="V1296">
        <f t="shared" si="103"/>
        <v>1</v>
      </c>
      <c r="W1296">
        <f t="shared" si="104"/>
        <v>0</v>
      </c>
      <c r="X1296">
        <v>1</v>
      </c>
      <c r="Y1296" s="2">
        <v>45768</v>
      </c>
      <c r="Z1296" s="3" t="s">
        <v>47</v>
      </c>
      <c r="AA1296" t="s">
        <v>39</v>
      </c>
      <c r="AB1296" t="s">
        <v>40</v>
      </c>
      <c r="AC1296" t="s">
        <v>40</v>
      </c>
      <c r="AD1296" t="s">
        <v>184</v>
      </c>
    </row>
    <row r="1297" spans="2:30">
      <c r="B1297">
        <v>2</v>
      </c>
      <c r="C1297">
        <v>1020</v>
      </c>
      <c r="D1297" t="s">
        <v>181</v>
      </c>
      <c r="E1297">
        <v>10305963</v>
      </c>
      <c r="F1297" t="s">
        <v>1392</v>
      </c>
      <c r="G1297" t="s">
        <v>52</v>
      </c>
      <c r="H1297" t="s">
        <v>32</v>
      </c>
      <c r="I1297" t="s">
        <v>183</v>
      </c>
      <c r="J1297" t="s">
        <v>45</v>
      </c>
      <c r="K1297" t="s">
        <v>35</v>
      </c>
      <c r="L1297" t="s">
        <v>36</v>
      </c>
      <c r="M1297" t="s">
        <v>46</v>
      </c>
      <c r="N1297">
        <v>4</v>
      </c>
      <c r="O1297">
        <v>3</v>
      </c>
      <c r="P1297">
        <v>1</v>
      </c>
      <c r="Q1297">
        <v>4</v>
      </c>
      <c r="R1297">
        <v>165.05</v>
      </c>
      <c r="S1297" t="str">
        <f t="shared" si="100"/>
        <v>PZ: Alta Crit.</v>
      </c>
      <c r="T1297">
        <f t="shared" si="101"/>
        <v>0</v>
      </c>
      <c r="U1297">
        <f t="shared" si="102"/>
        <v>0</v>
      </c>
      <c r="V1297">
        <f t="shared" si="103"/>
        <v>1</v>
      </c>
      <c r="W1297">
        <f t="shared" si="104"/>
        <v>0</v>
      </c>
      <c r="X1297">
        <v>1</v>
      </c>
      <c r="Y1297" s="2">
        <v>45768</v>
      </c>
      <c r="Z1297" s="3" t="s">
        <v>47</v>
      </c>
      <c r="AA1297" t="s">
        <v>39</v>
      </c>
      <c r="AB1297" t="s">
        <v>40</v>
      </c>
      <c r="AC1297" t="s">
        <v>40</v>
      </c>
      <c r="AD1297" t="s">
        <v>184</v>
      </c>
    </row>
    <row r="1298" spans="2:30">
      <c r="B1298">
        <v>2</v>
      </c>
      <c r="C1298">
        <v>1020</v>
      </c>
      <c r="D1298" t="s">
        <v>388</v>
      </c>
      <c r="E1298">
        <v>10531127</v>
      </c>
      <c r="F1298" t="s">
        <v>1393</v>
      </c>
      <c r="G1298" t="s">
        <v>52</v>
      </c>
      <c r="H1298" t="s">
        <v>32</v>
      </c>
      <c r="I1298" t="s">
        <v>390</v>
      </c>
      <c r="J1298" t="s">
        <v>45</v>
      </c>
      <c r="K1298" t="s">
        <v>35</v>
      </c>
      <c r="L1298" t="s">
        <v>175</v>
      </c>
      <c r="M1298" t="s">
        <v>69</v>
      </c>
      <c r="N1298">
        <v>0</v>
      </c>
      <c r="O1298">
        <v>0</v>
      </c>
      <c r="P1298">
        <v>2</v>
      </c>
      <c r="Q1298">
        <v>2</v>
      </c>
      <c r="R1298" s="4">
        <v>3216.9</v>
      </c>
      <c r="S1298" t="str">
        <f t="shared" si="100"/>
        <v>PZ: Alta Crit.</v>
      </c>
      <c r="T1298">
        <f t="shared" si="101"/>
        <v>0</v>
      </c>
      <c r="U1298">
        <f t="shared" si="102"/>
        <v>1</v>
      </c>
      <c r="V1298">
        <f t="shared" si="103"/>
        <v>0</v>
      </c>
      <c r="W1298">
        <f t="shared" si="104"/>
        <v>1</v>
      </c>
      <c r="X1298">
        <v>1</v>
      </c>
      <c r="Y1298" s="2">
        <v>45768</v>
      </c>
      <c r="Z1298" s="3" t="s">
        <v>70</v>
      </c>
      <c r="AA1298" t="s">
        <v>39</v>
      </c>
      <c r="AB1298" t="s">
        <v>40</v>
      </c>
      <c r="AC1298" t="s">
        <v>40</v>
      </c>
      <c r="AD1298" t="s">
        <v>391</v>
      </c>
    </row>
    <row r="1299" spans="2:30">
      <c r="B1299">
        <v>2</v>
      </c>
      <c r="C1299">
        <v>1020</v>
      </c>
      <c r="D1299" t="s">
        <v>181</v>
      </c>
      <c r="E1299">
        <v>10598680</v>
      </c>
      <c r="F1299" t="s">
        <v>1394</v>
      </c>
      <c r="G1299" t="s">
        <v>52</v>
      </c>
      <c r="H1299" t="s">
        <v>32</v>
      </c>
      <c r="I1299" t="s">
        <v>183</v>
      </c>
      <c r="J1299" t="s">
        <v>45</v>
      </c>
      <c r="K1299" t="s">
        <v>35</v>
      </c>
      <c r="L1299" t="s">
        <v>36</v>
      </c>
      <c r="M1299" t="s">
        <v>46</v>
      </c>
      <c r="N1299">
        <v>4</v>
      </c>
      <c r="O1299">
        <v>3</v>
      </c>
      <c r="P1299">
        <v>1</v>
      </c>
      <c r="Q1299">
        <v>4</v>
      </c>
      <c r="R1299" s="4">
        <v>7216.42</v>
      </c>
      <c r="S1299" t="str">
        <f t="shared" si="100"/>
        <v>PZ: Alta Crit.</v>
      </c>
      <c r="T1299">
        <f t="shared" si="101"/>
        <v>0</v>
      </c>
      <c r="U1299">
        <f t="shared" si="102"/>
        <v>0</v>
      </c>
      <c r="V1299">
        <f t="shared" si="103"/>
        <v>1</v>
      </c>
      <c r="W1299">
        <f t="shared" si="104"/>
        <v>0</v>
      </c>
      <c r="X1299">
        <v>1</v>
      </c>
      <c r="Y1299" s="2">
        <v>45768</v>
      </c>
      <c r="Z1299" s="3" t="s">
        <v>47</v>
      </c>
      <c r="AA1299" t="s">
        <v>39</v>
      </c>
      <c r="AB1299" t="s">
        <v>40</v>
      </c>
      <c r="AC1299" t="s">
        <v>40</v>
      </c>
      <c r="AD1299" t="s">
        <v>184</v>
      </c>
    </row>
    <row r="1300" spans="2:30">
      <c r="B1300">
        <v>2</v>
      </c>
      <c r="C1300">
        <v>1020</v>
      </c>
      <c r="D1300" t="s">
        <v>181</v>
      </c>
      <c r="E1300">
        <v>10598786</v>
      </c>
      <c r="F1300" t="s">
        <v>1395</v>
      </c>
      <c r="G1300" t="s">
        <v>52</v>
      </c>
      <c r="H1300" t="s">
        <v>32</v>
      </c>
      <c r="I1300" t="s">
        <v>183</v>
      </c>
      <c r="J1300" t="s">
        <v>45</v>
      </c>
      <c r="K1300" t="s">
        <v>35</v>
      </c>
      <c r="L1300" t="s">
        <v>36</v>
      </c>
      <c r="M1300" t="s">
        <v>117</v>
      </c>
      <c r="N1300">
        <v>2</v>
      </c>
      <c r="O1300">
        <v>2</v>
      </c>
      <c r="P1300">
        <v>1</v>
      </c>
      <c r="Q1300">
        <v>0</v>
      </c>
      <c r="R1300">
        <v>0</v>
      </c>
      <c r="S1300" t="str">
        <f t="shared" si="100"/>
        <v>PZ: Alta Crit.</v>
      </c>
      <c r="T1300">
        <f t="shared" si="101"/>
        <v>1</v>
      </c>
      <c r="U1300">
        <f t="shared" si="102"/>
        <v>0</v>
      </c>
      <c r="V1300">
        <f t="shared" si="103"/>
        <v>0</v>
      </c>
      <c r="W1300">
        <f t="shared" si="104"/>
        <v>0</v>
      </c>
      <c r="X1300">
        <v>1</v>
      </c>
      <c r="Y1300" s="2">
        <v>45768</v>
      </c>
      <c r="Z1300" s="3" t="s">
        <v>118</v>
      </c>
      <c r="AA1300" t="s">
        <v>39</v>
      </c>
      <c r="AB1300" t="s">
        <v>49</v>
      </c>
      <c r="AC1300" s="5" t="s">
        <v>50</v>
      </c>
      <c r="AD1300" t="s">
        <v>184</v>
      </c>
    </row>
    <row r="1301" spans="2:30">
      <c r="B1301">
        <v>2</v>
      </c>
      <c r="C1301">
        <v>1020</v>
      </c>
      <c r="D1301" t="s">
        <v>181</v>
      </c>
      <c r="E1301">
        <v>10598848</v>
      </c>
      <c r="F1301" t="s">
        <v>1396</v>
      </c>
      <c r="G1301" t="s">
        <v>43</v>
      </c>
      <c r="H1301" t="s">
        <v>32</v>
      </c>
      <c r="I1301" t="s">
        <v>183</v>
      </c>
      <c r="J1301" t="s">
        <v>45</v>
      </c>
      <c r="K1301" t="s">
        <v>35</v>
      </c>
      <c r="L1301" t="s">
        <v>36</v>
      </c>
      <c r="M1301" t="s">
        <v>46</v>
      </c>
      <c r="N1301">
        <v>10</v>
      </c>
      <c r="O1301">
        <v>6</v>
      </c>
      <c r="P1301">
        <v>0</v>
      </c>
      <c r="Q1301">
        <v>6</v>
      </c>
      <c r="R1301">
        <v>199.91</v>
      </c>
      <c r="S1301" t="str">
        <f t="shared" si="100"/>
        <v>PY: Media Crit.</v>
      </c>
      <c r="T1301">
        <f t="shared" si="101"/>
        <v>0</v>
      </c>
      <c r="U1301">
        <f t="shared" si="102"/>
        <v>0</v>
      </c>
      <c r="V1301">
        <f t="shared" si="103"/>
        <v>1</v>
      </c>
      <c r="W1301">
        <f t="shared" si="104"/>
        <v>0</v>
      </c>
      <c r="X1301">
        <v>1</v>
      </c>
      <c r="Y1301" s="2">
        <v>45768</v>
      </c>
      <c r="Z1301" s="3" t="s">
        <v>47</v>
      </c>
      <c r="AA1301" t="s">
        <v>39</v>
      </c>
      <c r="AB1301" t="s">
        <v>40</v>
      </c>
      <c r="AC1301" t="s">
        <v>40</v>
      </c>
      <c r="AD1301" t="s">
        <v>184</v>
      </c>
    </row>
    <row r="1302" spans="2:30">
      <c r="B1302">
        <v>2</v>
      </c>
      <c r="C1302">
        <v>1020</v>
      </c>
      <c r="D1302" t="s">
        <v>181</v>
      </c>
      <c r="E1302">
        <v>10598992</v>
      </c>
      <c r="F1302" t="s">
        <v>1397</v>
      </c>
      <c r="G1302" t="s">
        <v>52</v>
      </c>
      <c r="H1302" t="s">
        <v>32</v>
      </c>
      <c r="I1302" t="s">
        <v>183</v>
      </c>
      <c r="J1302" t="s">
        <v>45</v>
      </c>
      <c r="K1302" t="s">
        <v>35</v>
      </c>
      <c r="L1302" t="s">
        <v>36</v>
      </c>
      <c r="M1302" t="s">
        <v>46</v>
      </c>
      <c r="N1302">
        <v>4</v>
      </c>
      <c r="O1302">
        <v>3</v>
      </c>
      <c r="P1302">
        <v>1</v>
      </c>
      <c r="Q1302">
        <v>4</v>
      </c>
      <c r="R1302" s="4">
        <v>2315.5700000000002</v>
      </c>
      <c r="S1302" t="str">
        <f t="shared" si="100"/>
        <v>PZ: Alta Crit.</v>
      </c>
      <c r="T1302">
        <f t="shared" si="101"/>
        <v>0</v>
      </c>
      <c r="U1302">
        <f t="shared" si="102"/>
        <v>0</v>
      </c>
      <c r="V1302">
        <f t="shared" si="103"/>
        <v>1</v>
      </c>
      <c r="W1302">
        <f t="shared" si="104"/>
        <v>0</v>
      </c>
      <c r="X1302">
        <v>1</v>
      </c>
      <c r="Y1302" s="2">
        <v>45768</v>
      </c>
      <c r="Z1302" s="3" t="s">
        <v>47</v>
      </c>
      <c r="AA1302" t="s">
        <v>39</v>
      </c>
      <c r="AB1302" t="s">
        <v>40</v>
      </c>
      <c r="AC1302" t="s">
        <v>40</v>
      </c>
      <c r="AD1302" t="s">
        <v>184</v>
      </c>
    </row>
    <row r="1303" spans="2:30">
      <c r="B1303">
        <v>2</v>
      </c>
      <c r="C1303">
        <v>1020</v>
      </c>
      <c r="D1303" t="s">
        <v>181</v>
      </c>
      <c r="E1303">
        <v>10599196</v>
      </c>
      <c r="F1303" t="s">
        <v>1398</v>
      </c>
      <c r="G1303" t="s">
        <v>43</v>
      </c>
      <c r="H1303" t="s">
        <v>32</v>
      </c>
      <c r="I1303" t="s">
        <v>183</v>
      </c>
      <c r="J1303" t="s">
        <v>45</v>
      </c>
      <c r="K1303" t="s">
        <v>35</v>
      </c>
      <c r="L1303" t="s">
        <v>36</v>
      </c>
      <c r="M1303" t="s">
        <v>117</v>
      </c>
      <c r="N1303">
        <v>2</v>
      </c>
      <c r="O1303">
        <v>1</v>
      </c>
      <c r="P1303">
        <v>0</v>
      </c>
      <c r="Q1303">
        <v>0</v>
      </c>
      <c r="R1303">
        <v>0</v>
      </c>
      <c r="S1303" t="str">
        <f t="shared" si="100"/>
        <v>PY: Media Crit.</v>
      </c>
      <c r="T1303">
        <f t="shared" si="101"/>
        <v>1</v>
      </c>
      <c r="U1303">
        <f t="shared" si="102"/>
        <v>0</v>
      </c>
      <c r="V1303">
        <f t="shared" si="103"/>
        <v>0</v>
      </c>
      <c r="W1303">
        <f t="shared" si="104"/>
        <v>0</v>
      </c>
      <c r="X1303">
        <v>1</v>
      </c>
      <c r="Y1303" s="2">
        <v>45768</v>
      </c>
      <c r="Z1303" s="3" t="s">
        <v>118</v>
      </c>
      <c r="AA1303" t="s">
        <v>39</v>
      </c>
      <c r="AB1303" t="s">
        <v>49</v>
      </c>
      <c r="AC1303" s="5" t="s">
        <v>50</v>
      </c>
      <c r="AD1303" t="s">
        <v>184</v>
      </c>
    </row>
    <row r="1304" spans="2:30">
      <c r="B1304">
        <v>2</v>
      </c>
      <c r="C1304">
        <v>1020</v>
      </c>
      <c r="D1304" t="s">
        <v>181</v>
      </c>
      <c r="E1304">
        <v>10599209</v>
      </c>
      <c r="F1304" t="s">
        <v>1399</v>
      </c>
      <c r="G1304" t="s">
        <v>31</v>
      </c>
      <c r="H1304" t="s">
        <v>32</v>
      </c>
      <c r="I1304" t="s">
        <v>183</v>
      </c>
      <c r="J1304" t="s">
        <v>45</v>
      </c>
      <c r="K1304" t="s">
        <v>53</v>
      </c>
      <c r="L1304" t="s">
        <v>36</v>
      </c>
      <c r="M1304" t="s">
        <v>46</v>
      </c>
      <c r="N1304">
        <v>40</v>
      </c>
      <c r="O1304">
        <v>21</v>
      </c>
      <c r="P1304">
        <v>10</v>
      </c>
      <c r="Q1304">
        <v>40</v>
      </c>
      <c r="R1304">
        <v>600.53</v>
      </c>
      <c r="S1304" t="str">
        <f t="shared" si="100"/>
        <v>PX: Baja Crit.</v>
      </c>
      <c r="T1304">
        <f t="shared" si="101"/>
        <v>0</v>
      </c>
      <c r="U1304">
        <f t="shared" si="102"/>
        <v>0</v>
      </c>
      <c r="V1304">
        <f t="shared" si="103"/>
        <v>1</v>
      </c>
      <c r="W1304">
        <f t="shared" si="104"/>
        <v>0</v>
      </c>
      <c r="X1304">
        <v>1</v>
      </c>
      <c r="Y1304" s="2">
        <v>45768</v>
      </c>
      <c r="Z1304" s="3" t="s">
        <v>47</v>
      </c>
      <c r="AA1304" t="s">
        <v>39</v>
      </c>
      <c r="AB1304" t="s">
        <v>40</v>
      </c>
      <c r="AC1304" t="s">
        <v>40</v>
      </c>
      <c r="AD1304" t="s">
        <v>184</v>
      </c>
    </row>
    <row r="1305" spans="2:30">
      <c r="B1305">
        <v>2</v>
      </c>
      <c r="C1305">
        <v>1020</v>
      </c>
      <c r="D1305" t="s">
        <v>181</v>
      </c>
      <c r="E1305">
        <v>10599500</v>
      </c>
      <c r="F1305" t="s">
        <v>1400</v>
      </c>
      <c r="G1305" t="s">
        <v>31</v>
      </c>
      <c r="H1305" t="s">
        <v>32</v>
      </c>
      <c r="I1305" t="s">
        <v>183</v>
      </c>
      <c r="J1305" t="s">
        <v>45</v>
      </c>
      <c r="K1305" t="s">
        <v>35</v>
      </c>
      <c r="L1305" t="s">
        <v>36</v>
      </c>
      <c r="M1305" t="s">
        <v>46</v>
      </c>
      <c r="N1305">
        <v>400</v>
      </c>
      <c r="O1305">
        <v>301</v>
      </c>
      <c r="P1305">
        <v>30</v>
      </c>
      <c r="Q1305">
        <v>40</v>
      </c>
      <c r="R1305" s="4">
        <v>1417.16</v>
      </c>
      <c r="S1305" t="str">
        <f t="shared" si="100"/>
        <v>PX: Baja Crit.</v>
      </c>
      <c r="T1305">
        <f t="shared" si="101"/>
        <v>0</v>
      </c>
      <c r="U1305">
        <f t="shared" si="102"/>
        <v>0</v>
      </c>
      <c r="V1305">
        <f t="shared" si="103"/>
        <v>1</v>
      </c>
      <c r="W1305">
        <f t="shared" si="104"/>
        <v>0</v>
      </c>
      <c r="X1305">
        <v>1</v>
      </c>
      <c r="Y1305" s="2">
        <v>45768</v>
      </c>
      <c r="Z1305" s="3" t="s">
        <v>47</v>
      </c>
      <c r="AA1305" t="s">
        <v>39</v>
      </c>
      <c r="AB1305" t="s">
        <v>49</v>
      </c>
      <c r="AC1305" s="5" t="s">
        <v>50</v>
      </c>
      <c r="AD1305" t="s">
        <v>184</v>
      </c>
    </row>
    <row r="1306" spans="2:30">
      <c r="B1306">
        <v>2</v>
      </c>
      <c r="C1306">
        <v>1020</v>
      </c>
      <c r="D1306" t="s">
        <v>181</v>
      </c>
      <c r="E1306">
        <v>10600078</v>
      </c>
      <c r="F1306" t="s">
        <v>1401</v>
      </c>
      <c r="G1306" t="s">
        <v>31</v>
      </c>
      <c r="H1306" t="s">
        <v>60</v>
      </c>
      <c r="I1306" t="s">
        <v>183</v>
      </c>
      <c r="J1306" t="s">
        <v>34</v>
      </c>
      <c r="K1306" t="s">
        <v>65</v>
      </c>
      <c r="L1306" t="s">
        <v>36</v>
      </c>
      <c r="M1306" t="s">
        <v>46</v>
      </c>
      <c r="N1306">
        <v>220</v>
      </c>
      <c r="O1306">
        <v>220</v>
      </c>
      <c r="P1306">
        <v>220</v>
      </c>
      <c r="Q1306">
        <v>0</v>
      </c>
      <c r="R1306">
        <v>0</v>
      </c>
      <c r="S1306" t="str">
        <f t="shared" si="100"/>
        <v>PX: Baja Crit.</v>
      </c>
      <c r="T1306">
        <f t="shared" si="101"/>
        <v>1</v>
      </c>
      <c r="U1306">
        <f t="shared" si="102"/>
        <v>0</v>
      </c>
      <c r="V1306">
        <f t="shared" si="103"/>
        <v>0</v>
      </c>
      <c r="W1306">
        <f t="shared" si="104"/>
        <v>0</v>
      </c>
      <c r="X1306">
        <v>1</v>
      </c>
      <c r="Y1306" s="2">
        <v>45768</v>
      </c>
      <c r="Z1306" s="3" t="s">
        <v>47</v>
      </c>
      <c r="AA1306" t="s">
        <v>39</v>
      </c>
      <c r="AB1306" t="s">
        <v>76</v>
      </c>
      <c r="AC1306" s="5" t="s">
        <v>77</v>
      </c>
      <c r="AD1306" t="s">
        <v>184</v>
      </c>
    </row>
    <row r="1307" spans="2:30">
      <c r="B1307">
        <v>2</v>
      </c>
      <c r="C1307">
        <v>1020</v>
      </c>
      <c r="D1307" t="s">
        <v>181</v>
      </c>
      <c r="E1307">
        <v>10610290</v>
      </c>
      <c r="F1307" t="s">
        <v>1402</v>
      </c>
      <c r="G1307" t="s">
        <v>31</v>
      </c>
      <c r="H1307" t="s">
        <v>60</v>
      </c>
      <c r="I1307" t="s">
        <v>183</v>
      </c>
      <c r="J1307" t="s">
        <v>45</v>
      </c>
      <c r="K1307" t="s">
        <v>35</v>
      </c>
      <c r="L1307" t="s">
        <v>36</v>
      </c>
      <c r="M1307" t="s">
        <v>88</v>
      </c>
      <c r="N1307">
        <v>200</v>
      </c>
      <c r="O1307">
        <v>101</v>
      </c>
      <c r="P1307">
        <v>0</v>
      </c>
      <c r="Q1307">
        <v>200</v>
      </c>
      <c r="R1307">
        <v>136</v>
      </c>
      <c r="S1307" t="str">
        <f t="shared" si="100"/>
        <v>PX: Baja Crit.</v>
      </c>
      <c r="T1307">
        <f t="shared" si="101"/>
        <v>0</v>
      </c>
      <c r="U1307">
        <f t="shared" si="102"/>
        <v>0</v>
      </c>
      <c r="V1307">
        <f t="shared" si="103"/>
        <v>1</v>
      </c>
      <c r="W1307">
        <f t="shared" si="104"/>
        <v>0</v>
      </c>
      <c r="X1307">
        <v>1</v>
      </c>
      <c r="Y1307" s="2">
        <v>45768</v>
      </c>
      <c r="Z1307" s="3" t="s">
        <v>89</v>
      </c>
      <c r="AA1307" t="s">
        <v>39</v>
      </c>
      <c r="AB1307" t="s">
        <v>40</v>
      </c>
      <c r="AC1307" t="s">
        <v>40</v>
      </c>
      <c r="AD1307" t="s">
        <v>184</v>
      </c>
    </row>
    <row r="1308" spans="2:30">
      <c r="B1308">
        <v>2</v>
      </c>
      <c r="C1308">
        <v>1020</v>
      </c>
      <c r="D1308" t="s">
        <v>181</v>
      </c>
      <c r="E1308">
        <v>10616182</v>
      </c>
      <c r="F1308" t="s">
        <v>1403</v>
      </c>
      <c r="G1308" t="s">
        <v>43</v>
      </c>
      <c r="H1308" t="s">
        <v>32</v>
      </c>
      <c r="I1308" t="s">
        <v>183</v>
      </c>
      <c r="J1308" t="s">
        <v>45</v>
      </c>
      <c r="K1308" t="s">
        <v>65</v>
      </c>
      <c r="L1308" t="s">
        <v>36</v>
      </c>
      <c r="M1308" t="s">
        <v>46</v>
      </c>
      <c r="N1308">
        <v>54</v>
      </c>
      <c r="O1308">
        <v>36</v>
      </c>
      <c r="P1308">
        <v>18</v>
      </c>
      <c r="Q1308">
        <v>54</v>
      </c>
      <c r="R1308" s="4">
        <v>21237.759999999998</v>
      </c>
      <c r="S1308" t="str">
        <f t="shared" si="100"/>
        <v>PY: Media Crit.</v>
      </c>
      <c r="T1308">
        <f t="shared" si="101"/>
        <v>0</v>
      </c>
      <c r="U1308">
        <f t="shared" si="102"/>
        <v>0</v>
      </c>
      <c r="V1308">
        <f t="shared" si="103"/>
        <v>1</v>
      </c>
      <c r="W1308">
        <f t="shared" si="104"/>
        <v>0</v>
      </c>
      <c r="X1308">
        <v>1</v>
      </c>
      <c r="Y1308" s="2">
        <v>45768</v>
      </c>
      <c r="Z1308" s="3" t="s">
        <v>47</v>
      </c>
      <c r="AA1308" t="s">
        <v>39</v>
      </c>
      <c r="AB1308" t="s">
        <v>40</v>
      </c>
      <c r="AC1308" t="s">
        <v>40</v>
      </c>
      <c r="AD1308" t="s">
        <v>184</v>
      </c>
    </row>
    <row r="1309" spans="2:30">
      <c r="B1309">
        <v>2</v>
      </c>
      <c r="C1309">
        <v>1020</v>
      </c>
      <c r="D1309" t="s">
        <v>181</v>
      </c>
      <c r="E1309">
        <v>10618291</v>
      </c>
      <c r="F1309" t="s">
        <v>1404</v>
      </c>
      <c r="G1309" t="s">
        <v>31</v>
      </c>
      <c r="H1309" t="s">
        <v>32</v>
      </c>
      <c r="I1309" t="s">
        <v>183</v>
      </c>
      <c r="J1309" t="s">
        <v>45</v>
      </c>
      <c r="K1309" t="s">
        <v>35</v>
      </c>
      <c r="L1309" t="s">
        <v>36</v>
      </c>
      <c r="M1309" t="s">
        <v>69</v>
      </c>
      <c r="N1309">
        <v>5</v>
      </c>
      <c r="O1309">
        <v>3</v>
      </c>
      <c r="P1309">
        <v>1</v>
      </c>
      <c r="Q1309">
        <v>1</v>
      </c>
      <c r="R1309">
        <v>256.87</v>
      </c>
      <c r="S1309" t="str">
        <f t="shared" si="100"/>
        <v>PX: Baja Crit.</v>
      </c>
      <c r="T1309">
        <f t="shared" si="101"/>
        <v>0</v>
      </c>
      <c r="U1309">
        <f t="shared" si="102"/>
        <v>1</v>
      </c>
      <c r="V1309">
        <f t="shared" si="103"/>
        <v>0</v>
      </c>
      <c r="W1309">
        <f t="shared" si="104"/>
        <v>0</v>
      </c>
      <c r="X1309">
        <v>1</v>
      </c>
      <c r="Y1309" s="2">
        <v>45768</v>
      </c>
      <c r="Z1309" s="3" t="s">
        <v>70</v>
      </c>
      <c r="AA1309" t="s">
        <v>39</v>
      </c>
      <c r="AB1309" t="s">
        <v>49</v>
      </c>
      <c r="AC1309" s="5" t="s">
        <v>50</v>
      </c>
      <c r="AD1309" t="s">
        <v>184</v>
      </c>
    </row>
    <row r="1310" spans="2:30">
      <c r="B1310">
        <v>2</v>
      </c>
      <c r="C1310">
        <v>1020</v>
      </c>
      <c r="D1310" t="s">
        <v>181</v>
      </c>
      <c r="E1310">
        <v>10619587</v>
      </c>
      <c r="F1310" t="s">
        <v>1405</v>
      </c>
      <c r="G1310" t="s">
        <v>52</v>
      </c>
      <c r="H1310" t="s">
        <v>44</v>
      </c>
      <c r="I1310" t="s">
        <v>183</v>
      </c>
      <c r="J1310" t="s">
        <v>45</v>
      </c>
      <c r="K1310" t="s">
        <v>35</v>
      </c>
      <c r="L1310" t="s">
        <v>36</v>
      </c>
      <c r="M1310" t="s">
        <v>117</v>
      </c>
      <c r="N1310">
        <v>18</v>
      </c>
      <c r="O1310">
        <v>10</v>
      </c>
      <c r="P1310">
        <v>3</v>
      </c>
      <c r="Q1310">
        <v>0</v>
      </c>
      <c r="R1310">
        <v>0</v>
      </c>
      <c r="S1310" t="str">
        <f t="shared" si="100"/>
        <v>PZ: Alta Crit.</v>
      </c>
      <c r="T1310">
        <f t="shared" si="101"/>
        <v>1</v>
      </c>
      <c r="U1310">
        <f t="shared" si="102"/>
        <v>0</v>
      </c>
      <c r="V1310">
        <f t="shared" si="103"/>
        <v>0</v>
      </c>
      <c r="W1310">
        <f t="shared" si="104"/>
        <v>0</v>
      </c>
      <c r="X1310">
        <v>1</v>
      </c>
      <c r="Y1310" s="2">
        <v>45768</v>
      </c>
      <c r="Z1310" s="3" t="s">
        <v>118</v>
      </c>
      <c r="AA1310" t="s">
        <v>39</v>
      </c>
      <c r="AB1310" t="s">
        <v>49</v>
      </c>
      <c r="AC1310" s="5" t="s">
        <v>50</v>
      </c>
      <c r="AD1310" t="s">
        <v>184</v>
      </c>
    </row>
    <row r="1311" spans="2:30">
      <c r="B1311">
        <v>2</v>
      </c>
      <c r="C1311">
        <v>1020</v>
      </c>
      <c r="D1311" t="s">
        <v>181</v>
      </c>
      <c r="E1311">
        <v>10619681</v>
      </c>
      <c r="F1311" t="s">
        <v>1406</v>
      </c>
      <c r="G1311" t="s">
        <v>31</v>
      </c>
      <c r="H1311" t="s">
        <v>32</v>
      </c>
      <c r="I1311" t="s">
        <v>183</v>
      </c>
      <c r="J1311" t="s">
        <v>45</v>
      </c>
      <c r="K1311" t="s">
        <v>35</v>
      </c>
      <c r="L1311" t="s">
        <v>36</v>
      </c>
      <c r="M1311" t="s">
        <v>46</v>
      </c>
      <c r="N1311">
        <v>32</v>
      </c>
      <c r="O1311">
        <v>17</v>
      </c>
      <c r="P1311">
        <v>12</v>
      </c>
      <c r="Q1311">
        <v>24</v>
      </c>
      <c r="R1311" s="4">
        <v>4140.76</v>
      </c>
      <c r="S1311" t="str">
        <f t="shared" si="100"/>
        <v>PX: Baja Crit.</v>
      </c>
      <c r="T1311">
        <f t="shared" si="101"/>
        <v>0</v>
      </c>
      <c r="U1311">
        <f t="shared" si="102"/>
        <v>0</v>
      </c>
      <c r="V1311">
        <f t="shared" si="103"/>
        <v>1</v>
      </c>
      <c r="W1311">
        <f t="shared" si="104"/>
        <v>0</v>
      </c>
      <c r="X1311">
        <v>1</v>
      </c>
      <c r="Y1311" s="2">
        <v>45768</v>
      </c>
      <c r="Z1311" s="3" t="s">
        <v>47</v>
      </c>
      <c r="AA1311" t="s">
        <v>39</v>
      </c>
      <c r="AB1311" t="s">
        <v>40</v>
      </c>
      <c r="AC1311" t="s">
        <v>40</v>
      </c>
      <c r="AD1311" t="s">
        <v>184</v>
      </c>
    </row>
    <row r="1312" spans="2:30">
      <c r="B1312">
        <v>2</v>
      </c>
      <c r="C1312">
        <v>1020</v>
      </c>
      <c r="D1312" t="s">
        <v>181</v>
      </c>
      <c r="E1312">
        <v>10622887</v>
      </c>
      <c r="F1312" t="s">
        <v>1407</v>
      </c>
      <c r="G1312" t="s">
        <v>43</v>
      </c>
      <c r="H1312" t="s">
        <v>32</v>
      </c>
      <c r="I1312" t="s">
        <v>183</v>
      </c>
      <c r="J1312" t="s">
        <v>45</v>
      </c>
      <c r="K1312" t="s">
        <v>35</v>
      </c>
      <c r="L1312" t="s">
        <v>36</v>
      </c>
      <c r="M1312" t="s">
        <v>46</v>
      </c>
      <c r="N1312">
        <v>4</v>
      </c>
      <c r="O1312">
        <v>3</v>
      </c>
      <c r="P1312">
        <v>1</v>
      </c>
      <c r="Q1312">
        <v>4</v>
      </c>
      <c r="R1312">
        <v>685.89</v>
      </c>
      <c r="S1312" t="str">
        <f t="shared" si="100"/>
        <v>PY: Media Crit.</v>
      </c>
      <c r="T1312">
        <f t="shared" si="101"/>
        <v>0</v>
      </c>
      <c r="U1312">
        <f t="shared" si="102"/>
        <v>0</v>
      </c>
      <c r="V1312">
        <f t="shared" si="103"/>
        <v>1</v>
      </c>
      <c r="W1312">
        <f t="shared" si="104"/>
        <v>0</v>
      </c>
      <c r="X1312">
        <v>1</v>
      </c>
      <c r="Y1312" s="2">
        <v>45768</v>
      </c>
      <c r="Z1312" s="3" t="s">
        <v>47</v>
      </c>
      <c r="AA1312" t="s">
        <v>39</v>
      </c>
      <c r="AB1312" t="s">
        <v>40</v>
      </c>
      <c r="AC1312" t="s">
        <v>40</v>
      </c>
      <c r="AD1312" t="s">
        <v>184</v>
      </c>
    </row>
    <row r="1313" spans="2:30">
      <c r="B1313">
        <v>2</v>
      </c>
      <c r="C1313">
        <v>1020</v>
      </c>
      <c r="D1313" t="s">
        <v>181</v>
      </c>
      <c r="E1313">
        <v>10627270</v>
      </c>
      <c r="F1313" t="s">
        <v>1408</v>
      </c>
      <c r="G1313" t="s">
        <v>31</v>
      </c>
      <c r="H1313" t="s">
        <v>32</v>
      </c>
      <c r="I1313" t="s">
        <v>183</v>
      </c>
      <c r="J1313" t="s">
        <v>45</v>
      </c>
      <c r="K1313" t="s">
        <v>35</v>
      </c>
      <c r="L1313" t="s">
        <v>36</v>
      </c>
      <c r="M1313" t="s">
        <v>37</v>
      </c>
      <c r="N1313">
        <v>4</v>
      </c>
      <c r="O1313">
        <v>3</v>
      </c>
      <c r="P1313">
        <v>1</v>
      </c>
      <c r="Q1313">
        <v>4</v>
      </c>
      <c r="R1313">
        <v>9.4</v>
      </c>
      <c r="S1313" t="str">
        <f t="shared" si="100"/>
        <v>PX: Baja Crit.</v>
      </c>
      <c r="T1313">
        <f t="shared" si="101"/>
        <v>0</v>
      </c>
      <c r="U1313">
        <f t="shared" si="102"/>
        <v>0</v>
      </c>
      <c r="V1313">
        <f t="shared" si="103"/>
        <v>1</v>
      </c>
      <c r="W1313">
        <f t="shared" si="104"/>
        <v>0</v>
      </c>
      <c r="X1313">
        <v>1</v>
      </c>
      <c r="Y1313" s="2">
        <v>45768</v>
      </c>
      <c r="Z1313" s="3" t="s">
        <v>38</v>
      </c>
      <c r="AA1313" t="s">
        <v>39</v>
      </c>
      <c r="AB1313" t="s">
        <v>40</v>
      </c>
      <c r="AC1313" t="s">
        <v>40</v>
      </c>
      <c r="AD1313" t="s">
        <v>184</v>
      </c>
    </row>
    <row r="1314" spans="2:30">
      <c r="B1314">
        <v>2</v>
      </c>
      <c r="C1314">
        <v>1020</v>
      </c>
      <c r="D1314" t="s">
        <v>181</v>
      </c>
      <c r="E1314">
        <v>10627273</v>
      </c>
      <c r="F1314" t="s">
        <v>1409</v>
      </c>
      <c r="G1314" t="s">
        <v>31</v>
      </c>
      <c r="H1314" t="s">
        <v>32</v>
      </c>
      <c r="I1314" t="s">
        <v>183</v>
      </c>
      <c r="J1314" t="s">
        <v>45</v>
      </c>
      <c r="K1314" t="s">
        <v>35</v>
      </c>
      <c r="L1314" t="s">
        <v>36</v>
      </c>
      <c r="M1314" t="s">
        <v>37</v>
      </c>
      <c r="N1314">
        <v>4</v>
      </c>
      <c r="O1314">
        <v>3</v>
      </c>
      <c r="P1314">
        <v>1</v>
      </c>
      <c r="Q1314">
        <v>4</v>
      </c>
      <c r="R1314">
        <v>9.4</v>
      </c>
      <c r="S1314" t="str">
        <f t="shared" si="100"/>
        <v>PX: Baja Crit.</v>
      </c>
      <c r="T1314">
        <f t="shared" si="101"/>
        <v>0</v>
      </c>
      <c r="U1314">
        <f t="shared" si="102"/>
        <v>0</v>
      </c>
      <c r="V1314">
        <f t="shared" si="103"/>
        <v>1</v>
      </c>
      <c r="W1314">
        <f t="shared" si="104"/>
        <v>0</v>
      </c>
      <c r="X1314">
        <v>1</v>
      </c>
      <c r="Y1314" s="2">
        <v>45768</v>
      </c>
      <c r="Z1314" s="3" t="s">
        <v>38</v>
      </c>
      <c r="AA1314" t="s">
        <v>39</v>
      </c>
      <c r="AB1314" t="s">
        <v>40</v>
      </c>
      <c r="AC1314" t="s">
        <v>40</v>
      </c>
      <c r="AD1314" t="s">
        <v>184</v>
      </c>
    </row>
    <row r="1315" spans="2:30">
      <c r="B1315">
        <v>2</v>
      </c>
      <c r="C1315">
        <v>1020</v>
      </c>
      <c r="D1315" t="s">
        <v>181</v>
      </c>
      <c r="E1315">
        <v>10627279</v>
      </c>
      <c r="F1315" t="s">
        <v>1410</v>
      </c>
      <c r="G1315" t="s">
        <v>31</v>
      </c>
      <c r="H1315" t="s">
        <v>32</v>
      </c>
      <c r="I1315" t="s">
        <v>183</v>
      </c>
      <c r="J1315" t="s">
        <v>45</v>
      </c>
      <c r="K1315" t="s">
        <v>35</v>
      </c>
      <c r="L1315" t="s">
        <v>36</v>
      </c>
      <c r="M1315" t="s">
        <v>37</v>
      </c>
      <c r="N1315">
        <v>4</v>
      </c>
      <c r="O1315">
        <v>3</v>
      </c>
      <c r="P1315">
        <v>1</v>
      </c>
      <c r="Q1315">
        <v>4</v>
      </c>
      <c r="R1315">
        <v>9.4</v>
      </c>
      <c r="S1315" t="str">
        <f t="shared" si="100"/>
        <v>PX: Baja Crit.</v>
      </c>
      <c r="T1315">
        <f t="shared" si="101"/>
        <v>0</v>
      </c>
      <c r="U1315">
        <f t="shared" si="102"/>
        <v>0</v>
      </c>
      <c r="V1315">
        <f t="shared" si="103"/>
        <v>1</v>
      </c>
      <c r="W1315">
        <f t="shared" si="104"/>
        <v>0</v>
      </c>
      <c r="X1315">
        <v>1</v>
      </c>
      <c r="Y1315" s="2">
        <v>45768</v>
      </c>
      <c r="Z1315" s="3" t="s">
        <v>38</v>
      </c>
      <c r="AA1315" t="s">
        <v>39</v>
      </c>
      <c r="AB1315" t="s">
        <v>40</v>
      </c>
      <c r="AC1315" t="s">
        <v>40</v>
      </c>
      <c r="AD1315" t="s">
        <v>184</v>
      </c>
    </row>
    <row r="1316" spans="2:30">
      <c r="B1316">
        <v>2</v>
      </c>
      <c r="C1316">
        <v>1020</v>
      </c>
      <c r="D1316" t="s">
        <v>388</v>
      </c>
      <c r="E1316">
        <v>10628699</v>
      </c>
      <c r="F1316" t="s">
        <v>1411</v>
      </c>
      <c r="G1316" t="s">
        <v>52</v>
      </c>
      <c r="H1316" t="s">
        <v>32</v>
      </c>
      <c r="I1316" t="s">
        <v>390</v>
      </c>
      <c r="J1316" t="s">
        <v>45</v>
      </c>
      <c r="K1316" t="s">
        <v>35</v>
      </c>
      <c r="L1316" t="s">
        <v>175</v>
      </c>
      <c r="M1316" t="s">
        <v>69</v>
      </c>
      <c r="N1316">
        <v>0</v>
      </c>
      <c r="O1316">
        <v>0</v>
      </c>
      <c r="P1316">
        <v>1</v>
      </c>
      <c r="Q1316">
        <v>1</v>
      </c>
      <c r="R1316" s="4">
        <v>8299.6200000000008</v>
      </c>
      <c r="S1316" t="str">
        <f t="shared" si="100"/>
        <v>PZ: Alta Crit.</v>
      </c>
      <c r="T1316">
        <f t="shared" si="101"/>
        <v>0</v>
      </c>
      <c r="U1316">
        <f t="shared" si="102"/>
        <v>1</v>
      </c>
      <c r="V1316">
        <f t="shared" si="103"/>
        <v>0</v>
      </c>
      <c r="W1316">
        <f t="shared" si="104"/>
        <v>1</v>
      </c>
      <c r="X1316">
        <v>1</v>
      </c>
      <c r="Y1316" s="2">
        <v>45768</v>
      </c>
      <c r="Z1316" s="3" t="s">
        <v>70</v>
      </c>
      <c r="AA1316" t="s">
        <v>39</v>
      </c>
      <c r="AB1316" t="s">
        <v>40</v>
      </c>
      <c r="AC1316" t="s">
        <v>40</v>
      </c>
      <c r="AD1316" t="s">
        <v>391</v>
      </c>
    </row>
    <row r="1317" spans="2:30">
      <c r="B1317">
        <v>2</v>
      </c>
      <c r="C1317">
        <v>1020</v>
      </c>
      <c r="D1317" t="s">
        <v>388</v>
      </c>
      <c r="E1317">
        <v>10634575</v>
      </c>
      <c r="F1317" t="s">
        <v>1412</v>
      </c>
      <c r="G1317" t="s">
        <v>52</v>
      </c>
      <c r="H1317" t="s">
        <v>32</v>
      </c>
      <c r="I1317" t="s">
        <v>390</v>
      </c>
      <c r="J1317" t="s">
        <v>45</v>
      </c>
      <c r="K1317" t="s">
        <v>35</v>
      </c>
      <c r="L1317" t="s">
        <v>175</v>
      </c>
      <c r="M1317" t="s">
        <v>117</v>
      </c>
      <c r="N1317">
        <v>0</v>
      </c>
      <c r="O1317">
        <v>0</v>
      </c>
      <c r="P1317">
        <v>1</v>
      </c>
      <c r="Q1317">
        <v>0</v>
      </c>
      <c r="R1317">
        <v>0</v>
      </c>
      <c r="S1317" t="str">
        <f t="shared" si="100"/>
        <v>PZ: Alta Crit.</v>
      </c>
      <c r="T1317">
        <f t="shared" si="101"/>
        <v>1</v>
      </c>
      <c r="U1317">
        <f t="shared" si="102"/>
        <v>0</v>
      </c>
      <c r="V1317">
        <f t="shared" si="103"/>
        <v>0</v>
      </c>
      <c r="W1317">
        <f t="shared" si="104"/>
        <v>0</v>
      </c>
      <c r="X1317">
        <v>1</v>
      </c>
      <c r="Y1317" s="2">
        <v>45768</v>
      </c>
      <c r="Z1317" s="3" t="s">
        <v>118</v>
      </c>
      <c r="AA1317" t="s">
        <v>39</v>
      </c>
      <c r="AB1317" t="s">
        <v>76</v>
      </c>
      <c r="AC1317" s="5" t="s">
        <v>77</v>
      </c>
      <c r="AD1317" t="s">
        <v>391</v>
      </c>
    </row>
    <row r="1318" spans="2:30">
      <c r="B1318">
        <v>2</v>
      </c>
      <c r="C1318">
        <v>1020</v>
      </c>
      <c r="D1318" t="s">
        <v>181</v>
      </c>
      <c r="E1318">
        <v>10638754</v>
      </c>
      <c r="F1318" t="s">
        <v>1413</v>
      </c>
      <c r="G1318" t="s">
        <v>52</v>
      </c>
      <c r="H1318" t="s">
        <v>32</v>
      </c>
      <c r="I1318" t="s">
        <v>183</v>
      </c>
      <c r="J1318" t="s">
        <v>45</v>
      </c>
      <c r="K1318" t="s">
        <v>35</v>
      </c>
      <c r="L1318" t="s">
        <v>36</v>
      </c>
      <c r="M1318" t="s">
        <v>117</v>
      </c>
      <c r="N1318">
        <v>2</v>
      </c>
      <c r="O1318">
        <v>2</v>
      </c>
      <c r="P1318">
        <v>1</v>
      </c>
      <c r="Q1318">
        <v>1</v>
      </c>
      <c r="R1318" s="4">
        <v>1770</v>
      </c>
      <c r="S1318" t="str">
        <f t="shared" si="100"/>
        <v>PZ: Alta Crit.</v>
      </c>
      <c r="T1318">
        <f t="shared" si="101"/>
        <v>0</v>
      </c>
      <c r="U1318">
        <f t="shared" si="102"/>
        <v>1</v>
      </c>
      <c r="V1318">
        <f t="shared" si="103"/>
        <v>0</v>
      </c>
      <c r="W1318">
        <f t="shared" si="104"/>
        <v>0</v>
      </c>
      <c r="X1318">
        <v>1</v>
      </c>
      <c r="Y1318" s="2">
        <v>45768</v>
      </c>
      <c r="Z1318" s="3" t="s">
        <v>118</v>
      </c>
      <c r="AA1318" t="s">
        <v>39</v>
      </c>
      <c r="AB1318" t="s">
        <v>49</v>
      </c>
      <c r="AC1318" s="5" t="s">
        <v>50</v>
      </c>
      <c r="AD1318" t="s">
        <v>184</v>
      </c>
    </row>
    <row r="1319" spans="2:30">
      <c r="B1319">
        <v>2</v>
      </c>
      <c r="C1319">
        <v>1020</v>
      </c>
      <c r="D1319" t="s">
        <v>181</v>
      </c>
      <c r="E1319">
        <v>10640974</v>
      </c>
      <c r="F1319" t="s">
        <v>1414</v>
      </c>
      <c r="G1319" t="s">
        <v>43</v>
      </c>
      <c r="H1319" t="s">
        <v>60</v>
      </c>
      <c r="I1319" t="s">
        <v>183</v>
      </c>
      <c r="J1319" t="s">
        <v>45</v>
      </c>
      <c r="K1319" t="s">
        <v>35</v>
      </c>
      <c r="L1319" t="s">
        <v>36</v>
      </c>
      <c r="M1319" t="s">
        <v>37</v>
      </c>
      <c r="N1319">
        <v>15</v>
      </c>
      <c r="O1319">
        <v>8</v>
      </c>
      <c r="P1319">
        <v>0</v>
      </c>
      <c r="Q1319">
        <v>9</v>
      </c>
      <c r="R1319">
        <v>491.47</v>
      </c>
      <c r="S1319" t="str">
        <f t="shared" si="100"/>
        <v>PY: Media Crit.</v>
      </c>
      <c r="T1319">
        <f t="shared" si="101"/>
        <v>0</v>
      </c>
      <c r="U1319">
        <f t="shared" si="102"/>
        <v>0</v>
      </c>
      <c r="V1319">
        <f t="shared" si="103"/>
        <v>1</v>
      </c>
      <c r="W1319">
        <f t="shared" si="104"/>
        <v>0</v>
      </c>
      <c r="X1319">
        <v>1</v>
      </c>
      <c r="Y1319" s="2">
        <v>45768</v>
      </c>
      <c r="Z1319" s="3" t="s">
        <v>38</v>
      </c>
      <c r="AA1319" t="s">
        <v>39</v>
      </c>
      <c r="AB1319" t="s">
        <v>40</v>
      </c>
      <c r="AC1319" t="s">
        <v>40</v>
      </c>
      <c r="AD1319" t="s">
        <v>184</v>
      </c>
    </row>
    <row r="1320" spans="2:30">
      <c r="B1320">
        <v>2</v>
      </c>
      <c r="C1320">
        <v>1020</v>
      </c>
      <c r="D1320" t="s">
        <v>181</v>
      </c>
      <c r="E1320">
        <v>10643073</v>
      </c>
      <c r="F1320" t="s">
        <v>1415</v>
      </c>
      <c r="G1320" t="s">
        <v>52</v>
      </c>
      <c r="H1320" t="s">
        <v>60</v>
      </c>
      <c r="I1320" t="s">
        <v>183</v>
      </c>
      <c r="J1320" t="s">
        <v>45</v>
      </c>
      <c r="K1320" t="s">
        <v>35</v>
      </c>
      <c r="L1320" t="s">
        <v>36</v>
      </c>
      <c r="M1320" t="s">
        <v>46</v>
      </c>
      <c r="N1320">
        <v>12</v>
      </c>
      <c r="O1320">
        <v>8</v>
      </c>
      <c r="P1320">
        <v>4</v>
      </c>
      <c r="Q1320">
        <v>8</v>
      </c>
      <c r="R1320" s="4">
        <v>1516.81</v>
      </c>
      <c r="S1320" t="str">
        <f t="shared" si="100"/>
        <v>PZ: Alta Crit.</v>
      </c>
      <c r="T1320">
        <f t="shared" si="101"/>
        <v>0</v>
      </c>
      <c r="U1320">
        <f t="shared" si="102"/>
        <v>0</v>
      </c>
      <c r="V1320">
        <f t="shared" si="103"/>
        <v>1</v>
      </c>
      <c r="W1320">
        <f t="shared" si="104"/>
        <v>0</v>
      </c>
      <c r="X1320">
        <v>1</v>
      </c>
      <c r="Y1320" s="2">
        <v>45768</v>
      </c>
      <c r="Z1320" s="3" t="s">
        <v>47</v>
      </c>
      <c r="AA1320" t="s">
        <v>39</v>
      </c>
      <c r="AB1320" t="s">
        <v>40</v>
      </c>
      <c r="AC1320" t="s">
        <v>40</v>
      </c>
      <c r="AD1320" t="s">
        <v>184</v>
      </c>
    </row>
    <row r="1321" spans="2:30">
      <c r="B1321">
        <v>2</v>
      </c>
      <c r="C1321">
        <v>1020</v>
      </c>
      <c r="D1321" t="s">
        <v>181</v>
      </c>
      <c r="E1321">
        <v>10644363</v>
      </c>
      <c r="F1321" t="s">
        <v>1416</v>
      </c>
      <c r="G1321" t="s">
        <v>52</v>
      </c>
      <c r="H1321" t="s">
        <v>32</v>
      </c>
      <c r="I1321" t="s">
        <v>183</v>
      </c>
      <c r="J1321" t="s">
        <v>45</v>
      </c>
      <c r="K1321" t="s">
        <v>35</v>
      </c>
      <c r="L1321" t="s">
        <v>36</v>
      </c>
      <c r="M1321" t="s">
        <v>46</v>
      </c>
      <c r="N1321">
        <v>3</v>
      </c>
      <c r="O1321">
        <v>2</v>
      </c>
      <c r="P1321">
        <v>1</v>
      </c>
      <c r="Q1321">
        <v>3</v>
      </c>
      <c r="R1321" s="4">
        <v>6554.49</v>
      </c>
      <c r="S1321" t="str">
        <f t="shared" si="100"/>
        <v>PZ: Alta Crit.</v>
      </c>
      <c r="T1321">
        <f t="shared" si="101"/>
        <v>0</v>
      </c>
      <c r="U1321">
        <f t="shared" si="102"/>
        <v>0</v>
      </c>
      <c r="V1321">
        <f t="shared" si="103"/>
        <v>1</v>
      </c>
      <c r="W1321">
        <f t="shared" si="104"/>
        <v>0</v>
      </c>
      <c r="X1321">
        <v>1</v>
      </c>
      <c r="Y1321" s="2">
        <v>45768</v>
      </c>
      <c r="Z1321" s="3" t="s">
        <v>47</v>
      </c>
      <c r="AA1321" t="s">
        <v>39</v>
      </c>
      <c r="AB1321" t="s">
        <v>40</v>
      </c>
      <c r="AC1321" t="s">
        <v>40</v>
      </c>
      <c r="AD1321" t="s">
        <v>184</v>
      </c>
    </row>
    <row r="1322" spans="2:30">
      <c r="B1322">
        <v>2</v>
      </c>
      <c r="C1322">
        <v>1020</v>
      </c>
      <c r="D1322" t="s">
        <v>181</v>
      </c>
      <c r="E1322">
        <v>10644364</v>
      </c>
      <c r="F1322" t="s">
        <v>1417</v>
      </c>
      <c r="G1322" t="s">
        <v>52</v>
      </c>
      <c r="H1322" t="s">
        <v>60</v>
      </c>
      <c r="I1322" t="s">
        <v>183</v>
      </c>
      <c r="J1322" t="s">
        <v>45</v>
      </c>
      <c r="K1322" t="s">
        <v>35</v>
      </c>
      <c r="L1322" t="s">
        <v>36</v>
      </c>
      <c r="M1322" t="s">
        <v>46</v>
      </c>
      <c r="N1322">
        <v>6</v>
      </c>
      <c r="O1322">
        <v>5</v>
      </c>
      <c r="P1322">
        <v>2</v>
      </c>
      <c r="Q1322">
        <v>8</v>
      </c>
      <c r="R1322" s="4">
        <v>7180.48</v>
      </c>
      <c r="S1322" t="str">
        <f t="shared" si="100"/>
        <v>PZ: Alta Crit.</v>
      </c>
      <c r="T1322">
        <f t="shared" si="101"/>
        <v>0</v>
      </c>
      <c r="U1322">
        <f t="shared" si="102"/>
        <v>0</v>
      </c>
      <c r="V1322">
        <f t="shared" si="103"/>
        <v>0</v>
      </c>
      <c r="W1322">
        <f t="shared" si="104"/>
        <v>1</v>
      </c>
      <c r="X1322">
        <v>1</v>
      </c>
      <c r="Y1322" s="2">
        <v>45768</v>
      </c>
      <c r="Z1322" s="3" t="s">
        <v>47</v>
      </c>
      <c r="AA1322" t="s">
        <v>39</v>
      </c>
      <c r="AB1322" t="s">
        <v>40</v>
      </c>
      <c r="AC1322" t="s">
        <v>40</v>
      </c>
      <c r="AD1322" t="s">
        <v>184</v>
      </c>
    </row>
    <row r="1323" spans="2:30">
      <c r="B1323">
        <v>2</v>
      </c>
      <c r="C1323">
        <v>1020</v>
      </c>
      <c r="D1323" t="s">
        <v>181</v>
      </c>
      <c r="E1323">
        <v>10647453</v>
      </c>
      <c r="F1323" t="s">
        <v>1418</v>
      </c>
      <c r="G1323" t="s">
        <v>52</v>
      </c>
      <c r="H1323" t="s">
        <v>60</v>
      </c>
      <c r="I1323" t="s">
        <v>183</v>
      </c>
      <c r="J1323" t="s">
        <v>45</v>
      </c>
      <c r="K1323" t="s">
        <v>35</v>
      </c>
      <c r="L1323" t="s">
        <v>36</v>
      </c>
      <c r="M1323" t="s">
        <v>117</v>
      </c>
      <c r="N1323">
        <v>10</v>
      </c>
      <c r="O1323">
        <v>6</v>
      </c>
      <c r="P1323">
        <v>2</v>
      </c>
      <c r="Q1323">
        <v>10</v>
      </c>
      <c r="R1323" s="4">
        <v>1435.6</v>
      </c>
      <c r="S1323" t="str">
        <f t="shared" si="100"/>
        <v>PZ: Alta Crit.</v>
      </c>
      <c r="T1323">
        <f t="shared" si="101"/>
        <v>0</v>
      </c>
      <c r="U1323">
        <f t="shared" si="102"/>
        <v>0</v>
      </c>
      <c r="V1323">
        <f t="shared" si="103"/>
        <v>1</v>
      </c>
      <c r="W1323">
        <f t="shared" si="104"/>
        <v>0</v>
      </c>
      <c r="X1323">
        <v>1</v>
      </c>
      <c r="Y1323" s="2">
        <v>45768</v>
      </c>
      <c r="Z1323" s="3" t="s">
        <v>118</v>
      </c>
      <c r="AA1323" t="s">
        <v>39</v>
      </c>
      <c r="AB1323" t="s">
        <v>40</v>
      </c>
      <c r="AC1323" t="s">
        <v>40</v>
      </c>
      <c r="AD1323" t="s">
        <v>184</v>
      </c>
    </row>
    <row r="1324" spans="2:30">
      <c r="B1324">
        <v>2</v>
      </c>
      <c r="C1324">
        <v>1020</v>
      </c>
      <c r="D1324" t="s">
        <v>181</v>
      </c>
      <c r="E1324">
        <v>10647454</v>
      </c>
      <c r="F1324" t="s">
        <v>1419</v>
      </c>
      <c r="G1324" t="s">
        <v>52</v>
      </c>
      <c r="H1324" t="s">
        <v>32</v>
      </c>
      <c r="I1324" t="s">
        <v>183</v>
      </c>
      <c r="J1324" t="s">
        <v>45</v>
      </c>
      <c r="K1324" t="s">
        <v>35</v>
      </c>
      <c r="L1324" t="s">
        <v>36</v>
      </c>
      <c r="M1324" t="s">
        <v>117</v>
      </c>
      <c r="N1324">
        <v>6</v>
      </c>
      <c r="O1324">
        <v>4</v>
      </c>
      <c r="P1324">
        <v>0</v>
      </c>
      <c r="Q1324">
        <v>6</v>
      </c>
      <c r="R1324">
        <v>804.22</v>
      </c>
      <c r="S1324" t="str">
        <f t="shared" si="100"/>
        <v>PZ: Alta Crit.</v>
      </c>
      <c r="T1324">
        <f t="shared" si="101"/>
        <v>0</v>
      </c>
      <c r="U1324">
        <f t="shared" si="102"/>
        <v>0</v>
      </c>
      <c r="V1324">
        <f t="shared" si="103"/>
        <v>1</v>
      </c>
      <c r="W1324">
        <f t="shared" si="104"/>
        <v>0</v>
      </c>
      <c r="X1324">
        <v>1</v>
      </c>
      <c r="Y1324" s="2">
        <v>45768</v>
      </c>
      <c r="Z1324" s="3" t="s">
        <v>118</v>
      </c>
      <c r="AA1324" t="s">
        <v>39</v>
      </c>
      <c r="AB1324" t="s">
        <v>40</v>
      </c>
      <c r="AC1324" t="s">
        <v>40</v>
      </c>
      <c r="AD1324" t="s">
        <v>184</v>
      </c>
    </row>
    <row r="1325" spans="2:30">
      <c r="B1325">
        <v>2</v>
      </c>
      <c r="C1325">
        <v>1020</v>
      </c>
      <c r="D1325" t="s">
        <v>181</v>
      </c>
      <c r="E1325">
        <v>10715882</v>
      </c>
      <c r="F1325" t="s">
        <v>1420</v>
      </c>
      <c r="G1325" t="s">
        <v>43</v>
      </c>
      <c r="H1325" t="s">
        <v>44</v>
      </c>
      <c r="I1325" t="s">
        <v>183</v>
      </c>
      <c r="J1325" t="s">
        <v>45</v>
      </c>
      <c r="K1325" t="s">
        <v>35</v>
      </c>
      <c r="L1325" t="s">
        <v>36</v>
      </c>
      <c r="M1325" t="s">
        <v>46</v>
      </c>
      <c r="N1325">
        <v>3</v>
      </c>
      <c r="O1325">
        <v>2</v>
      </c>
      <c r="P1325">
        <v>1</v>
      </c>
      <c r="Q1325">
        <v>2</v>
      </c>
      <c r="R1325" s="4">
        <v>6955.87</v>
      </c>
      <c r="S1325" t="str">
        <f t="shared" si="100"/>
        <v>PY: Media Crit.</v>
      </c>
      <c r="T1325">
        <f t="shared" si="101"/>
        <v>0</v>
      </c>
      <c r="U1325">
        <f t="shared" si="102"/>
        <v>0</v>
      </c>
      <c r="V1325">
        <f t="shared" si="103"/>
        <v>1</v>
      </c>
      <c r="W1325">
        <f t="shared" si="104"/>
        <v>0</v>
      </c>
      <c r="X1325">
        <v>1</v>
      </c>
      <c r="Y1325" s="2">
        <v>45768</v>
      </c>
      <c r="Z1325" s="3" t="s">
        <v>47</v>
      </c>
      <c r="AA1325" t="s">
        <v>39</v>
      </c>
      <c r="AB1325" t="s">
        <v>40</v>
      </c>
      <c r="AC1325" t="s">
        <v>40</v>
      </c>
      <c r="AD1325" t="s">
        <v>184</v>
      </c>
    </row>
    <row r="1326" spans="2:30">
      <c r="B1326">
        <v>2</v>
      </c>
      <c r="C1326">
        <v>1020</v>
      </c>
      <c r="D1326" t="s">
        <v>388</v>
      </c>
      <c r="E1326">
        <v>10725248</v>
      </c>
      <c r="F1326" t="s">
        <v>1421</v>
      </c>
      <c r="G1326" t="s">
        <v>31</v>
      </c>
      <c r="H1326" t="s">
        <v>44</v>
      </c>
      <c r="I1326" t="s">
        <v>390</v>
      </c>
      <c r="J1326" t="s">
        <v>45</v>
      </c>
      <c r="K1326" t="s">
        <v>35</v>
      </c>
      <c r="L1326" t="s">
        <v>175</v>
      </c>
      <c r="M1326" t="s">
        <v>69</v>
      </c>
      <c r="N1326">
        <v>0</v>
      </c>
      <c r="O1326">
        <v>0</v>
      </c>
      <c r="P1326">
        <v>10</v>
      </c>
      <c r="Q1326">
        <v>66</v>
      </c>
      <c r="R1326" s="4">
        <v>9081.15</v>
      </c>
      <c r="S1326" t="str">
        <f t="shared" si="100"/>
        <v>PX: Baja Crit.</v>
      </c>
      <c r="T1326">
        <f t="shared" si="101"/>
        <v>0</v>
      </c>
      <c r="U1326">
        <f t="shared" si="102"/>
        <v>0</v>
      </c>
      <c r="V1326">
        <f t="shared" si="103"/>
        <v>0</v>
      </c>
      <c r="W1326">
        <f t="shared" si="104"/>
        <v>1</v>
      </c>
      <c r="X1326">
        <v>1</v>
      </c>
      <c r="Y1326" s="2">
        <v>45768</v>
      </c>
      <c r="Z1326" s="3" t="s">
        <v>70</v>
      </c>
      <c r="AA1326" t="s">
        <v>39</v>
      </c>
      <c r="AB1326" t="s">
        <v>40</v>
      </c>
      <c r="AC1326" t="s">
        <v>40</v>
      </c>
      <c r="AD1326" t="s">
        <v>391</v>
      </c>
    </row>
    <row r="1327" spans="2:30">
      <c r="B1327">
        <v>2</v>
      </c>
      <c r="C1327">
        <v>1020</v>
      </c>
      <c r="D1327" t="s">
        <v>388</v>
      </c>
      <c r="E1327">
        <v>10727441</v>
      </c>
      <c r="F1327" t="s">
        <v>1422</v>
      </c>
      <c r="G1327" t="s">
        <v>43</v>
      </c>
      <c r="H1327" t="s">
        <v>44</v>
      </c>
      <c r="I1327" t="s">
        <v>390</v>
      </c>
      <c r="J1327" t="s">
        <v>45</v>
      </c>
      <c r="K1327" t="s">
        <v>35</v>
      </c>
      <c r="L1327" t="s">
        <v>175</v>
      </c>
      <c r="M1327" t="s">
        <v>69</v>
      </c>
      <c r="N1327">
        <v>0</v>
      </c>
      <c r="O1327">
        <v>0</v>
      </c>
      <c r="P1327">
        <v>2</v>
      </c>
      <c r="Q1327">
        <v>0</v>
      </c>
      <c r="R1327">
        <v>0</v>
      </c>
      <c r="S1327" t="str">
        <f t="shared" si="100"/>
        <v>PY: Media Crit.</v>
      </c>
      <c r="T1327">
        <f t="shared" si="101"/>
        <v>1</v>
      </c>
      <c r="U1327">
        <f t="shared" si="102"/>
        <v>0</v>
      </c>
      <c r="V1327">
        <f t="shared" si="103"/>
        <v>0</v>
      </c>
      <c r="W1327">
        <f t="shared" si="104"/>
        <v>0</v>
      </c>
      <c r="X1327">
        <v>1</v>
      </c>
      <c r="Y1327" s="2">
        <v>45768</v>
      </c>
      <c r="Z1327" s="3" t="s">
        <v>70</v>
      </c>
      <c r="AA1327" t="s">
        <v>39</v>
      </c>
      <c r="AB1327" t="s">
        <v>49</v>
      </c>
      <c r="AC1327" s="5" t="s">
        <v>50</v>
      </c>
      <c r="AD1327" t="s">
        <v>391</v>
      </c>
    </row>
    <row r="1328" spans="2:30">
      <c r="B1328">
        <v>2</v>
      </c>
      <c r="C1328">
        <v>1020</v>
      </c>
      <c r="D1328" t="s">
        <v>181</v>
      </c>
      <c r="E1328">
        <v>14010126</v>
      </c>
      <c r="F1328" t="s">
        <v>1423</v>
      </c>
      <c r="G1328" t="s">
        <v>31</v>
      </c>
      <c r="H1328" t="s">
        <v>44</v>
      </c>
      <c r="I1328" t="s">
        <v>183</v>
      </c>
      <c r="J1328" t="s">
        <v>34</v>
      </c>
      <c r="K1328" t="s">
        <v>80</v>
      </c>
      <c r="L1328" t="s">
        <v>36</v>
      </c>
      <c r="M1328" t="s">
        <v>46</v>
      </c>
      <c r="N1328">
        <v>55</v>
      </c>
      <c r="O1328">
        <v>55</v>
      </c>
      <c r="P1328">
        <v>55</v>
      </c>
      <c r="Q1328">
        <v>55</v>
      </c>
      <c r="R1328" s="4">
        <v>3246.35</v>
      </c>
      <c r="S1328" t="str">
        <f t="shared" si="100"/>
        <v>PX: Baja Crit.</v>
      </c>
      <c r="T1328">
        <f t="shared" si="101"/>
        <v>0</v>
      </c>
      <c r="U1328">
        <f t="shared" si="102"/>
        <v>1</v>
      </c>
      <c r="V1328">
        <f t="shared" si="103"/>
        <v>0</v>
      </c>
      <c r="W1328">
        <f t="shared" si="104"/>
        <v>0</v>
      </c>
      <c r="X1328">
        <v>1</v>
      </c>
      <c r="Y1328" s="2">
        <v>45768</v>
      </c>
      <c r="Z1328" s="3" t="s">
        <v>47</v>
      </c>
      <c r="AA1328" t="s">
        <v>39</v>
      </c>
      <c r="AB1328" t="s">
        <v>40</v>
      </c>
      <c r="AC1328" t="s">
        <v>40</v>
      </c>
      <c r="AD1328" t="s">
        <v>184</v>
      </c>
    </row>
    <row r="1329" spans="2:30">
      <c r="B1329">
        <v>2</v>
      </c>
      <c r="C1329">
        <v>1020</v>
      </c>
      <c r="D1329" t="s">
        <v>181</v>
      </c>
      <c r="E1329">
        <v>14010241</v>
      </c>
      <c r="F1329" t="s">
        <v>1424</v>
      </c>
      <c r="G1329" t="s">
        <v>43</v>
      </c>
      <c r="H1329" t="s">
        <v>32</v>
      </c>
      <c r="I1329" t="s">
        <v>183</v>
      </c>
      <c r="J1329" t="s">
        <v>45</v>
      </c>
      <c r="K1329" t="s">
        <v>35</v>
      </c>
      <c r="L1329" t="s">
        <v>36</v>
      </c>
      <c r="M1329" t="s">
        <v>46</v>
      </c>
      <c r="N1329">
        <v>6</v>
      </c>
      <c r="O1329">
        <v>4</v>
      </c>
      <c r="P1329">
        <v>1</v>
      </c>
      <c r="Q1329">
        <v>6</v>
      </c>
      <c r="R1329" s="4">
        <v>9430.4</v>
      </c>
      <c r="S1329" t="str">
        <f t="shared" si="100"/>
        <v>PY: Media Crit.</v>
      </c>
      <c r="T1329">
        <f t="shared" si="101"/>
        <v>0</v>
      </c>
      <c r="U1329">
        <f t="shared" si="102"/>
        <v>0</v>
      </c>
      <c r="V1329">
        <f t="shared" si="103"/>
        <v>1</v>
      </c>
      <c r="W1329">
        <f t="shared" si="104"/>
        <v>0</v>
      </c>
      <c r="X1329">
        <v>1</v>
      </c>
      <c r="Y1329" s="2">
        <v>45768</v>
      </c>
      <c r="Z1329" s="3" t="s">
        <v>47</v>
      </c>
      <c r="AA1329" t="s">
        <v>39</v>
      </c>
      <c r="AB1329" t="s">
        <v>40</v>
      </c>
      <c r="AC1329" t="s">
        <v>40</v>
      </c>
      <c r="AD1329" t="s">
        <v>184</v>
      </c>
    </row>
    <row r="1330" spans="2:30">
      <c r="B1330">
        <v>2</v>
      </c>
      <c r="C1330">
        <v>1020</v>
      </c>
      <c r="D1330" t="s">
        <v>181</v>
      </c>
      <c r="E1330">
        <v>14011983</v>
      </c>
      <c r="F1330" t="s">
        <v>1425</v>
      </c>
      <c r="G1330" t="s">
        <v>31</v>
      </c>
      <c r="H1330" t="s">
        <v>44</v>
      </c>
      <c r="I1330" t="s">
        <v>183</v>
      </c>
      <c r="J1330" t="s">
        <v>45</v>
      </c>
      <c r="K1330" t="s">
        <v>35</v>
      </c>
      <c r="L1330" t="s">
        <v>36</v>
      </c>
      <c r="M1330" t="s">
        <v>37</v>
      </c>
      <c r="N1330">
        <v>20</v>
      </c>
      <c r="O1330">
        <v>10</v>
      </c>
      <c r="P1330">
        <v>0</v>
      </c>
      <c r="Q1330">
        <v>2</v>
      </c>
      <c r="R1330" s="4">
        <v>1222.03</v>
      </c>
      <c r="S1330" t="str">
        <f t="shared" si="100"/>
        <v>PX: Baja Crit.</v>
      </c>
      <c r="T1330">
        <f t="shared" si="101"/>
        <v>0</v>
      </c>
      <c r="U1330">
        <f t="shared" si="102"/>
        <v>0</v>
      </c>
      <c r="V1330">
        <f t="shared" si="103"/>
        <v>1</v>
      </c>
      <c r="W1330">
        <f t="shared" si="104"/>
        <v>0</v>
      </c>
      <c r="X1330">
        <v>1</v>
      </c>
      <c r="Y1330" s="2">
        <v>45768</v>
      </c>
      <c r="Z1330" s="3" t="s">
        <v>38</v>
      </c>
      <c r="AA1330" t="s">
        <v>39</v>
      </c>
      <c r="AB1330" t="s">
        <v>49</v>
      </c>
      <c r="AC1330" s="5" t="s">
        <v>50</v>
      </c>
      <c r="AD1330" t="s">
        <v>184</v>
      </c>
    </row>
    <row r="1331" spans="2:30">
      <c r="B1331">
        <v>2</v>
      </c>
      <c r="C1331">
        <v>1020</v>
      </c>
      <c r="D1331" t="s">
        <v>181</v>
      </c>
      <c r="E1331">
        <v>14014428</v>
      </c>
      <c r="F1331" t="s">
        <v>1426</v>
      </c>
      <c r="G1331" t="s">
        <v>43</v>
      </c>
      <c r="H1331" t="s">
        <v>32</v>
      </c>
      <c r="I1331" t="s">
        <v>183</v>
      </c>
      <c r="J1331" t="s">
        <v>45</v>
      </c>
      <c r="K1331" t="s">
        <v>35</v>
      </c>
      <c r="L1331" t="s">
        <v>36</v>
      </c>
      <c r="M1331" t="s">
        <v>117</v>
      </c>
      <c r="N1331">
        <v>5</v>
      </c>
      <c r="O1331">
        <v>3</v>
      </c>
      <c r="P1331">
        <v>1</v>
      </c>
      <c r="Q1331">
        <v>5</v>
      </c>
      <c r="R1331" s="4">
        <v>3636.48</v>
      </c>
      <c r="S1331" t="str">
        <f t="shared" si="100"/>
        <v>PY: Media Crit.</v>
      </c>
      <c r="T1331">
        <f t="shared" si="101"/>
        <v>0</v>
      </c>
      <c r="U1331">
        <f t="shared" si="102"/>
        <v>0</v>
      </c>
      <c r="V1331">
        <f t="shared" si="103"/>
        <v>1</v>
      </c>
      <c r="W1331">
        <f t="shared" si="104"/>
        <v>0</v>
      </c>
      <c r="X1331">
        <v>1</v>
      </c>
      <c r="Y1331" s="2">
        <v>45768</v>
      </c>
      <c r="Z1331" s="3" t="s">
        <v>118</v>
      </c>
      <c r="AA1331" t="s">
        <v>39</v>
      </c>
      <c r="AB1331" t="s">
        <v>40</v>
      </c>
      <c r="AC1331" t="s">
        <v>40</v>
      </c>
      <c r="AD1331" t="s">
        <v>184</v>
      </c>
    </row>
    <row r="1332" spans="2:30">
      <c r="B1332">
        <v>2</v>
      </c>
      <c r="C1332">
        <v>1020</v>
      </c>
      <c r="D1332" t="s">
        <v>384</v>
      </c>
      <c r="E1332">
        <v>14014429</v>
      </c>
      <c r="F1332" t="s">
        <v>1427</v>
      </c>
      <c r="G1332" t="s">
        <v>43</v>
      </c>
      <c r="H1332" t="s">
        <v>32</v>
      </c>
      <c r="I1332" t="s">
        <v>386</v>
      </c>
      <c r="J1332" t="s">
        <v>582</v>
      </c>
      <c r="K1332" t="s">
        <v>35</v>
      </c>
      <c r="L1332" t="s">
        <v>175</v>
      </c>
      <c r="M1332" t="s">
        <v>117</v>
      </c>
      <c r="N1332">
        <v>0</v>
      </c>
      <c r="O1332">
        <v>0</v>
      </c>
      <c r="P1332">
        <v>0</v>
      </c>
      <c r="Q1332">
        <v>7</v>
      </c>
      <c r="R1332" s="4">
        <v>2539.52</v>
      </c>
      <c r="S1332" t="str">
        <f t="shared" si="100"/>
        <v>PY: Media Crit.</v>
      </c>
      <c r="T1332">
        <f t="shared" si="101"/>
        <v>0</v>
      </c>
      <c r="U1332">
        <f t="shared" si="102"/>
        <v>0</v>
      </c>
      <c r="V1332">
        <f t="shared" si="103"/>
        <v>0</v>
      </c>
      <c r="W1332">
        <f t="shared" si="104"/>
        <v>1</v>
      </c>
      <c r="X1332">
        <v>1</v>
      </c>
      <c r="Y1332" s="2">
        <v>45768</v>
      </c>
      <c r="Z1332" s="3" t="s">
        <v>118</v>
      </c>
      <c r="AA1332" t="s">
        <v>39</v>
      </c>
      <c r="AB1332" t="s">
        <v>40</v>
      </c>
      <c r="AC1332" t="s">
        <v>40</v>
      </c>
      <c r="AD1332" t="s">
        <v>387</v>
      </c>
    </row>
    <row r="1333" spans="2:30">
      <c r="B1333">
        <v>2</v>
      </c>
      <c r="C1333">
        <v>1020</v>
      </c>
      <c r="D1333" t="s">
        <v>181</v>
      </c>
      <c r="E1333">
        <v>14014582</v>
      </c>
      <c r="F1333" t="s">
        <v>1428</v>
      </c>
      <c r="G1333" t="s">
        <v>43</v>
      </c>
      <c r="H1333" t="s">
        <v>32</v>
      </c>
      <c r="I1333" t="s">
        <v>183</v>
      </c>
      <c r="J1333" t="s">
        <v>45</v>
      </c>
      <c r="K1333" t="s">
        <v>62</v>
      </c>
      <c r="L1333" t="s">
        <v>36</v>
      </c>
      <c r="M1333" t="s">
        <v>46</v>
      </c>
      <c r="N1333">
        <v>20</v>
      </c>
      <c r="O1333">
        <v>11</v>
      </c>
      <c r="P1333">
        <v>5</v>
      </c>
      <c r="Q1333">
        <v>20</v>
      </c>
      <c r="R1333">
        <v>200</v>
      </c>
      <c r="S1333" t="str">
        <f t="shared" si="100"/>
        <v>PY: Media Crit.</v>
      </c>
      <c r="T1333">
        <f t="shared" si="101"/>
        <v>0</v>
      </c>
      <c r="U1333">
        <f t="shared" si="102"/>
        <v>0</v>
      </c>
      <c r="V1333">
        <f t="shared" si="103"/>
        <v>1</v>
      </c>
      <c r="W1333">
        <f t="shared" si="104"/>
        <v>0</v>
      </c>
      <c r="X1333">
        <v>1</v>
      </c>
      <c r="Y1333" s="2">
        <v>45768</v>
      </c>
      <c r="Z1333" s="3" t="s">
        <v>47</v>
      </c>
      <c r="AA1333" t="s">
        <v>39</v>
      </c>
      <c r="AB1333" t="s">
        <v>40</v>
      </c>
      <c r="AC1333" t="s">
        <v>40</v>
      </c>
      <c r="AD1333" t="s">
        <v>184</v>
      </c>
    </row>
    <row r="1334" spans="2:30">
      <c r="B1334">
        <v>2</v>
      </c>
      <c r="C1334">
        <v>1020</v>
      </c>
      <c r="D1334" t="s">
        <v>181</v>
      </c>
      <c r="E1334">
        <v>14021271</v>
      </c>
      <c r="F1334" t="s">
        <v>1429</v>
      </c>
      <c r="G1334" t="s">
        <v>52</v>
      </c>
      <c r="H1334" t="s">
        <v>60</v>
      </c>
      <c r="I1334" t="s">
        <v>183</v>
      </c>
      <c r="J1334" t="s">
        <v>45</v>
      </c>
      <c r="K1334" t="s">
        <v>35</v>
      </c>
      <c r="L1334" t="s">
        <v>36</v>
      </c>
      <c r="M1334" t="s">
        <v>46</v>
      </c>
      <c r="N1334">
        <v>6</v>
      </c>
      <c r="O1334">
        <v>5</v>
      </c>
      <c r="P1334">
        <v>1</v>
      </c>
      <c r="Q1334">
        <v>6</v>
      </c>
      <c r="R1334" s="4">
        <v>3229.69</v>
      </c>
      <c r="S1334" t="str">
        <f t="shared" si="100"/>
        <v>PZ: Alta Crit.</v>
      </c>
      <c r="T1334">
        <f t="shared" si="101"/>
        <v>0</v>
      </c>
      <c r="U1334">
        <f t="shared" si="102"/>
        <v>0</v>
      </c>
      <c r="V1334">
        <f t="shared" si="103"/>
        <v>1</v>
      </c>
      <c r="W1334">
        <f t="shared" si="104"/>
        <v>0</v>
      </c>
      <c r="X1334">
        <v>1</v>
      </c>
      <c r="Y1334" s="2">
        <v>45768</v>
      </c>
      <c r="Z1334" s="3" t="s">
        <v>47</v>
      </c>
      <c r="AA1334" t="s">
        <v>39</v>
      </c>
      <c r="AB1334" t="s">
        <v>40</v>
      </c>
      <c r="AC1334" t="s">
        <v>40</v>
      </c>
      <c r="AD1334" t="s">
        <v>184</v>
      </c>
    </row>
    <row r="1335" spans="2:30">
      <c r="B1335">
        <v>2</v>
      </c>
      <c r="C1335">
        <v>1020</v>
      </c>
      <c r="D1335" t="s">
        <v>388</v>
      </c>
      <c r="E1335">
        <v>14032705</v>
      </c>
      <c r="F1335" t="s">
        <v>1430</v>
      </c>
      <c r="G1335" t="s">
        <v>31</v>
      </c>
      <c r="H1335" t="s">
        <v>44</v>
      </c>
      <c r="I1335" t="s">
        <v>390</v>
      </c>
      <c r="J1335" t="s">
        <v>45</v>
      </c>
      <c r="K1335" t="s">
        <v>35</v>
      </c>
      <c r="L1335" t="s">
        <v>175</v>
      </c>
      <c r="M1335" t="s">
        <v>117</v>
      </c>
      <c r="N1335">
        <v>0</v>
      </c>
      <c r="O1335">
        <v>0</v>
      </c>
      <c r="P1335">
        <v>4</v>
      </c>
      <c r="Q1335">
        <v>3</v>
      </c>
      <c r="R1335">
        <v>270</v>
      </c>
      <c r="S1335" t="str">
        <f t="shared" si="100"/>
        <v>PX: Baja Crit.</v>
      </c>
      <c r="T1335">
        <f t="shared" si="101"/>
        <v>0</v>
      </c>
      <c r="U1335">
        <f t="shared" si="102"/>
        <v>1</v>
      </c>
      <c r="V1335">
        <f t="shared" si="103"/>
        <v>0</v>
      </c>
      <c r="W1335">
        <f t="shared" si="104"/>
        <v>1</v>
      </c>
      <c r="X1335">
        <v>1</v>
      </c>
      <c r="Y1335" s="2">
        <v>45768</v>
      </c>
      <c r="Z1335" s="3" t="s">
        <v>118</v>
      </c>
      <c r="AA1335" t="s">
        <v>39</v>
      </c>
      <c r="AB1335" t="s">
        <v>40</v>
      </c>
      <c r="AC1335" t="s">
        <v>40</v>
      </c>
      <c r="AD1335" t="s">
        <v>391</v>
      </c>
    </row>
    <row r="1336" spans="2:30">
      <c r="B1336">
        <v>2</v>
      </c>
      <c r="C1336">
        <v>1020</v>
      </c>
      <c r="D1336" t="s">
        <v>181</v>
      </c>
      <c r="E1336">
        <v>14041616</v>
      </c>
      <c r="F1336" t="s">
        <v>1431</v>
      </c>
      <c r="G1336" t="s">
        <v>52</v>
      </c>
      <c r="H1336" t="s">
        <v>32</v>
      </c>
      <c r="I1336" t="s">
        <v>183</v>
      </c>
      <c r="J1336" t="s">
        <v>45</v>
      </c>
      <c r="K1336" t="s">
        <v>35</v>
      </c>
      <c r="L1336" t="s">
        <v>36</v>
      </c>
      <c r="M1336" t="s">
        <v>117</v>
      </c>
      <c r="N1336">
        <v>15</v>
      </c>
      <c r="O1336">
        <v>10</v>
      </c>
      <c r="P1336">
        <v>2</v>
      </c>
      <c r="Q1336">
        <v>15</v>
      </c>
      <c r="R1336" s="4">
        <v>2193.8200000000002</v>
      </c>
      <c r="S1336" t="str">
        <f t="shared" si="100"/>
        <v>PZ: Alta Crit.</v>
      </c>
      <c r="T1336">
        <f t="shared" si="101"/>
        <v>0</v>
      </c>
      <c r="U1336">
        <f t="shared" si="102"/>
        <v>0</v>
      </c>
      <c r="V1336">
        <f t="shared" si="103"/>
        <v>1</v>
      </c>
      <c r="W1336">
        <f t="shared" si="104"/>
        <v>0</v>
      </c>
      <c r="X1336">
        <v>1</v>
      </c>
      <c r="Y1336" s="2">
        <v>45768</v>
      </c>
      <c r="Z1336" s="3" t="s">
        <v>118</v>
      </c>
      <c r="AA1336" t="s">
        <v>39</v>
      </c>
      <c r="AB1336" t="s">
        <v>40</v>
      </c>
      <c r="AC1336" t="s">
        <v>40</v>
      </c>
      <c r="AD1336" t="s">
        <v>184</v>
      </c>
    </row>
    <row r="1337" spans="2:30">
      <c r="B1337">
        <v>2</v>
      </c>
      <c r="C1337">
        <v>1020</v>
      </c>
      <c r="D1337" t="s">
        <v>181</v>
      </c>
      <c r="E1337">
        <v>14043600</v>
      </c>
      <c r="F1337" t="s">
        <v>1432</v>
      </c>
      <c r="G1337" t="s">
        <v>52</v>
      </c>
      <c r="H1337" t="s">
        <v>44</v>
      </c>
      <c r="I1337" t="s">
        <v>183</v>
      </c>
      <c r="J1337" t="s">
        <v>45</v>
      </c>
      <c r="K1337" t="s">
        <v>35</v>
      </c>
      <c r="L1337" t="s">
        <v>36</v>
      </c>
      <c r="M1337" t="s">
        <v>69</v>
      </c>
      <c r="N1337">
        <v>2</v>
      </c>
      <c r="O1337">
        <v>2</v>
      </c>
      <c r="P1337">
        <v>1</v>
      </c>
      <c r="Q1337">
        <v>1</v>
      </c>
      <c r="R1337" s="4">
        <v>16119.63</v>
      </c>
      <c r="S1337" t="str">
        <f t="shared" si="100"/>
        <v>PZ: Alta Crit.</v>
      </c>
      <c r="T1337">
        <f t="shared" si="101"/>
        <v>0</v>
      </c>
      <c r="U1337">
        <f t="shared" si="102"/>
        <v>1</v>
      </c>
      <c r="V1337">
        <f t="shared" si="103"/>
        <v>0</v>
      </c>
      <c r="W1337">
        <f t="shared" si="104"/>
        <v>0</v>
      </c>
      <c r="X1337">
        <v>1</v>
      </c>
      <c r="Y1337" s="2">
        <v>45768</v>
      </c>
      <c r="Z1337" s="3" t="s">
        <v>70</v>
      </c>
      <c r="AA1337" t="s">
        <v>39</v>
      </c>
      <c r="AB1337" t="s">
        <v>49</v>
      </c>
      <c r="AC1337" s="5" t="s">
        <v>50</v>
      </c>
      <c r="AD1337" t="s">
        <v>184</v>
      </c>
    </row>
    <row r="1338" spans="2:30">
      <c r="B1338">
        <v>2</v>
      </c>
      <c r="C1338">
        <v>1020</v>
      </c>
      <c r="D1338" t="s">
        <v>181</v>
      </c>
      <c r="E1338">
        <v>14045129</v>
      </c>
      <c r="F1338" t="s">
        <v>1433</v>
      </c>
      <c r="G1338" t="s">
        <v>31</v>
      </c>
      <c r="H1338" t="s">
        <v>44</v>
      </c>
      <c r="I1338" t="s">
        <v>183</v>
      </c>
      <c r="J1338" t="s">
        <v>45</v>
      </c>
      <c r="K1338" t="s">
        <v>35</v>
      </c>
      <c r="L1338" t="s">
        <v>36</v>
      </c>
      <c r="M1338" t="s">
        <v>88</v>
      </c>
      <c r="N1338">
        <v>8</v>
      </c>
      <c r="O1338">
        <v>8</v>
      </c>
      <c r="P1338">
        <v>0</v>
      </c>
      <c r="Q1338">
        <v>8</v>
      </c>
      <c r="R1338">
        <v>32.229999999999997</v>
      </c>
      <c r="S1338" t="str">
        <f t="shared" si="100"/>
        <v>PX: Baja Crit.</v>
      </c>
      <c r="T1338">
        <f t="shared" si="101"/>
        <v>0</v>
      </c>
      <c r="U1338">
        <f t="shared" si="102"/>
        <v>0</v>
      </c>
      <c r="V1338">
        <f t="shared" si="103"/>
        <v>1</v>
      </c>
      <c r="W1338">
        <f t="shared" si="104"/>
        <v>0</v>
      </c>
      <c r="X1338">
        <v>1</v>
      </c>
      <c r="Y1338" s="2">
        <v>45768</v>
      </c>
      <c r="Z1338" s="3" t="s">
        <v>89</v>
      </c>
      <c r="AA1338" t="s">
        <v>39</v>
      </c>
      <c r="AB1338" t="s">
        <v>40</v>
      </c>
      <c r="AC1338" t="s">
        <v>40</v>
      </c>
      <c r="AD1338" t="s">
        <v>184</v>
      </c>
    </row>
    <row r="1339" spans="2:30">
      <c r="B1339">
        <v>2</v>
      </c>
      <c r="C1339">
        <v>1020</v>
      </c>
      <c r="D1339" t="s">
        <v>181</v>
      </c>
      <c r="E1339">
        <v>14046358</v>
      </c>
      <c r="F1339" t="s">
        <v>1434</v>
      </c>
      <c r="G1339" t="s">
        <v>43</v>
      </c>
      <c r="H1339" t="s">
        <v>60</v>
      </c>
      <c r="I1339" t="s">
        <v>183</v>
      </c>
      <c r="J1339" t="s">
        <v>45</v>
      </c>
      <c r="K1339" t="s">
        <v>35</v>
      </c>
      <c r="L1339" t="s">
        <v>36</v>
      </c>
      <c r="M1339" t="s">
        <v>117</v>
      </c>
      <c r="N1339">
        <v>2</v>
      </c>
      <c r="O1339">
        <v>1</v>
      </c>
      <c r="P1339">
        <v>0</v>
      </c>
      <c r="Q1339">
        <v>2</v>
      </c>
      <c r="R1339">
        <v>261.72000000000003</v>
      </c>
      <c r="S1339" t="str">
        <f t="shared" si="100"/>
        <v>PY: Media Crit.</v>
      </c>
      <c r="T1339">
        <f t="shared" si="101"/>
        <v>0</v>
      </c>
      <c r="U1339">
        <f t="shared" si="102"/>
        <v>0</v>
      </c>
      <c r="V1339">
        <f t="shared" si="103"/>
        <v>1</v>
      </c>
      <c r="W1339">
        <f t="shared" si="104"/>
        <v>0</v>
      </c>
      <c r="X1339">
        <v>1</v>
      </c>
      <c r="Y1339" s="2">
        <v>45768</v>
      </c>
      <c r="Z1339" s="3" t="s">
        <v>118</v>
      </c>
      <c r="AA1339" t="s">
        <v>39</v>
      </c>
      <c r="AB1339" t="s">
        <v>40</v>
      </c>
      <c r="AC1339" t="s">
        <v>40</v>
      </c>
      <c r="AD1339" t="s">
        <v>184</v>
      </c>
    </row>
    <row r="1340" spans="2:30">
      <c r="B1340">
        <v>2</v>
      </c>
      <c r="C1340">
        <v>1020</v>
      </c>
      <c r="D1340" t="s">
        <v>388</v>
      </c>
      <c r="E1340">
        <v>14053129</v>
      </c>
      <c r="F1340" t="s">
        <v>1435</v>
      </c>
      <c r="G1340" t="s">
        <v>43</v>
      </c>
      <c r="H1340" t="s">
        <v>32</v>
      </c>
      <c r="I1340" t="s">
        <v>390</v>
      </c>
      <c r="J1340" t="s">
        <v>45</v>
      </c>
      <c r="K1340" t="s">
        <v>35</v>
      </c>
      <c r="L1340" t="s">
        <v>175</v>
      </c>
      <c r="M1340" t="s">
        <v>46</v>
      </c>
      <c r="N1340">
        <v>0</v>
      </c>
      <c r="O1340">
        <v>0</v>
      </c>
      <c r="P1340">
        <v>2</v>
      </c>
      <c r="Q1340">
        <v>1</v>
      </c>
      <c r="R1340" s="4">
        <v>4443.07</v>
      </c>
      <c r="S1340" t="str">
        <f t="shared" si="100"/>
        <v>PY: Media Crit.</v>
      </c>
      <c r="T1340">
        <f t="shared" si="101"/>
        <v>0</v>
      </c>
      <c r="U1340">
        <f t="shared" si="102"/>
        <v>1</v>
      </c>
      <c r="V1340">
        <f t="shared" si="103"/>
        <v>0</v>
      </c>
      <c r="W1340">
        <f t="shared" si="104"/>
        <v>1</v>
      </c>
      <c r="X1340">
        <v>1</v>
      </c>
      <c r="Y1340" s="2">
        <v>45768</v>
      </c>
      <c r="Z1340" s="3" t="s">
        <v>47</v>
      </c>
      <c r="AA1340" t="s">
        <v>39</v>
      </c>
      <c r="AB1340" t="s">
        <v>49</v>
      </c>
      <c r="AC1340" s="5" t="s">
        <v>50</v>
      </c>
      <c r="AD1340" t="s">
        <v>391</v>
      </c>
    </row>
    <row r="1341" spans="2:30">
      <c r="B1341">
        <v>2</v>
      </c>
      <c r="C1341">
        <v>1020</v>
      </c>
      <c r="D1341" t="s">
        <v>181</v>
      </c>
      <c r="E1341">
        <v>14053217</v>
      </c>
      <c r="F1341" t="s">
        <v>1436</v>
      </c>
      <c r="G1341" t="s">
        <v>43</v>
      </c>
      <c r="H1341" t="s">
        <v>32</v>
      </c>
      <c r="I1341" t="s">
        <v>183</v>
      </c>
      <c r="J1341" t="s">
        <v>45</v>
      </c>
      <c r="K1341" t="s">
        <v>35</v>
      </c>
      <c r="L1341" t="s">
        <v>36</v>
      </c>
      <c r="M1341" t="s">
        <v>88</v>
      </c>
      <c r="N1341">
        <v>5</v>
      </c>
      <c r="O1341">
        <v>3</v>
      </c>
      <c r="P1341">
        <v>2</v>
      </c>
      <c r="Q1341">
        <v>0</v>
      </c>
      <c r="R1341">
        <v>0</v>
      </c>
      <c r="S1341" t="str">
        <f t="shared" si="100"/>
        <v>PY: Media Crit.</v>
      </c>
      <c r="T1341">
        <f t="shared" si="101"/>
        <v>1</v>
      </c>
      <c r="U1341">
        <f t="shared" si="102"/>
        <v>0</v>
      </c>
      <c r="V1341">
        <f t="shared" si="103"/>
        <v>0</v>
      </c>
      <c r="W1341">
        <f t="shared" si="104"/>
        <v>0</v>
      </c>
      <c r="X1341">
        <v>1</v>
      </c>
      <c r="Y1341" s="2">
        <v>45768</v>
      </c>
      <c r="Z1341" s="3" t="s">
        <v>89</v>
      </c>
      <c r="AA1341" t="s">
        <v>39</v>
      </c>
      <c r="AB1341" t="s">
        <v>49</v>
      </c>
      <c r="AC1341" s="5" t="s">
        <v>50</v>
      </c>
      <c r="AD1341" t="s">
        <v>184</v>
      </c>
    </row>
    <row r="1342" spans="2:30">
      <c r="B1342">
        <v>2</v>
      </c>
      <c r="C1342">
        <v>1020</v>
      </c>
      <c r="D1342" t="s">
        <v>181</v>
      </c>
      <c r="E1342">
        <v>14055468</v>
      </c>
      <c r="F1342" t="s">
        <v>1437</v>
      </c>
      <c r="G1342" t="s">
        <v>43</v>
      </c>
      <c r="H1342" t="s">
        <v>32</v>
      </c>
      <c r="I1342" t="s">
        <v>183</v>
      </c>
      <c r="J1342" t="s">
        <v>45</v>
      </c>
      <c r="K1342" t="s">
        <v>35</v>
      </c>
      <c r="L1342" t="s">
        <v>36</v>
      </c>
      <c r="M1342" t="s">
        <v>88</v>
      </c>
      <c r="N1342">
        <v>4</v>
      </c>
      <c r="O1342">
        <v>2</v>
      </c>
      <c r="P1342">
        <v>1</v>
      </c>
      <c r="Q1342">
        <v>4</v>
      </c>
      <c r="R1342">
        <v>418.81</v>
      </c>
      <c r="S1342" t="str">
        <f t="shared" si="100"/>
        <v>PY: Media Crit.</v>
      </c>
      <c r="T1342">
        <f t="shared" si="101"/>
        <v>0</v>
      </c>
      <c r="U1342">
        <f t="shared" si="102"/>
        <v>0</v>
      </c>
      <c r="V1342">
        <f t="shared" si="103"/>
        <v>1</v>
      </c>
      <c r="W1342">
        <f t="shared" si="104"/>
        <v>0</v>
      </c>
      <c r="X1342">
        <v>1</v>
      </c>
      <c r="Y1342" s="2">
        <v>45768</v>
      </c>
      <c r="Z1342" s="3" t="s">
        <v>89</v>
      </c>
      <c r="AA1342" t="s">
        <v>39</v>
      </c>
      <c r="AB1342" t="s">
        <v>40</v>
      </c>
      <c r="AC1342" t="s">
        <v>40</v>
      </c>
      <c r="AD1342" t="s">
        <v>184</v>
      </c>
    </row>
    <row r="1343" spans="2:30">
      <c r="B1343">
        <v>2</v>
      </c>
      <c r="C1343">
        <v>1020</v>
      </c>
      <c r="D1343" t="s">
        <v>388</v>
      </c>
      <c r="E1343">
        <v>14056237</v>
      </c>
      <c r="F1343" t="s">
        <v>1438</v>
      </c>
      <c r="G1343" t="s">
        <v>31</v>
      </c>
      <c r="H1343" t="s">
        <v>32</v>
      </c>
      <c r="I1343" t="s">
        <v>390</v>
      </c>
      <c r="J1343" t="s">
        <v>45</v>
      </c>
      <c r="K1343" t="s">
        <v>35</v>
      </c>
      <c r="L1343" t="s">
        <v>175</v>
      </c>
      <c r="M1343" t="s">
        <v>69</v>
      </c>
      <c r="N1343">
        <v>0</v>
      </c>
      <c r="O1343">
        <v>0</v>
      </c>
      <c r="P1343">
        <v>9</v>
      </c>
      <c r="Q1343">
        <v>9</v>
      </c>
      <c r="R1343" s="4">
        <v>1682.73</v>
      </c>
      <c r="S1343" t="str">
        <f t="shared" si="100"/>
        <v>PX: Baja Crit.</v>
      </c>
      <c r="T1343">
        <f t="shared" si="101"/>
        <v>0</v>
      </c>
      <c r="U1343">
        <f t="shared" si="102"/>
        <v>1</v>
      </c>
      <c r="V1343">
        <f t="shared" si="103"/>
        <v>0</v>
      </c>
      <c r="W1343">
        <f t="shared" si="104"/>
        <v>1</v>
      </c>
      <c r="X1343">
        <v>1</v>
      </c>
      <c r="Y1343" s="2">
        <v>45768</v>
      </c>
      <c r="Z1343" s="3" t="s">
        <v>70</v>
      </c>
      <c r="AA1343" t="s">
        <v>39</v>
      </c>
      <c r="AB1343" t="s">
        <v>76</v>
      </c>
      <c r="AC1343" s="5" t="s">
        <v>77</v>
      </c>
      <c r="AD1343" t="s">
        <v>391</v>
      </c>
    </row>
    <row r="1344" spans="2:30">
      <c r="B1344">
        <v>2</v>
      </c>
      <c r="C1344">
        <v>1020</v>
      </c>
      <c r="D1344" t="s">
        <v>181</v>
      </c>
      <c r="E1344">
        <v>14057991</v>
      </c>
      <c r="F1344" t="s">
        <v>1439</v>
      </c>
      <c r="G1344" t="s">
        <v>43</v>
      </c>
      <c r="H1344" t="s">
        <v>32</v>
      </c>
      <c r="I1344" t="s">
        <v>183</v>
      </c>
      <c r="J1344" t="s">
        <v>45</v>
      </c>
      <c r="K1344" t="s">
        <v>35</v>
      </c>
      <c r="L1344" t="s">
        <v>36</v>
      </c>
      <c r="M1344" t="s">
        <v>88</v>
      </c>
      <c r="N1344">
        <v>40</v>
      </c>
      <c r="O1344">
        <v>32</v>
      </c>
      <c r="P1344">
        <v>5</v>
      </c>
      <c r="Q1344">
        <v>40</v>
      </c>
      <c r="R1344">
        <v>20</v>
      </c>
      <c r="S1344" t="str">
        <f t="shared" si="100"/>
        <v>PY: Media Crit.</v>
      </c>
      <c r="T1344">
        <f t="shared" si="101"/>
        <v>0</v>
      </c>
      <c r="U1344">
        <f t="shared" si="102"/>
        <v>0</v>
      </c>
      <c r="V1344">
        <f t="shared" si="103"/>
        <v>1</v>
      </c>
      <c r="W1344">
        <f t="shared" si="104"/>
        <v>0</v>
      </c>
      <c r="X1344">
        <v>1</v>
      </c>
      <c r="Y1344" s="2">
        <v>45768</v>
      </c>
      <c r="Z1344" s="3" t="s">
        <v>89</v>
      </c>
      <c r="AA1344" t="s">
        <v>39</v>
      </c>
      <c r="AB1344" t="s">
        <v>40</v>
      </c>
      <c r="AC1344" t="s">
        <v>40</v>
      </c>
      <c r="AD1344" t="s">
        <v>184</v>
      </c>
    </row>
    <row r="1345" spans="2:30">
      <c r="B1345">
        <v>2</v>
      </c>
      <c r="C1345">
        <v>1020</v>
      </c>
      <c r="D1345" t="s">
        <v>181</v>
      </c>
      <c r="E1345">
        <v>14060983</v>
      </c>
      <c r="F1345" t="s">
        <v>1440</v>
      </c>
      <c r="G1345" t="s">
        <v>31</v>
      </c>
      <c r="H1345" t="s">
        <v>32</v>
      </c>
      <c r="I1345" t="s">
        <v>183</v>
      </c>
      <c r="J1345" t="s">
        <v>45</v>
      </c>
      <c r="K1345" t="s">
        <v>35</v>
      </c>
      <c r="L1345" t="s">
        <v>36</v>
      </c>
      <c r="M1345" t="s">
        <v>117</v>
      </c>
      <c r="N1345">
        <v>3</v>
      </c>
      <c r="O1345">
        <v>2</v>
      </c>
      <c r="P1345">
        <v>1</v>
      </c>
      <c r="Q1345">
        <v>1</v>
      </c>
      <c r="R1345" s="4">
        <v>6373.39</v>
      </c>
      <c r="S1345" t="str">
        <f t="shared" si="100"/>
        <v>PX: Baja Crit.</v>
      </c>
      <c r="T1345">
        <f t="shared" si="101"/>
        <v>0</v>
      </c>
      <c r="U1345">
        <f t="shared" si="102"/>
        <v>1</v>
      </c>
      <c r="V1345">
        <f t="shared" si="103"/>
        <v>0</v>
      </c>
      <c r="W1345">
        <f t="shared" si="104"/>
        <v>0</v>
      </c>
      <c r="X1345">
        <v>1</v>
      </c>
      <c r="Y1345" s="2">
        <v>45768</v>
      </c>
      <c r="Z1345" s="3" t="s">
        <v>118</v>
      </c>
      <c r="AA1345" t="s">
        <v>39</v>
      </c>
      <c r="AB1345" t="s">
        <v>49</v>
      </c>
      <c r="AC1345" s="5" t="s">
        <v>50</v>
      </c>
      <c r="AD1345" t="s">
        <v>184</v>
      </c>
    </row>
    <row r="1346" spans="2:30">
      <c r="B1346">
        <v>2</v>
      </c>
      <c r="C1346">
        <v>1020</v>
      </c>
      <c r="D1346" t="s">
        <v>181</v>
      </c>
      <c r="E1346">
        <v>14063918</v>
      </c>
      <c r="F1346" t="s">
        <v>1441</v>
      </c>
      <c r="G1346" t="s">
        <v>31</v>
      </c>
      <c r="H1346" t="s">
        <v>32</v>
      </c>
      <c r="I1346" t="s">
        <v>183</v>
      </c>
      <c r="J1346" t="s">
        <v>45</v>
      </c>
      <c r="K1346" t="s">
        <v>35</v>
      </c>
      <c r="L1346" t="s">
        <v>36</v>
      </c>
      <c r="M1346" t="s">
        <v>46</v>
      </c>
      <c r="N1346">
        <v>15</v>
      </c>
      <c r="O1346">
        <v>11</v>
      </c>
      <c r="P1346">
        <v>5</v>
      </c>
      <c r="Q1346">
        <v>20</v>
      </c>
      <c r="R1346" s="4">
        <v>1655.56</v>
      </c>
      <c r="S1346" t="str">
        <f t="shared" ref="S1346:S1409" si="105">+IF(G1346="PZ", "PZ: Alta Crit.",IF(G1346="PY","PY: Media Crit.", "PX: Baja Crit."))</f>
        <v>PX: Baja Crit.</v>
      </c>
      <c r="T1346">
        <f t="shared" ref="T1346:T1409" si="106">+IF(Q1346=0,1,0)</f>
        <v>0</v>
      </c>
      <c r="U1346">
        <f t="shared" ref="U1346:U1409" si="107">+IF(AND(Q1346&lt;=P1346,Q1346&gt;0),1,0)</f>
        <v>0</v>
      </c>
      <c r="V1346">
        <f t="shared" ref="V1346:V1409" si="108">+IF(AND(Q1346&gt;P1346,Q1346&lt;=N1346),1,0)</f>
        <v>0</v>
      </c>
      <c r="W1346">
        <f t="shared" ref="W1346:W1409" si="109">+IF(Q1346&gt;N1346,1,0)</f>
        <v>1</v>
      </c>
      <c r="X1346">
        <v>1</v>
      </c>
      <c r="Y1346" s="2">
        <v>45768</v>
      </c>
      <c r="Z1346" s="3" t="s">
        <v>47</v>
      </c>
      <c r="AA1346" t="s">
        <v>39</v>
      </c>
      <c r="AB1346" t="s">
        <v>40</v>
      </c>
      <c r="AC1346" t="s">
        <v>40</v>
      </c>
      <c r="AD1346" t="s">
        <v>184</v>
      </c>
    </row>
    <row r="1347" spans="2:30">
      <c r="B1347">
        <v>2</v>
      </c>
      <c r="C1347">
        <v>1020</v>
      </c>
      <c r="D1347" t="s">
        <v>384</v>
      </c>
      <c r="E1347">
        <v>14065141</v>
      </c>
      <c r="F1347" t="s">
        <v>1442</v>
      </c>
      <c r="G1347" t="s">
        <v>43</v>
      </c>
      <c r="H1347" t="s">
        <v>60</v>
      </c>
      <c r="I1347" t="s">
        <v>386</v>
      </c>
      <c r="J1347" t="s">
        <v>45</v>
      </c>
      <c r="K1347" t="s">
        <v>62</v>
      </c>
      <c r="L1347" t="s">
        <v>175</v>
      </c>
      <c r="M1347" t="s">
        <v>117</v>
      </c>
      <c r="N1347">
        <v>0</v>
      </c>
      <c r="O1347">
        <v>0</v>
      </c>
      <c r="P1347">
        <v>0</v>
      </c>
      <c r="Q1347">
        <v>4</v>
      </c>
      <c r="R1347">
        <v>965.09</v>
      </c>
      <c r="S1347" t="str">
        <f t="shared" si="105"/>
        <v>PY: Media Crit.</v>
      </c>
      <c r="T1347">
        <f t="shared" si="106"/>
        <v>0</v>
      </c>
      <c r="U1347">
        <f t="shared" si="107"/>
        <v>0</v>
      </c>
      <c r="V1347">
        <f t="shared" si="108"/>
        <v>0</v>
      </c>
      <c r="W1347">
        <f t="shared" si="109"/>
        <v>1</v>
      </c>
      <c r="X1347">
        <v>1</v>
      </c>
      <c r="Y1347" s="2">
        <v>45768</v>
      </c>
      <c r="Z1347" s="3" t="s">
        <v>118</v>
      </c>
      <c r="AA1347" t="s">
        <v>39</v>
      </c>
      <c r="AB1347" t="s">
        <v>40</v>
      </c>
      <c r="AC1347" t="s">
        <v>40</v>
      </c>
      <c r="AD1347" t="s">
        <v>387</v>
      </c>
    </row>
    <row r="1348" spans="2:30">
      <c r="B1348">
        <v>2</v>
      </c>
      <c r="C1348">
        <v>1020</v>
      </c>
      <c r="D1348" t="s">
        <v>181</v>
      </c>
      <c r="E1348">
        <v>14074208</v>
      </c>
      <c r="F1348" t="s">
        <v>1443</v>
      </c>
      <c r="G1348" t="s">
        <v>31</v>
      </c>
      <c r="H1348" t="s">
        <v>32</v>
      </c>
      <c r="I1348" t="s">
        <v>183</v>
      </c>
      <c r="J1348" t="s">
        <v>45</v>
      </c>
      <c r="K1348" t="s">
        <v>35</v>
      </c>
      <c r="L1348" t="s">
        <v>36</v>
      </c>
      <c r="M1348" t="s">
        <v>69</v>
      </c>
      <c r="N1348">
        <v>12</v>
      </c>
      <c r="O1348">
        <v>9</v>
      </c>
      <c r="P1348">
        <v>1</v>
      </c>
      <c r="Q1348">
        <v>12</v>
      </c>
      <c r="R1348" s="4">
        <v>3241.87</v>
      </c>
      <c r="S1348" t="str">
        <f t="shared" si="105"/>
        <v>PX: Baja Crit.</v>
      </c>
      <c r="T1348">
        <f t="shared" si="106"/>
        <v>0</v>
      </c>
      <c r="U1348">
        <f t="shared" si="107"/>
        <v>0</v>
      </c>
      <c r="V1348">
        <f t="shared" si="108"/>
        <v>1</v>
      </c>
      <c r="W1348">
        <f t="shared" si="109"/>
        <v>0</v>
      </c>
      <c r="X1348">
        <v>1</v>
      </c>
      <c r="Y1348" s="2">
        <v>45768</v>
      </c>
      <c r="Z1348" s="3" t="s">
        <v>70</v>
      </c>
      <c r="AA1348" t="s">
        <v>39</v>
      </c>
      <c r="AB1348" t="s">
        <v>40</v>
      </c>
      <c r="AC1348" t="s">
        <v>40</v>
      </c>
      <c r="AD1348" t="s">
        <v>184</v>
      </c>
    </row>
    <row r="1349" spans="2:30">
      <c r="B1349">
        <v>2</v>
      </c>
      <c r="C1349">
        <v>1020</v>
      </c>
      <c r="D1349" t="s">
        <v>181</v>
      </c>
      <c r="E1349">
        <v>14074214</v>
      </c>
      <c r="F1349" t="s">
        <v>1444</v>
      </c>
      <c r="G1349" t="s">
        <v>43</v>
      </c>
      <c r="H1349" t="s">
        <v>32</v>
      </c>
      <c r="I1349" t="s">
        <v>183</v>
      </c>
      <c r="J1349" t="s">
        <v>45</v>
      </c>
      <c r="K1349" t="s">
        <v>35</v>
      </c>
      <c r="L1349" t="s">
        <v>36</v>
      </c>
      <c r="M1349" t="s">
        <v>69</v>
      </c>
      <c r="N1349">
        <v>6</v>
      </c>
      <c r="O1349">
        <v>3</v>
      </c>
      <c r="P1349">
        <v>1</v>
      </c>
      <c r="Q1349">
        <v>6</v>
      </c>
      <c r="R1349" s="4">
        <v>2580.4699999999998</v>
      </c>
      <c r="S1349" t="str">
        <f t="shared" si="105"/>
        <v>PY: Media Crit.</v>
      </c>
      <c r="T1349">
        <f t="shared" si="106"/>
        <v>0</v>
      </c>
      <c r="U1349">
        <f t="shared" si="107"/>
        <v>0</v>
      </c>
      <c r="V1349">
        <f t="shared" si="108"/>
        <v>1</v>
      </c>
      <c r="W1349">
        <f t="shared" si="109"/>
        <v>0</v>
      </c>
      <c r="X1349">
        <v>1</v>
      </c>
      <c r="Y1349" s="2">
        <v>45768</v>
      </c>
      <c r="Z1349" s="3" t="s">
        <v>70</v>
      </c>
      <c r="AA1349" t="s">
        <v>39</v>
      </c>
      <c r="AB1349" t="s">
        <v>40</v>
      </c>
      <c r="AC1349" t="s">
        <v>40</v>
      </c>
      <c r="AD1349" t="s">
        <v>184</v>
      </c>
    </row>
    <row r="1350" spans="2:30">
      <c r="B1350">
        <v>2</v>
      </c>
      <c r="C1350">
        <v>1020</v>
      </c>
      <c r="D1350" t="s">
        <v>181</v>
      </c>
      <c r="E1350">
        <v>14075101</v>
      </c>
      <c r="F1350" t="s">
        <v>1445</v>
      </c>
      <c r="G1350" t="s">
        <v>43</v>
      </c>
      <c r="H1350" t="s">
        <v>32</v>
      </c>
      <c r="I1350" t="s">
        <v>183</v>
      </c>
      <c r="J1350" t="s">
        <v>45</v>
      </c>
      <c r="K1350" t="s">
        <v>35</v>
      </c>
      <c r="L1350" t="s">
        <v>36</v>
      </c>
      <c r="M1350" t="s">
        <v>117</v>
      </c>
      <c r="N1350">
        <v>3</v>
      </c>
      <c r="O1350">
        <v>2</v>
      </c>
      <c r="P1350">
        <v>2</v>
      </c>
      <c r="Q1350">
        <v>2</v>
      </c>
      <c r="R1350" s="4">
        <v>17048.32</v>
      </c>
      <c r="S1350" t="str">
        <f t="shared" si="105"/>
        <v>PY: Media Crit.</v>
      </c>
      <c r="T1350">
        <f t="shared" si="106"/>
        <v>0</v>
      </c>
      <c r="U1350">
        <f t="shared" si="107"/>
        <v>1</v>
      </c>
      <c r="V1350">
        <f t="shared" si="108"/>
        <v>0</v>
      </c>
      <c r="W1350">
        <f t="shared" si="109"/>
        <v>0</v>
      </c>
      <c r="X1350">
        <v>1</v>
      </c>
      <c r="Y1350" s="2">
        <v>45768</v>
      </c>
      <c r="Z1350" s="3" t="s">
        <v>118</v>
      </c>
      <c r="AA1350" t="s">
        <v>39</v>
      </c>
      <c r="AB1350" t="s">
        <v>49</v>
      </c>
      <c r="AC1350" s="5" t="s">
        <v>50</v>
      </c>
      <c r="AD1350" t="s">
        <v>184</v>
      </c>
    </row>
    <row r="1351" spans="2:30">
      <c r="B1351">
        <v>2</v>
      </c>
      <c r="C1351">
        <v>1020</v>
      </c>
      <c r="D1351" t="s">
        <v>388</v>
      </c>
      <c r="E1351">
        <v>14078665</v>
      </c>
      <c r="F1351" t="s">
        <v>1446</v>
      </c>
      <c r="G1351" t="s">
        <v>43</v>
      </c>
      <c r="H1351" t="s">
        <v>44</v>
      </c>
      <c r="I1351" t="s">
        <v>390</v>
      </c>
      <c r="J1351" t="s">
        <v>45</v>
      </c>
      <c r="K1351" t="s">
        <v>252</v>
      </c>
      <c r="L1351" t="s">
        <v>175</v>
      </c>
      <c r="M1351" t="s">
        <v>37</v>
      </c>
      <c r="N1351">
        <v>0</v>
      </c>
      <c r="O1351">
        <v>0</v>
      </c>
      <c r="P1351">
        <v>50</v>
      </c>
      <c r="Q1351">
        <v>50</v>
      </c>
      <c r="R1351">
        <v>892.05</v>
      </c>
      <c r="S1351" t="str">
        <f t="shared" si="105"/>
        <v>PY: Media Crit.</v>
      </c>
      <c r="T1351">
        <f t="shared" si="106"/>
        <v>0</v>
      </c>
      <c r="U1351">
        <f t="shared" si="107"/>
        <v>1</v>
      </c>
      <c r="V1351">
        <f t="shared" si="108"/>
        <v>0</v>
      </c>
      <c r="W1351">
        <f t="shared" si="109"/>
        <v>1</v>
      </c>
      <c r="X1351">
        <v>1</v>
      </c>
      <c r="Y1351" s="2">
        <v>45768</v>
      </c>
      <c r="Z1351" s="3" t="s">
        <v>38</v>
      </c>
      <c r="AA1351" t="s">
        <v>39</v>
      </c>
      <c r="AB1351" t="s">
        <v>40</v>
      </c>
      <c r="AC1351" t="s">
        <v>40</v>
      </c>
      <c r="AD1351" t="s">
        <v>391</v>
      </c>
    </row>
    <row r="1352" spans="2:30">
      <c r="B1352">
        <v>2</v>
      </c>
      <c r="C1352">
        <v>1020</v>
      </c>
      <c r="D1352" t="s">
        <v>181</v>
      </c>
      <c r="E1352">
        <v>14079492</v>
      </c>
      <c r="F1352" t="s">
        <v>1447</v>
      </c>
      <c r="G1352" t="s">
        <v>43</v>
      </c>
      <c r="H1352" t="s">
        <v>60</v>
      </c>
      <c r="I1352" t="s">
        <v>183</v>
      </c>
      <c r="J1352" t="s">
        <v>45</v>
      </c>
      <c r="K1352" t="s">
        <v>35</v>
      </c>
      <c r="L1352" t="s">
        <v>36</v>
      </c>
      <c r="M1352" t="s">
        <v>69</v>
      </c>
      <c r="N1352">
        <v>1</v>
      </c>
      <c r="O1352">
        <v>1</v>
      </c>
      <c r="P1352">
        <v>1</v>
      </c>
      <c r="Q1352">
        <v>1</v>
      </c>
      <c r="R1352">
        <v>703.17</v>
      </c>
      <c r="S1352" t="str">
        <f t="shared" si="105"/>
        <v>PY: Media Crit.</v>
      </c>
      <c r="T1352">
        <f t="shared" si="106"/>
        <v>0</v>
      </c>
      <c r="U1352">
        <f t="shared" si="107"/>
        <v>1</v>
      </c>
      <c r="V1352">
        <f t="shared" si="108"/>
        <v>0</v>
      </c>
      <c r="W1352">
        <f t="shared" si="109"/>
        <v>0</v>
      </c>
      <c r="X1352">
        <v>1</v>
      </c>
      <c r="Y1352" s="2">
        <v>45768</v>
      </c>
      <c r="Z1352" s="3" t="s">
        <v>70</v>
      </c>
      <c r="AA1352" t="s">
        <v>39</v>
      </c>
      <c r="AB1352" t="s">
        <v>40</v>
      </c>
      <c r="AC1352" t="s">
        <v>40</v>
      </c>
      <c r="AD1352" t="s">
        <v>184</v>
      </c>
    </row>
    <row r="1353" spans="2:30">
      <c r="B1353">
        <v>2</v>
      </c>
      <c r="C1353">
        <v>1020</v>
      </c>
      <c r="D1353" t="s">
        <v>693</v>
      </c>
      <c r="E1353">
        <v>14082960</v>
      </c>
      <c r="F1353" t="s">
        <v>1448</v>
      </c>
      <c r="G1353" t="s">
        <v>52</v>
      </c>
      <c r="H1353" t="s">
        <v>32</v>
      </c>
      <c r="I1353" t="s">
        <v>695</v>
      </c>
      <c r="J1353" t="s">
        <v>45</v>
      </c>
      <c r="K1353" t="s">
        <v>252</v>
      </c>
      <c r="L1353" t="s">
        <v>175</v>
      </c>
      <c r="M1353" t="s">
        <v>69</v>
      </c>
      <c r="N1353">
        <v>0</v>
      </c>
      <c r="O1353">
        <v>0</v>
      </c>
      <c r="P1353">
        <v>0</v>
      </c>
      <c r="Q1353">
        <v>100</v>
      </c>
      <c r="R1353" s="4">
        <v>14188.78</v>
      </c>
      <c r="S1353" t="str">
        <f t="shared" si="105"/>
        <v>PZ: Alta Crit.</v>
      </c>
      <c r="T1353">
        <f t="shared" si="106"/>
        <v>0</v>
      </c>
      <c r="U1353">
        <f t="shared" si="107"/>
        <v>0</v>
      </c>
      <c r="V1353">
        <f t="shared" si="108"/>
        <v>0</v>
      </c>
      <c r="W1353">
        <f t="shared" si="109"/>
        <v>1</v>
      </c>
      <c r="X1353">
        <v>1</v>
      </c>
      <c r="Y1353" s="2">
        <v>45768</v>
      </c>
      <c r="Z1353" s="3" t="s">
        <v>70</v>
      </c>
      <c r="AA1353" t="s">
        <v>39</v>
      </c>
      <c r="AB1353" t="s">
        <v>40</v>
      </c>
      <c r="AC1353" t="s">
        <v>40</v>
      </c>
      <c r="AD1353" t="s">
        <v>696</v>
      </c>
    </row>
    <row r="1354" spans="2:30">
      <c r="B1354">
        <v>2</v>
      </c>
      <c r="C1354">
        <v>1020</v>
      </c>
      <c r="D1354" t="s">
        <v>181</v>
      </c>
      <c r="E1354">
        <v>14094805</v>
      </c>
      <c r="F1354" t="s">
        <v>1449</v>
      </c>
      <c r="G1354" t="s">
        <v>43</v>
      </c>
      <c r="H1354" t="s">
        <v>60</v>
      </c>
      <c r="I1354" t="s">
        <v>183</v>
      </c>
      <c r="J1354" t="s">
        <v>45</v>
      </c>
      <c r="K1354" t="s">
        <v>35</v>
      </c>
      <c r="L1354" t="s">
        <v>36</v>
      </c>
      <c r="M1354" t="s">
        <v>46</v>
      </c>
      <c r="N1354">
        <v>4</v>
      </c>
      <c r="O1354">
        <v>3</v>
      </c>
      <c r="P1354">
        <v>0</v>
      </c>
      <c r="Q1354">
        <v>4</v>
      </c>
      <c r="R1354">
        <v>982.28</v>
      </c>
      <c r="S1354" t="str">
        <f t="shared" si="105"/>
        <v>PY: Media Crit.</v>
      </c>
      <c r="T1354">
        <f t="shared" si="106"/>
        <v>0</v>
      </c>
      <c r="U1354">
        <f t="shared" si="107"/>
        <v>0</v>
      </c>
      <c r="V1354">
        <f t="shared" si="108"/>
        <v>1</v>
      </c>
      <c r="W1354">
        <f t="shared" si="109"/>
        <v>0</v>
      </c>
      <c r="X1354">
        <v>1</v>
      </c>
      <c r="Y1354" s="2">
        <v>45768</v>
      </c>
      <c r="Z1354" s="3" t="s">
        <v>47</v>
      </c>
      <c r="AA1354" t="s">
        <v>39</v>
      </c>
      <c r="AB1354" t="s">
        <v>40</v>
      </c>
      <c r="AC1354" t="s">
        <v>40</v>
      </c>
      <c r="AD1354" t="s">
        <v>184</v>
      </c>
    </row>
    <row r="1355" spans="2:30">
      <c r="B1355">
        <v>2</v>
      </c>
      <c r="C1355">
        <v>1020</v>
      </c>
      <c r="D1355" t="s">
        <v>181</v>
      </c>
      <c r="E1355">
        <v>14095805</v>
      </c>
      <c r="F1355" t="s">
        <v>1450</v>
      </c>
      <c r="G1355" t="s">
        <v>43</v>
      </c>
      <c r="H1355" t="s">
        <v>60</v>
      </c>
      <c r="I1355" t="s">
        <v>183</v>
      </c>
      <c r="J1355" t="s">
        <v>45</v>
      </c>
      <c r="K1355" t="s">
        <v>35</v>
      </c>
      <c r="L1355" t="s">
        <v>36</v>
      </c>
      <c r="M1355" t="s">
        <v>46</v>
      </c>
      <c r="N1355">
        <v>2</v>
      </c>
      <c r="O1355">
        <v>2</v>
      </c>
      <c r="P1355">
        <v>0</v>
      </c>
      <c r="Q1355">
        <v>2</v>
      </c>
      <c r="R1355" s="4">
        <v>1413.42</v>
      </c>
      <c r="S1355" t="str">
        <f t="shared" si="105"/>
        <v>PY: Media Crit.</v>
      </c>
      <c r="T1355">
        <f t="shared" si="106"/>
        <v>0</v>
      </c>
      <c r="U1355">
        <f t="shared" si="107"/>
        <v>0</v>
      </c>
      <c r="V1355">
        <f t="shared" si="108"/>
        <v>1</v>
      </c>
      <c r="W1355">
        <f t="shared" si="109"/>
        <v>0</v>
      </c>
      <c r="X1355">
        <v>1</v>
      </c>
      <c r="Y1355" s="2">
        <v>45768</v>
      </c>
      <c r="Z1355" s="3" t="s">
        <v>47</v>
      </c>
      <c r="AA1355" t="s">
        <v>39</v>
      </c>
      <c r="AB1355" t="s">
        <v>40</v>
      </c>
      <c r="AC1355" t="s">
        <v>40</v>
      </c>
      <c r="AD1355" t="s">
        <v>184</v>
      </c>
    </row>
    <row r="1356" spans="2:30">
      <c r="B1356">
        <v>2</v>
      </c>
      <c r="C1356">
        <v>1020</v>
      </c>
      <c r="D1356" t="s">
        <v>181</v>
      </c>
      <c r="E1356">
        <v>14095807</v>
      </c>
      <c r="F1356" t="s">
        <v>1451</v>
      </c>
      <c r="G1356" t="s">
        <v>43</v>
      </c>
      <c r="H1356" t="s">
        <v>60</v>
      </c>
      <c r="I1356" t="s">
        <v>183</v>
      </c>
      <c r="J1356" t="s">
        <v>45</v>
      </c>
      <c r="K1356" t="s">
        <v>35</v>
      </c>
      <c r="L1356" t="s">
        <v>36</v>
      </c>
      <c r="M1356" t="s">
        <v>46</v>
      </c>
      <c r="N1356">
        <v>2</v>
      </c>
      <c r="O1356">
        <v>2</v>
      </c>
      <c r="P1356">
        <v>0</v>
      </c>
      <c r="Q1356">
        <v>2</v>
      </c>
      <c r="R1356" s="4">
        <v>1781.42</v>
      </c>
      <c r="S1356" t="str">
        <f t="shared" si="105"/>
        <v>PY: Media Crit.</v>
      </c>
      <c r="T1356">
        <f t="shared" si="106"/>
        <v>0</v>
      </c>
      <c r="U1356">
        <f t="shared" si="107"/>
        <v>0</v>
      </c>
      <c r="V1356">
        <f t="shared" si="108"/>
        <v>1</v>
      </c>
      <c r="W1356">
        <f t="shared" si="109"/>
        <v>0</v>
      </c>
      <c r="X1356">
        <v>1</v>
      </c>
      <c r="Y1356" s="2">
        <v>45768</v>
      </c>
      <c r="Z1356" s="3" t="s">
        <v>47</v>
      </c>
      <c r="AA1356" t="s">
        <v>39</v>
      </c>
      <c r="AB1356" t="s">
        <v>40</v>
      </c>
      <c r="AC1356" t="s">
        <v>40</v>
      </c>
      <c r="AD1356" t="s">
        <v>184</v>
      </c>
    </row>
    <row r="1357" spans="2:30">
      <c r="B1357">
        <v>2</v>
      </c>
      <c r="C1357">
        <v>1020</v>
      </c>
      <c r="D1357" t="s">
        <v>181</v>
      </c>
      <c r="E1357">
        <v>14098198</v>
      </c>
      <c r="F1357" t="s">
        <v>1452</v>
      </c>
      <c r="G1357" t="s">
        <v>43</v>
      </c>
      <c r="H1357" t="s">
        <v>60</v>
      </c>
      <c r="I1357" t="s">
        <v>183</v>
      </c>
      <c r="J1357" t="s">
        <v>45</v>
      </c>
      <c r="K1357" t="s">
        <v>35</v>
      </c>
      <c r="L1357" t="s">
        <v>36</v>
      </c>
      <c r="M1357" t="s">
        <v>69</v>
      </c>
      <c r="N1357">
        <v>5</v>
      </c>
      <c r="O1357">
        <v>3</v>
      </c>
      <c r="P1357">
        <v>0</v>
      </c>
      <c r="Q1357">
        <v>5</v>
      </c>
      <c r="R1357" s="4">
        <v>1574.85</v>
      </c>
      <c r="S1357" t="str">
        <f t="shared" si="105"/>
        <v>PY: Media Crit.</v>
      </c>
      <c r="T1357">
        <f t="shared" si="106"/>
        <v>0</v>
      </c>
      <c r="U1357">
        <f t="shared" si="107"/>
        <v>0</v>
      </c>
      <c r="V1357">
        <f t="shared" si="108"/>
        <v>1</v>
      </c>
      <c r="W1357">
        <f t="shared" si="109"/>
        <v>0</v>
      </c>
      <c r="X1357">
        <v>1</v>
      </c>
      <c r="Y1357" s="2">
        <v>45768</v>
      </c>
      <c r="Z1357" s="3" t="s">
        <v>70</v>
      </c>
      <c r="AA1357" t="s">
        <v>39</v>
      </c>
      <c r="AB1357" t="s">
        <v>40</v>
      </c>
      <c r="AC1357" t="s">
        <v>40</v>
      </c>
      <c r="AD1357" t="s">
        <v>184</v>
      </c>
    </row>
    <row r="1358" spans="2:30">
      <c r="B1358">
        <v>2</v>
      </c>
      <c r="C1358">
        <v>1020</v>
      </c>
      <c r="D1358" t="s">
        <v>181</v>
      </c>
      <c r="E1358">
        <v>14104365</v>
      </c>
      <c r="F1358" t="s">
        <v>1453</v>
      </c>
      <c r="G1358" t="s">
        <v>31</v>
      </c>
      <c r="H1358" t="s">
        <v>44</v>
      </c>
      <c r="I1358" t="s">
        <v>183</v>
      </c>
      <c r="J1358" t="s">
        <v>45</v>
      </c>
      <c r="K1358" t="s">
        <v>35</v>
      </c>
      <c r="L1358" t="s">
        <v>36</v>
      </c>
      <c r="M1358" t="s">
        <v>69</v>
      </c>
      <c r="N1358">
        <v>2</v>
      </c>
      <c r="O1358">
        <v>1</v>
      </c>
      <c r="P1358">
        <v>1</v>
      </c>
      <c r="Q1358">
        <v>2</v>
      </c>
      <c r="R1358" s="4">
        <v>1330.54</v>
      </c>
      <c r="S1358" t="str">
        <f t="shared" si="105"/>
        <v>PX: Baja Crit.</v>
      </c>
      <c r="T1358">
        <f t="shared" si="106"/>
        <v>0</v>
      </c>
      <c r="U1358">
        <f t="shared" si="107"/>
        <v>0</v>
      </c>
      <c r="V1358">
        <f t="shared" si="108"/>
        <v>1</v>
      </c>
      <c r="W1358">
        <f t="shared" si="109"/>
        <v>0</v>
      </c>
      <c r="X1358">
        <v>1</v>
      </c>
      <c r="Y1358" s="2">
        <v>45768</v>
      </c>
      <c r="Z1358" s="3" t="s">
        <v>70</v>
      </c>
      <c r="AA1358" t="s">
        <v>39</v>
      </c>
      <c r="AB1358" t="s">
        <v>40</v>
      </c>
      <c r="AC1358" t="s">
        <v>40</v>
      </c>
      <c r="AD1358" t="s">
        <v>184</v>
      </c>
    </row>
    <row r="1359" spans="2:30">
      <c r="B1359">
        <v>2</v>
      </c>
      <c r="C1359">
        <v>1020</v>
      </c>
      <c r="D1359" t="s">
        <v>181</v>
      </c>
      <c r="E1359">
        <v>14108947</v>
      </c>
      <c r="F1359" t="s">
        <v>1454</v>
      </c>
      <c r="G1359" t="s">
        <v>52</v>
      </c>
      <c r="H1359" t="s">
        <v>44</v>
      </c>
      <c r="I1359" t="s">
        <v>183</v>
      </c>
      <c r="J1359" t="s">
        <v>45</v>
      </c>
      <c r="K1359" t="s">
        <v>35</v>
      </c>
      <c r="L1359" t="s">
        <v>36</v>
      </c>
      <c r="M1359" t="s">
        <v>69</v>
      </c>
      <c r="N1359">
        <v>5</v>
      </c>
      <c r="O1359">
        <v>3</v>
      </c>
      <c r="P1359">
        <v>1</v>
      </c>
      <c r="Q1359">
        <v>5</v>
      </c>
      <c r="R1359">
        <v>957.38</v>
      </c>
      <c r="S1359" t="str">
        <f t="shared" si="105"/>
        <v>PZ: Alta Crit.</v>
      </c>
      <c r="T1359">
        <f t="shared" si="106"/>
        <v>0</v>
      </c>
      <c r="U1359">
        <f t="shared" si="107"/>
        <v>0</v>
      </c>
      <c r="V1359">
        <f t="shared" si="108"/>
        <v>1</v>
      </c>
      <c r="W1359">
        <f t="shared" si="109"/>
        <v>0</v>
      </c>
      <c r="X1359">
        <v>1</v>
      </c>
      <c r="Y1359" s="2">
        <v>45768</v>
      </c>
      <c r="Z1359" s="3" t="s">
        <v>70</v>
      </c>
      <c r="AA1359" t="s">
        <v>39</v>
      </c>
      <c r="AB1359" t="s">
        <v>40</v>
      </c>
      <c r="AC1359" t="s">
        <v>40</v>
      </c>
      <c r="AD1359" t="s">
        <v>184</v>
      </c>
    </row>
    <row r="1360" spans="2:30">
      <c r="B1360">
        <v>2</v>
      </c>
      <c r="C1360">
        <v>1020</v>
      </c>
      <c r="D1360" t="s">
        <v>181</v>
      </c>
      <c r="E1360">
        <v>14110514</v>
      </c>
      <c r="F1360" t="s">
        <v>1455</v>
      </c>
      <c r="G1360" t="s">
        <v>31</v>
      </c>
      <c r="H1360" t="s">
        <v>44</v>
      </c>
      <c r="I1360" t="s">
        <v>183</v>
      </c>
      <c r="J1360" t="s">
        <v>45</v>
      </c>
      <c r="K1360" t="s">
        <v>35</v>
      </c>
      <c r="L1360" t="s">
        <v>36</v>
      </c>
      <c r="M1360" t="s">
        <v>117</v>
      </c>
      <c r="N1360">
        <v>24</v>
      </c>
      <c r="O1360">
        <v>9</v>
      </c>
      <c r="P1360">
        <v>0</v>
      </c>
      <c r="Q1360">
        <v>24</v>
      </c>
      <c r="R1360">
        <v>779.6</v>
      </c>
      <c r="S1360" t="str">
        <f t="shared" si="105"/>
        <v>PX: Baja Crit.</v>
      </c>
      <c r="T1360">
        <f t="shared" si="106"/>
        <v>0</v>
      </c>
      <c r="U1360">
        <f t="shared" si="107"/>
        <v>0</v>
      </c>
      <c r="V1360">
        <f t="shared" si="108"/>
        <v>1</v>
      </c>
      <c r="W1360">
        <f t="shared" si="109"/>
        <v>0</v>
      </c>
      <c r="X1360">
        <v>1</v>
      </c>
      <c r="Y1360" s="2">
        <v>45768</v>
      </c>
      <c r="Z1360" s="3" t="s">
        <v>118</v>
      </c>
      <c r="AA1360" t="s">
        <v>39</v>
      </c>
      <c r="AB1360" t="s">
        <v>40</v>
      </c>
      <c r="AC1360" t="s">
        <v>40</v>
      </c>
      <c r="AD1360" t="s">
        <v>184</v>
      </c>
    </row>
    <row r="1361" spans="2:30">
      <c r="B1361">
        <v>2</v>
      </c>
      <c r="C1361">
        <v>1020</v>
      </c>
      <c r="D1361" t="s">
        <v>181</v>
      </c>
      <c r="E1361">
        <v>14115194</v>
      </c>
      <c r="F1361" t="s">
        <v>1456</v>
      </c>
      <c r="G1361" t="s">
        <v>52</v>
      </c>
      <c r="H1361" t="s">
        <v>32</v>
      </c>
      <c r="I1361" t="s">
        <v>183</v>
      </c>
      <c r="J1361" t="s">
        <v>45</v>
      </c>
      <c r="K1361" t="s">
        <v>35</v>
      </c>
      <c r="L1361" t="s">
        <v>36</v>
      </c>
      <c r="M1361" t="s">
        <v>46</v>
      </c>
      <c r="N1361">
        <v>50</v>
      </c>
      <c r="O1361">
        <v>20</v>
      </c>
      <c r="P1361">
        <v>5</v>
      </c>
      <c r="Q1361">
        <v>202</v>
      </c>
      <c r="R1361" s="4">
        <v>2402.2600000000002</v>
      </c>
      <c r="S1361" t="str">
        <f t="shared" si="105"/>
        <v>PZ: Alta Crit.</v>
      </c>
      <c r="T1361">
        <f t="shared" si="106"/>
        <v>0</v>
      </c>
      <c r="U1361">
        <f t="shared" si="107"/>
        <v>0</v>
      </c>
      <c r="V1361">
        <f t="shared" si="108"/>
        <v>0</v>
      </c>
      <c r="W1361">
        <f t="shared" si="109"/>
        <v>1</v>
      </c>
      <c r="X1361">
        <v>1</v>
      </c>
      <c r="Y1361" s="2">
        <v>45768</v>
      </c>
      <c r="Z1361" s="3" t="s">
        <v>47</v>
      </c>
      <c r="AA1361" t="s">
        <v>39</v>
      </c>
      <c r="AB1361" t="s">
        <v>40</v>
      </c>
      <c r="AC1361" t="s">
        <v>40</v>
      </c>
      <c r="AD1361" t="s">
        <v>184</v>
      </c>
    </row>
    <row r="1362" spans="2:30">
      <c r="B1362">
        <v>2</v>
      </c>
      <c r="C1362">
        <v>1020</v>
      </c>
      <c r="D1362" t="s">
        <v>181</v>
      </c>
      <c r="E1362">
        <v>14115240</v>
      </c>
      <c r="F1362" t="s">
        <v>1457</v>
      </c>
      <c r="G1362" t="s">
        <v>43</v>
      </c>
      <c r="H1362" t="s">
        <v>60</v>
      </c>
      <c r="I1362" t="s">
        <v>183</v>
      </c>
      <c r="J1362" t="s">
        <v>45</v>
      </c>
      <c r="K1362" t="s">
        <v>35</v>
      </c>
      <c r="L1362" t="s">
        <v>36</v>
      </c>
      <c r="M1362" t="s">
        <v>117</v>
      </c>
      <c r="N1362">
        <v>2</v>
      </c>
      <c r="O1362">
        <v>2</v>
      </c>
      <c r="P1362">
        <v>0</v>
      </c>
      <c r="Q1362">
        <v>2</v>
      </c>
      <c r="R1362" s="4">
        <v>1650</v>
      </c>
      <c r="S1362" t="str">
        <f t="shared" si="105"/>
        <v>PY: Media Crit.</v>
      </c>
      <c r="T1362">
        <f t="shared" si="106"/>
        <v>0</v>
      </c>
      <c r="U1362">
        <f t="shared" si="107"/>
        <v>0</v>
      </c>
      <c r="V1362">
        <f t="shared" si="108"/>
        <v>1</v>
      </c>
      <c r="W1362">
        <f t="shared" si="109"/>
        <v>0</v>
      </c>
      <c r="X1362">
        <v>1</v>
      </c>
      <c r="Y1362" s="2">
        <v>45768</v>
      </c>
      <c r="Z1362" s="3" t="s">
        <v>118</v>
      </c>
      <c r="AA1362" t="s">
        <v>39</v>
      </c>
      <c r="AB1362" t="s">
        <v>40</v>
      </c>
      <c r="AC1362" t="s">
        <v>40</v>
      </c>
      <c r="AD1362" t="s">
        <v>184</v>
      </c>
    </row>
    <row r="1363" spans="2:30">
      <c r="B1363">
        <v>2</v>
      </c>
      <c r="C1363">
        <v>1020</v>
      </c>
      <c r="D1363" t="s">
        <v>181</v>
      </c>
      <c r="E1363">
        <v>14115242</v>
      </c>
      <c r="F1363" t="s">
        <v>1458</v>
      </c>
      <c r="G1363" t="s">
        <v>31</v>
      </c>
      <c r="H1363" t="s">
        <v>32</v>
      </c>
      <c r="I1363" t="s">
        <v>183</v>
      </c>
      <c r="J1363" t="s">
        <v>45</v>
      </c>
      <c r="K1363" t="s">
        <v>35</v>
      </c>
      <c r="L1363" t="s">
        <v>36</v>
      </c>
      <c r="M1363" t="s">
        <v>117</v>
      </c>
      <c r="N1363">
        <v>20</v>
      </c>
      <c r="O1363">
        <v>11</v>
      </c>
      <c r="P1363">
        <v>0</v>
      </c>
      <c r="Q1363">
        <v>18</v>
      </c>
      <c r="R1363" s="4">
        <v>6300</v>
      </c>
      <c r="S1363" t="str">
        <f t="shared" si="105"/>
        <v>PX: Baja Crit.</v>
      </c>
      <c r="T1363">
        <f t="shared" si="106"/>
        <v>0</v>
      </c>
      <c r="U1363">
        <f t="shared" si="107"/>
        <v>0</v>
      </c>
      <c r="V1363">
        <f t="shared" si="108"/>
        <v>1</v>
      </c>
      <c r="W1363">
        <f t="shared" si="109"/>
        <v>0</v>
      </c>
      <c r="X1363">
        <v>1</v>
      </c>
      <c r="Y1363" s="2">
        <v>45768</v>
      </c>
      <c r="Z1363" s="3" t="s">
        <v>118</v>
      </c>
      <c r="AA1363" t="s">
        <v>39</v>
      </c>
      <c r="AB1363" t="s">
        <v>40</v>
      </c>
      <c r="AC1363" t="s">
        <v>40</v>
      </c>
      <c r="AD1363" t="s">
        <v>184</v>
      </c>
    </row>
    <row r="1364" spans="2:30">
      <c r="B1364">
        <v>2</v>
      </c>
      <c r="C1364">
        <v>1020</v>
      </c>
      <c r="D1364" t="s">
        <v>181</v>
      </c>
      <c r="E1364">
        <v>14122069</v>
      </c>
      <c r="F1364" t="s">
        <v>1459</v>
      </c>
      <c r="G1364" t="s">
        <v>43</v>
      </c>
      <c r="H1364" t="s">
        <v>60</v>
      </c>
      <c r="I1364" t="s">
        <v>183</v>
      </c>
      <c r="J1364" t="s">
        <v>45</v>
      </c>
      <c r="K1364" t="s">
        <v>35</v>
      </c>
      <c r="L1364" t="s">
        <v>36</v>
      </c>
      <c r="M1364" t="s">
        <v>88</v>
      </c>
      <c r="N1364">
        <v>100</v>
      </c>
      <c r="O1364">
        <v>61</v>
      </c>
      <c r="P1364">
        <v>0</v>
      </c>
      <c r="Q1364">
        <v>100</v>
      </c>
      <c r="R1364">
        <v>541.87</v>
      </c>
      <c r="S1364" t="str">
        <f t="shared" si="105"/>
        <v>PY: Media Crit.</v>
      </c>
      <c r="T1364">
        <f t="shared" si="106"/>
        <v>0</v>
      </c>
      <c r="U1364">
        <f t="shared" si="107"/>
        <v>0</v>
      </c>
      <c r="V1364">
        <f t="shared" si="108"/>
        <v>1</v>
      </c>
      <c r="W1364">
        <f t="shared" si="109"/>
        <v>0</v>
      </c>
      <c r="X1364">
        <v>1</v>
      </c>
      <c r="Y1364" s="2">
        <v>45768</v>
      </c>
      <c r="Z1364" s="3" t="s">
        <v>89</v>
      </c>
      <c r="AA1364" t="s">
        <v>39</v>
      </c>
      <c r="AB1364" t="s">
        <v>40</v>
      </c>
      <c r="AC1364" t="s">
        <v>40</v>
      </c>
      <c r="AD1364" t="s">
        <v>184</v>
      </c>
    </row>
    <row r="1365" spans="2:30">
      <c r="B1365">
        <v>2</v>
      </c>
      <c r="C1365">
        <v>1020</v>
      </c>
      <c r="D1365" t="s">
        <v>181</v>
      </c>
      <c r="E1365">
        <v>14122070</v>
      </c>
      <c r="F1365" t="s">
        <v>1460</v>
      </c>
      <c r="G1365" t="s">
        <v>43</v>
      </c>
      <c r="H1365" t="s">
        <v>60</v>
      </c>
      <c r="I1365" t="s">
        <v>183</v>
      </c>
      <c r="J1365" t="s">
        <v>45</v>
      </c>
      <c r="K1365" t="s">
        <v>35</v>
      </c>
      <c r="L1365" t="s">
        <v>36</v>
      </c>
      <c r="M1365" t="s">
        <v>88</v>
      </c>
      <c r="N1365">
        <v>100</v>
      </c>
      <c r="O1365">
        <v>51</v>
      </c>
      <c r="P1365">
        <v>0</v>
      </c>
      <c r="Q1365">
        <v>88</v>
      </c>
      <c r="R1365">
        <v>494.13</v>
      </c>
      <c r="S1365" t="str">
        <f t="shared" si="105"/>
        <v>PY: Media Crit.</v>
      </c>
      <c r="T1365">
        <f t="shared" si="106"/>
        <v>0</v>
      </c>
      <c r="U1365">
        <f t="shared" si="107"/>
        <v>0</v>
      </c>
      <c r="V1365">
        <f t="shared" si="108"/>
        <v>1</v>
      </c>
      <c r="W1365">
        <f t="shared" si="109"/>
        <v>0</v>
      </c>
      <c r="X1365">
        <v>1</v>
      </c>
      <c r="Y1365" s="2">
        <v>45768</v>
      </c>
      <c r="Z1365" s="3" t="s">
        <v>89</v>
      </c>
      <c r="AA1365" t="s">
        <v>39</v>
      </c>
      <c r="AB1365" t="s">
        <v>40</v>
      </c>
      <c r="AC1365" t="s">
        <v>40</v>
      </c>
      <c r="AD1365" t="s">
        <v>184</v>
      </c>
    </row>
    <row r="1366" spans="2:30">
      <c r="B1366">
        <v>2</v>
      </c>
      <c r="C1366">
        <v>1020</v>
      </c>
      <c r="D1366" t="s">
        <v>388</v>
      </c>
      <c r="E1366">
        <v>14132077</v>
      </c>
      <c r="F1366" t="s">
        <v>1461</v>
      </c>
      <c r="G1366" t="s">
        <v>31</v>
      </c>
      <c r="H1366" t="s">
        <v>44</v>
      </c>
      <c r="I1366" t="s">
        <v>390</v>
      </c>
      <c r="J1366" t="s">
        <v>45</v>
      </c>
      <c r="K1366" t="s">
        <v>35</v>
      </c>
      <c r="L1366" t="s">
        <v>175</v>
      </c>
      <c r="M1366" t="s">
        <v>69</v>
      </c>
      <c r="N1366">
        <v>0</v>
      </c>
      <c r="O1366">
        <v>0</v>
      </c>
      <c r="P1366">
        <v>1</v>
      </c>
      <c r="Q1366">
        <v>0</v>
      </c>
      <c r="R1366">
        <v>0</v>
      </c>
      <c r="S1366" t="str">
        <f t="shared" si="105"/>
        <v>PX: Baja Crit.</v>
      </c>
      <c r="T1366">
        <f t="shared" si="106"/>
        <v>1</v>
      </c>
      <c r="U1366">
        <f t="shared" si="107"/>
        <v>0</v>
      </c>
      <c r="V1366">
        <f t="shared" si="108"/>
        <v>0</v>
      </c>
      <c r="W1366">
        <f t="shared" si="109"/>
        <v>0</v>
      </c>
      <c r="X1366">
        <v>1</v>
      </c>
      <c r="Y1366" s="2">
        <v>45768</v>
      </c>
      <c r="Z1366" s="3" t="s">
        <v>70</v>
      </c>
      <c r="AA1366" t="s">
        <v>39</v>
      </c>
      <c r="AB1366" t="s">
        <v>49</v>
      </c>
      <c r="AC1366" s="5" t="s">
        <v>50</v>
      </c>
      <c r="AD1366" t="s">
        <v>391</v>
      </c>
    </row>
    <row r="1367" spans="2:30">
      <c r="B1367">
        <v>2</v>
      </c>
      <c r="C1367">
        <v>1020</v>
      </c>
      <c r="D1367" t="s">
        <v>388</v>
      </c>
      <c r="E1367">
        <v>14137528</v>
      </c>
      <c r="F1367" t="s">
        <v>1462</v>
      </c>
      <c r="G1367" t="s">
        <v>43</v>
      </c>
      <c r="H1367" t="s">
        <v>60</v>
      </c>
      <c r="I1367" t="s">
        <v>390</v>
      </c>
      <c r="J1367" t="s">
        <v>45</v>
      </c>
      <c r="K1367" t="s">
        <v>35</v>
      </c>
      <c r="L1367" t="s">
        <v>175</v>
      </c>
      <c r="M1367" t="s">
        <v>69</v>
      </c>
      <c r="N1367">
        <v>0</v>
      </c>
      <c r="O1367">
        <v>0</v>
      </c>
      <c r="P1367">
        <v>1</v>
      </c>
      <c r="Q1367">
        <v>0</v>
      </c>
      <c r="R1367">
        <v>0</v>
      </c>
      <c r="S1367" t="str">
        <f t="shared" si="105"/>
        <v>PY: Media Crit.</v>
      </c>
      <c r="T1367">
        <f t="shared" si="106"/>
        <v>1</v>
      </c>
      <c r="U1367">
        <f t="shared" si="107"/>
        <v>0</v>
      </c>
      <c r="V1367">
        <f t="shared" si="108"/>
        <v>0</v>
      </c>
      <c r="W1367">
        <f t="shared" si="109"/>
        <v>0</v>
      </c>
      <c r="X1367">
        <v>1</v>
      </c>
      <c r="Y1367" s="2">
        <v>45768</v>
      </c>
      <c r="Z1367" s="3" t="s">
        <v>70</v>
      </c>
      <c r="AA1367" t="s">
        <v>39</v>
      </c>
      <c r="AB1367" t="s">
        <v>49</v>
      </c>
      <c r="AC1367" s="5" t="s">
        <v>50</v>
      </c>
      <c r="AD1367" t="s">
        <v>391</v>
      </c>
    </row>
    <row r="1368" spans="2:30">
      <c r="B1368">
        <v>2</v>
      </c>
      <c r="C1368">
        <v>1020</v>
      </c>
      <c r="D1368" t="s">
        <v>181</v>
      </c>
      <c r="E1368">
        <v>14138678</v>
      </c>
      <c r="F1368" t="s">
        <v>1463</v>
      </c>
      <c r="G1368" t="s">
        <v>31</v>
      </c>
      <c r="H1368" t="s">
        <v>44</v>
      </c>
      <c r="I1368" t="s">
        <v>183</v>
      </c>
      <c r="J1368" t="s">
        <v>45</v>
      </c>
      <c r="K1368" t="s">
        <v>35</v>
      </c>
      <c r="L1368" t="s">
        <v>36</v>
      </c>
      <c r="M1368" t="s">
        <v>117</v>
      </c>
      <c r="N1368">
        <v>4</v>
      </c>
      <c r="O1368">
        <v>3</v>
      </c>
      <c r="P1368">
        <v>0</v>
      </c>
      <c r="Q1368">
        <v>4</v>
      </c>
      <c r="R1368" s="4">
        <v>4880.13</v>
      </c>
      <c r="S1368" t="str">
        <f t="shared" si="105"/>
        <v>PX: Baja Crit.</v>
      </c>
      <c r="T1368">
        <f t="shared" si="106"/>
        <v>0</v>
      </c>
      <c r="U1368">
        <f t="shared" si="107"/>
        <v>0</v>
      </c>
      <c r="V1368">
        <f t="shared" si="108"/>
        <v>1</v>
      </c>
      <c r="W1368">
        <f t="shared" si="109"/>
        <v>0</v>
      </c>
      <c r="X1368">
        <v>1</v>
      </c>
      <c r="Y1368" s="2">
        <v>45768</v>
      </c>
      <c r="Z1368" s="3" t="s">
        <v>118</v>
      </c>
      <c r="AA1368" t="s">
        <v>39</v>
      </c>
      <c r="AB1368" t="s">
        <v>40</v>
      </c>
      <c r="AC1368" t="s">
        <v>40</v>
      </c>
      <c r="AD1368" t="s">
        <v>184</v>
      </c>
    </row>
    <row r="1369" spans="2:30">
      <c r="B1369">
        <v>2</v>
      </c>
      <c r="C1369">
        <v>1020</v>
      </c>
      <c r="D1369" t="s">
        <v>181</v>
      </c>
      <c r="E1369">
        <v>14139594</v>
      </c>
      <c r="F1369" t="s">
        <v>1464</v>
      </c>
      <c r="G1369" t="s">
        <v>43</v>
      </c>
      <c r="H1369" t="s">
        <v>60</v>
      </c>
      <c r="I1369" t="s">
        <v>183</v>
      </c>
      <c r="J1369" t="s">
        <v>45</v>
      </c>
      <c r="K1369" t="s">
        <v>35</v>
      </c>
      <c r="L1369" t="s">
        <v>36</v>
      </c>
      <c r="M1369" t="s">
        <v>88</v>
      </c>
      <c r="N1369">
        <v>4</v>
      </c>
      <c r="O1369">
        <v>2</v>
      </c>
      <c r="P1369">
        <v>0</v>
      </c>
      <c r="Q1369">
        <v>4</v>
      </c>
      <c r="R1369">
        <v>205.77</v>
      </c>
      <c r="S1369" t="str">
        <f t="shared" si="105"/>
        <v>PY: Media Crit.</v>
      </c>
      <c r="T1369">
        <f t="shared" si="106"/>
        <v>0</v>
      </c>
      <c r="U1369">
        <f t="shared" si="107"/>
        <v>0</v>
      </c>
      <c r="V1369">
        <f t="shared" si="108"/>
        <v>1</v>
      </c>
      <c r="W1369">
        <f t="shared" si="109"/>
        <v>0</v>
      </c>
      <c r="X1369">
        <v>1</v>
      </c>
      <c r="Y1369" s="2">
        <v>45768</v>
      </c>
      <c r="Z1369" s="3" t="s">
        <v>89</v>
      </c>
      <c r="AA1369" t="s">
        <v>39</v>
      </c>
      <c r="AB1369" t="s">
        <v>40</v>
      </c>
      <c r="AC1369" t="s">
        <v>40</v>
      </c>
      <c r="AD1369" t="s">
        <v>184</v>
      </c>
    </row>
    <row r="1370" spans="2:30">
      <c r="B1370">
        <v>2</v>
      </c>
      <c r="C1370">
        <v>1020</v>
      </c>
      <c r="D1370" t="s">
        <v>388</v>
      </c>
      <c r="E1370">
        <v>14140038</v>
      </c>
      <c r="F1370" t="s">
        <v>1465</v>
      </c>
      <c r="G1370" t="s">
        <v>52</v>
      </c>
      <c r="H1370" t="s">
        <v>32</v>
      </c>
      <c r="I1370" t="s">
        <v>390</v>
      </c>
      <c r="J1370" t="s">
        <v>45</v>
      </c>
      <c r="K1370" t="s">
        <v>35</v>
      </c>
      <c r="L1370" t="s">
        <v>175</v>
      </c>
      <c r="M1370" t="s">
        <v>46</v>
      </c>
      <c r="N1370">
        <v>0</v>
      </c>
      <c r="O1370">
        <v>0</v>
      </c>
      <c r="P1370">
        <v>1</v>
      </c>
      <c r="Q1370">
        <v>0</v>
      </c>
      <c r="R1370">
        <v>0</v>
      </c>
      <c r="S1370" t="str">
        <f t="shared" si="105"/>
        <v>PZ: Alta Crit.</v>
      </c>
      <c r="T1370">
        <f t="shared" si="106"/>
        <v>1</v>
      </c>
      <c r="U1370">
        <f t="shared" si="107"/>
        <v>0</v>
      </c>
      <c r="V1370">
        <f t="shared" si="108"/>
        <v>0</v>
      </c>
      <c r="W1370">
        <f t="shared" si="109"/>
        <v>0</v>
      </c>
      <c r="X1370">
        <v>1</v>
      </c>
      <c r="Y1370" s="2">
        <v>45768</v>
      </c>
      <c r="Z1370" s="3" t="s">
        <v>47</v>
      </c>
      <c r="AA1370" t="s">
        <v>39</v>
      </c>
      <c r="AB1370" t="s">
        <v>49</v>
      </c>
      <c r="AC1370" s="5" t="s">
        <v>50</v>
      </c>
      <c r="AD1370" t="s">
        <v>391</v>
      </c>
    </row>
    <row r="1371" spans="2:30">
      <c r="B1371">
        <v>2</v>
      </c>
      <c r="C1371">
        <v>1020</v>
      </c>
      <c r="D1371" t="s">
        <v>181</v>
      </c>
      <c r="E1371">
        <v>14143991</v>
      </c>
      <c r="F1371" t="s">
        <v>1466</v>
      </c>
      <c r="G1371" t="s">
        <v>52</v>
      </c>
      <c r="H1371" t="s">
        <v>44</v>
      </c>
      <c r="I1371" t="s">
        <v>183</v>
      </c>
      <c r="J1371" t="s">
        <v>45</v>
      </c>
      <c r="K1371" t="s">
        <v>35</v>
      </c>
      <c r="L1371" t="s">
        <v>36</v>
      </c>
      <c r="M1371" t="s">
        <v>69</v>
      </c>
      <c r="N1371">
        <v>5</v>
      </c>
      <c r="O1371">
        <v>3</v>
      </c>
      <c r="P1371">
        <v>0</v>
      </c>
      <c r="Q1371">
        <v>0</v>
      </c>
      <c r="R1371">
        <v>0</v>
      </c>
      <c r="S1371" t="str">
        <f t="shared" si="105"/>
        <v>PZ: Alta Crit.</v>
      </c>
      <c r="T1371">
        <f t="shared" si="106"/>
        <v>1</v>
      </c>
      <c r="U1371">
        <f t="shared" si="107"/>
        <v>0</v>
      </c>
      <c r="V1371">
        <f t="shared" si="108"/>
        <v>0</v>
      </c>
      <c r="W1371">
        <f t="shared" si="109"/>
        <v>0</v>
      </c>
      <c r="X1371">
        <v>1</v>
      </c>
      <c r="Y1371" s="2">
        <v>45768</v>
      </c>
      <c r="Z1371" s="3" t="s">
        <v>70</v>
      </c>
      <c r="AA1371" t="s">
        <v>39</v>
      </c>
      <c r="AB1371" t="s">
        <v>49</v>
      </c>
      <c r="AC1371" s="5" t="s">
        <v>50</v>
      </c>
      <c r="AD1371" t="s">
        <v>184</v>
      </c>
    </row>
    <row r="1372" spans="2:30">
      <c r="B1372">
        <v>2</v>
      </c>
      <c r="C1372">
        <v>1020</v>
      </c>
      <c r="D1372" t="s">
        <v>181</v>
      </c>
      <c r="E1372">
        <v>14143997</v>
      </c>
      <c r="F1372" t="s">
        <v>1467</v>
      </c>
      <c r="G1372" t="s">
        <v>52</v>
      </c>
      <c r="H1372" t="s">
        <v>44</v>
      </c>
      <c r="I1372" t="s">
        <v>183</v>
      </c>
      <c r="J1372" t="s">
        <v>45</v>
      </c>
      <c r="K1372" t="s">
        <v>35</v>
      </c>
      <c r="L1372" t="s">
        <v>36</v>
      </c>
      <c r="M1372" t="s">
        <v>69</v>
      </c>
      <c r="N1372">
        <v>5</v>
      </c>
      <c r="O1372">
        <v>3</v>
      </c>
      <c r="P1372">
        <v>0</v>
      </c>
      <c r="Q1372">
        <v>5</v>
      </c>
      <c r="R1372" s="4">
        <v>1446.84</v>
      </c>
      <c r="S1372" t="str">
        <f t="shared" si="105"/>
        <v>PZ: Alta Crit.</v>
      </c>
      <c r="T1372">
        <f t="shared" si="106"/>
        <v>0</v>
      </c>
      <c r="U1372">
        <f t="shared" si="107"/>
        <v>0</v>
      </c>
      <c r="V1372">
        <f t="shared" si="108"/>
        <v>1</v>
      </c>
      <c r="W1372">
        <f t="shared" si="109"/>
        <v>0</v>
      </c>
      <c r="X1372">
        <v>1</v>
      </c>
      <c r="Y1372" s="2">
        <v>45768</v>
      </c>
      <c r="Z1372" s="3" t="s">
        <v>70</v>
      </c>
      <c r="AA1372" t="s">
        <v>39</v>
      </c>
      <c r="AB1372" t="s">
        <v>40</v>
      </c>
      <c r="AC1372" t="s">
        <v>40</v>
      </c>
      <c r="AD1372" t="s">
        <v>184</v>
      </c>
    </row>
    <row r="1373" spans="2:30">
      <c r="B1373">
        <v>2</v>
      </c>
      <c r="C1373">
        <v>1020</v>
      </c>
      <c r="D1373" t="s">
        <v>181</v>
      </c>
      <c r="E1373">
        <v>14144382</v>
      </c>
      <c r="F1373" t="s">
        <v>1468</v>
      </c>
      <c r="G1373" t="s">
        <v>52</v>
      </c>
      <c r="H1373" t="s">
        <v>44</v>
      </c>
      <c r="I1373" t="s">
        <v>183</v>
      </c>
      <c r="J1373" t="s">
        <v>45</v>
      </c>
      <c r="K1373" t="s">
        <v>53</v>
      </c>
      <c r="L1373" t="s">
        <v>36</v>
      </c>
      <c r="M1373" t="s">
        <v>46</v>
      </c>
      <c r="N1373">
        <v>50</v>
      </c>
      <c r="O1373">
        <v>50</v>
      </c>
      <c r="P1373">
        <v>0</v>
      </c>
      <c r="Q1373">
        <v>50</v>
      </c>
      <c r="R1373">
        <v>726.59</v>
      </c>
      <c r="S1373" t="str">
        <f t="shared" si="105"/>
        <v>PZ: Alta Crit.</v>
      </c>
      <c r="T1373">
        <f t="shared" si="106"/>
        <v>0</v>
      </c>
      <c r="U1373">
        <f t="shared" si="107"/>
        <v>0</v>
      </c>
      <c r="V1373">
        <f t="shared" si="108"/>
        <v>1</v>
      </c>
      <c r="W1373">
        <f t="shared" si="109"/>
        <v>0</v>
      </c>
      <c r="X1373">
        <v>1</v>
      </c>
      <c r="Y1373" s="2">
        <v>45768</v>
      </c>
      <c r="Z1373" s="3" t="s">
        <v>47</v>
      </c>
      <c r="AA1373" t="s">
        <v>39</v>
      </c>
      <c r="AB1373" t="s">
        <v>40</v>
      </c>
      <c r="AC1373" t="s">
        <v>40</v>
      </c>
      <c r="AD1373" t="s">
        <v>184</v>
      </c>
    </row>
    <row r="1374" spans="2:30">
      <c r="B1374">
        <v>2</v>
      </c>
      <c r="C1374">
        <v>1020</v>
      </c>
      <c r="D1374" t="s">
        <v>388</v>
      </c>
      <c r="E1374">
        <v>14145311</v>
      </c>
      <c r="F1374" t="s">
        <v>1469</v>
      </c>
      <c r="G1374" t="s">
        <v>52</v>
      </c>
      <c r="H1374" t="s">
        <v>44</v>
      </c>
      <c r="I1374" t="s">
        <v>390</v>
      </c>
      <c r="J1374" t="s">
        <v>45</v>
      </c>
      <c r="K1374" t="s">
        <v>35</v>
      </c>
      <c r="L1374" t="s">
        <v>175</v>
      </c>
      <c r="M1374" t="s">
        <v>69</v>
      </c>
      <c r="N1374">
        <v>0</v>
      </c>
      <c r="O1374">
        <v>0</v>
      </c>
      <c r="P1374">
        <v>6</v>
      </c>
      <c r="Q1374">
        <v>6</v>
      </c>
      <c r="R1374" s="4">
        <v>332761.11</v>
      </c>
      <c r="S1374" t="str">
        <f t="shared" si="105"/>
        <v>PZ: Alta Crit.</v>
      </c>
      <c r="T1374">
        <f t="shared" si="106"/>
        <v>0</v>
      </c>
      <c r="U1374">
        <f t="shared" si="107"/>
        <v>1</v>
      </c>
      <c r="V1374">
        <f t="shared" si="108"/>
        <v>0</v>
      </c>
      <c r="W1374">
        <f t="shared" si="109"/>
        <v>1</v>
      </c>
      <c r="X1374">
        <v>1</v>
      </c>
      <c r="Y1374" s="2">
        <v>45768</v>
      </c>
      <c r="Z1374" s="3" t="s">
        <v>70</v>
      </c>
      <c r="AA1374" t="s">
        <v>39</v>
      </c>
      <c r="AB1374" t="s">
        <v>40</v>
      </c>
      <c r="AC1374" t="s">
        <v>40</v>
      </c>
      <c r="AD1374" t="s">
        <v>391</v>
      </c>
    </row>
    <row r="1375" spans="2:30">
      <c r="B1375">
        <v>2</v>
      </c>
      <c r="C1375">
        <v>1020</v>
      </c>
      <c r="D1375" t="s">
        <v>181</v>
      </c>
      <c r="E1375">
        <v>14145739</v>
      </c>
      <c r="F1375" t="s">
        <v>1470</v>
      </c>
      <c r="G1375" t="s">
        <v>31</v>
      </c>
      <c r="H1375" t="s">
        <v>60</v>
      </c>
      <c r="I1375" t="s">
        <v>183</v>
      </c>
      <c r="J1375" t="s">
        <v>45</v>
      </c>
      <c r="K1375" t="s">
        <v>35</v>
      </c>
      <c r="L1375" t="s">
        <v>36</v>
      </c>
      <c r="M1375" t="s">
        <v>55</v>
      </c>
      <c r="N1375">
        <v>30</v>
      </c>
      <c r="O1375">
        <v>16</v>
      </c>
      <c r="P1375">
        <v>0</v>
      </c>
      <c r="Q1375">
        <v>9</v>
      </c>
      <c r="R1375">
        <v>232.49</v>
      </c>
      <c r="S1375" t="str">
        <f t="shared" si="105"/>
        <v>PX: Baja Crit.</v>
      </c>
      <c r="T1375">
        <f t="shared" si="106"/>
        <v>0</v>
      </c>
      <c r="U1375">
        <f t="shared" si="107"/>
        <v>0</v>
      </c>
      <c r="V1375">
        <f t="shared" si="108"/>
        <v>1</v>
      </c>
      <c r="W1375">
        <f t="shared" si="109"/>
        <v>0</v>
      </c>
      <c r="X1375">
        <v>1</v>
      </c>
      <c r="Y1375" s="2">
        <v>45768</v>
      </c>
      <c r="Z1375" s="3" t="s">
        <v>56</v>
      </c>
      <c r="AA1375" t="s">
        <v>39</v>
      </c>
      <c r="AB1375" t="s">
        <v>40</v>
      </c>
      <c r="AC1375" t="s">
        <v>40</v>
      </c>
      <c r="AD1375" t="s">
        <v>184</v>
      </c>
    </row>
    <row r="1376" spans="2:30">
      <c r="B1376">
        <v>2</v>
      </c>
      <c r="C1376">
        <v>1020</v>
      </c>
      <c r="D1376" t="s">
        <v>388</v>
      </c>
      <c r="E1376">
        <v>14147749</v>
      </c>
      <c r="F1376" t="s">
        <v>1471</v>
      </c>
      <c r="G1376" t="s">
        <v>52</v>
      </c>
      <c r="H1376" t="s">
        <v>44</v>
      </c>
      <c r="I1376" t="s">
        <v>390</v>
      </c>
      <c r="J1376" t="s">
        <v>45</v>
      </c>
      <c r="K1376" t="s">
        <v>35</v>
      </c>
      <c r="L1376" t="s">
        <v>175</v>
      </c>
      <c r="M1376" t="s">
        <v>69</v>
      </c>
      <c r="N1376">
        <v>0</v>
      </c>
      <c r="O1376">
        <v>0</v>
      </c>
      <c r="P1376">
        <v>10</v>
      </c>
      <c r="Q1376">
        <v>10</v>
      </c>
      <c r="R1376" s="4">
        <v>4996.96</v>
      </c>
      <c r="S1376" t="str">
        <f t="shared" si="105"/>
        <v>PZ: Alta Crit.</v>
      </c>
      <c r="T1376">
        <f t="shared" si="106"/>
        <v>0</v>
      </c>
      <c r="U1376">
        <f t="shared" si="107"/>
        <v>1</v>
      </c>
      <c r="V1376">
        <f t="shared" si="108"/>
        <v>0</v>
      </c>
      <c r="W1376">
        <f t="shared" si="109"/>
        <v>1</v>
      </c>
      <c r="X1376">
        <v>1</v>
      </c>
      <c r="Y1376" s="2">
        <v>45768</v>
      </c>
      <c r="Z1376" s="3" t="s">
        <v>70</v>
      </c>
      <c r="AA1376" t="s">
        <v>39</v>
      </c>
      <c r="AB1376" t="s">
        <v>40</v>
      </c>
      <c r="AC1376" t="s">
        <v>40</v>
      </c>
      <c r="AD1376" t="s">
        <v>391</v>
      </c>
    </row>
    <row r="1377" spans="2:30">
      <c r="B1377">
        <v>2</v>
      </c>
      <c r="C1377">
        <v>1020</v>
      </c>
      <c r="D1377" t="s">
        <v>181</v>
      </c>
      <c r="E1377">
        <v>14149401</v>
      </c>
      <c r="F1377" t="s">
        <v>1472</v>
      </c>
      <c r="G1377" t="s">
        <v>31</v>
      </c>
      <c r="H1377" t="s">
        <v>44</v>
      </c>
      <c r="I1377" t="s">
        <v>183</v>
      </c>
      <c r="J1377" t="s">
        <v>45</v>
      </c>
      <c r="K1377" t="s">
        <v>35</v>
      </c>
      <c r="L1377" t="s">
        <v>36</v>
      </c>
      <c r="M1377" t="s">
        <v>117</v>
      </c>
      <c r="N1377">
        <v>4</v>
      </c>
      <c r="O1377">
        <v>4</v>
      </c>
      <c r="P1377">
        <v>0</v>
      </c>
      <c r="Q1377">
        <v>4</v>
      </c>
      <c r="R1377" s="4">
        <v>2847.03</v>
      </c>
      <c r="S1377" t="str">
        <f t="shared" si="105"/>
        <v>PX: Baja Crit.</v>
      </c>
      <c r="T1377">
        <f t="shared" si="106"/>
        <v>0</v>
      </c>
      <c r="U1377">
        <f t="shared" si="107"/>
        <v>0</v>
      </c>
      <c r="V1377">
        <f t="shared" si="108"/>
        <v>1</v>
      </c>
      <c r="W1377">
        <f t="shared" si="109"/>
        <v>0</v>
      </c>
      <c r="X1377">
        <v>1</v>
      </c>
      <c r="Y1377" s="2">
        <v>45768</v>
      </c>
      <c r="Z1377" s="3" t="s">
        <v>118</v>
      </c>
      <c r="AA1377" t="s">
        <v>39</v>
      </c>
      <c r="AB1377" t="s">
        <v>40</v>
      </c>
      <c r="AC1377" t="s">
        <v>40</v>
      </c>
      <c r="AD1377" t="s">
        <v>184</v>
      </c>
    </row>
    <row r="1378" spans="2:30">
      <c r="B1378">
        <v>2</v>
      </c>
      <c r="C1378">
        <v>1020</v>
      </c>
      <c r="D1378" t="s">
        <v>181</v>
      </c>
      <c r="E1378">
        <v>14149414</v>
      </c>
      <c r="F1378" t="s">
        <v>1473</v>
      </c>
      <c r="G1378" t="s">
        <v>31</v>
      </c>
      <c r="H1378" t="s">
        <v>44</v>
      </c>
      <c r="I1378" t="s">
        <v>183</v>
      </c>
      <c r="J1378" t="s">
        <v>45</v>
      </c>
      <c r="K1378" t="s">
        <v>35</v>
      </c>
      <c r="L1378" t="s">
        <v>36</v>
      </c>
      <c r="M1378" t="s">
        <v>117</v>
      </c>
      <c r="N1378">
        <v>4</v>
      </c>
      <c r="O1378">
        <v>4</v>
      </c>
      <c r="P1378">
        <v>0</v>
      </c>
      <c r="Q1378">
        <v>4</v>
      </c>
      <c r="R1378">
        <v>856.91</v>
      </c>
      <c r="S1378" t="str">
        <f t="shared" si="105"/>
        <v>PX: Baja Crit.</v>
      </c>
      <c r="T1378">
        <f t="shared" si="106"/>
        <v>0</v>
      </c>
      <c r="U1378">
        <f t="shared" si="107"/>
        <v>0</v>
      </c>
      <c r="V1378">
        <f t="shared" si="108"/>
        <v>1</v>
      </c>
      <c r="W1378">
        <f t="shared" si="109"/>
        <v>0</v>
      </c>
      <c r="X1378">
        <v>1</v>
      </c>
      <c r="Y1378" s="2">
        <v>45768</v>
      </c>
      <c r="Z1378" s="3" t="s">
        <v>118</v>
      </c>
      <c r="AA1378" t="s">
        <v>39</v>
      </c>
      <c r="AB1378" t="s">
        <v>40</v>
      </c>
      <c r="AC1378" t="s">
        <v>40</v>
      </c>
      <c r="AD1378" t="s">
        <v>184</v>
      </c>
    </row>
    <row r="1379" spans="2:30">
      <c r="B1379">
        <v>2</v>
      </c>
      <c r="C1379">
        <v>1020</v>
      </c>
      <c r="D1379" t="s">
        <v>181</v>
      </c>
      <c r="E1379">
        <v>14158903</v>
      </c>
      <c r="F1379" t="s">
        <v>1474</v>
      </c>
      <c r="G1379" t="s">
        <v>31</v>
      </c>
      <c r="H1379" t="s">
        <v>60</v>
      </c>
      <c r="I1379" t="s">
        <v>183</v>
      </c>
      <c r="J1379" t="s">
        <v>45</v>
      </c>
      <c r="K1379" t="s">
        <v>35</v>
      </c>
      <c r="L1379" t="s">
        <v>36</v>
      </c>
      <c r="M1379" t="s">
        <v>46</v>
      </c>
      <c r="N1379">
        <v>6</v>
      </c>
      <c r="O1379">
        <v>4</v>
      </c>
      <c r="P1379">
        <v>2</v>
      </c>
      <c r="Q1379">
        <v>4</v>
      </c>
      <c r="R1379">
        <v>440.87</v>
      </c>
      <c r="S1379" t="str">
        <f t="shared" si="105"/>
        <v>PX: Baja Crit.</v>
      </c>
      <c r="T1379">
        <f t="shared" si="106"/>
        <v>0</v>
      </c>
      <c r="U1379">
        <f t="shared" si="107"/>
        <v>0</v>
      </c>
      <c r="V1379">
        <f t="shared" si="108"/>
        <v>1</v>
      </c>
      <c r="W1379">
        <f t="shared" si="109"/>
        <v>0</v>
      </c>
      <c r="X1379">
        <v>1</v>
      </c>
      <c r="Y1379" s="2">
        <v>45768</v>
      </c>
      <c r="Z1379" s="3" t="s">
        <v>47</v>
      </c>
      <c r="AA1379" t="s">
        <v>39</v>
      </c>
      <c r="AB1379" t="s">
        <v>40</v>
      </c>
      <c r="AC1379" t="s">
        <v>40</v>
      </c>
      <c r="AD1379" t="s">
        <v>184</v>
      </c>
    </row>
    <row r="1380" spans="2:30">
      <c r="B1380">
        <v>2</v>
      </c>
      <c r="C1380">
        <v>1020</v>
      </c>
      <c r="D1380" t="s">
        <v>181</v>
      </c>
      <c r="E1380">
        <v>14159741</v>
      </c>
      <c r="F1380" t="s">
        <v>1475</v>
      </c>
      <c r="G1380" t="s">
        <v>31</v>
      </c>
      <c r="H1380" t="s">
        <v>60</v>
      </c>
      <c r="I1380" t="s">
        <v>183</v>
      </c>
      <c r="J1380" t="s">
        <v>45</v>
      </c>
      <c r="K1380" t="s">
        <v>35</v>
      </c>
      <c r="L1380" t="s">
        <v>36</v>
      </c>
      <c r="M1380" t="s">
        <v>117</v>
      </c>
      <c r="N1380">
        <v>20</v>
      </c>
      <c r="O1380">
        <v>16</v>
      </c>
      <c r="P1380">
        <v>0</v>
      </c>
      <c r="Q1380">
        <v>30</v>
      </c>
      <c r="R1380" s="4">
        <v>23950.89</v>
      </c>
      <c r="S1380" t="str">
        <f t="shared" si="105"/>
        <v>PX: Baja Crit.</v>
      </c>
      <c r="T1380">
        <f t="shared" si="106"/>
        <v>0</v>
      </c>
      <c r="U1380">
        <f t="shared" si="107"/>
        <v>0</v>
      </c>
      <c r="V1380">
        <f t="shared" si="108"/>
        <v>0</v>
      </c>
      <c r="W1380">
        <f t="shared" si="109"/>
        <v>1</v>
      </c>
      <c r="X1380">
        <v>1</v>
      </c>
      <c r="Y1380" s="2">
        <v>45768</v>
      </c>
      <c r="Z1380" s="3" t="s">
        <v>118</v>
      </c>
      <c r="AA1380" t="s">
        <v>39</v>
      </c>
      <c r="AB1380" t="s">
        <v>40</v>
      </c>
      <c r="AC1380" t="s">
        <v>40</v>
      </c>
      <c r="AD1380" t="s">
        <v>184</v>
      </c>
    </row>
    <row r="1381" spans="2:30">
      <c r="B1381">
        <v>2</v>
      </c>
      <c r="C1381">
        <v>1020</v>
      </c>
      <c r="D1381" t="s">
        <v>181</v>
      </c>
      <c r="E1381">
        <v>14164264</v>
      </c>
      <c r="F1381" t="s">
        <v>1476</v>
      </c>
      <c r="G1381" t="s">
        <v>31</v>
      </c>
      <c r="H1381" t="s">
        <v>32</v>
      </c>
      <c r="I1381" t="s">
        <v>183</v>
      </c>
      <c r="J1381" t="s">
        <v>45</v>
      </c>
      <c r="K1381" t="s">
        <v>35</v>
      </c>
      <c r="L1381" t="s">
        <v>36</v>
      </c>
      <c r="M1381" t="s">
        <v>46</v>
      </c>
      <c r="N1381">
        <v>6</v>
      </c>
      <c r="O1381">
        <v>5</v>
      </c>
      <c r="P1381">
        <v>2</v>
      </c>
      <c r="Q1381">
        <v>6</v>
      </c>
      <c r="R1381" s="4">
        <v>48067.56</v>
      </c>
      <c r="S1381" t="str">
        <f t="shared" si="105"/>
        <v>PX: Baja Crit.</v>
      </c>
      <c r="T1381">
        <f t="shared" si="106"/>
        <v>0</v>
      </c>
      <c r="U1381">
        <f t="shared" si="107"/>
        <v>0</v>
      </c>
      <c r="V1381">
        <f t="shared" si="108"/>
        <v>1</v>
      </c>
      <c r="W1381">
        <f t="shared" si="109"/>
        <v>0</v>
      </c>
      <c r="X1381">
        <v>1</v>
      </c>
      <c r="Y1381" s="2">
        <v>45768</v>
      </c>
      <c r="Z1381" s="3" t="s">
        <v>47</v>
      </c>
      <c r="AA1381" t="s">
        <v>39</v>
      </c>
      <c r="AB1381" t="s">
        <v>40</v>
      </c>
      <c r="AC1381" t="s">
        <v>40</v>
      </c>
      <c r="AD1381" t="s">
        <v>184</v>
      </c>
    </row>
    <row r="1382" spans="2:30">
      <c r="B1382">
        <v>2</v>
      </c>
      <c r="C1382">
        <v>1020</v>
      </c>
      <c r="D1382" t="s">
        <v>388</v>
      </c>
      <c r="E1382">
        <v>14164315</v>
      </c>
      <c r="F1382" t="s">
        <v>1477</v>
      </c>
      <c r="G1382" t="s">
        <v>43</v>
      </c>
      <c r="H1382" t="s">
        <v>44</v>
      </c>
      <c r="I1382" t="s">
        <v>390</v>
      </c>
      <c r="J1382" t="s">
        <v>45</v>
      </c>
      <c r="K1382" t="s">
        <v>35</v>
      </c>
      <c r="L1382" t="s">
        <v>175</v>
      </c>
      <c r="M1382" t="s">
        <v>69</v>
      </c>
      <c r="N1382">
        <v>0</v>
      </c>
      <c r="O1382">
        <v>0</v>
      </c>
      <c r="P1382">
        <v>2</v>
      </c>
      <c r="Q1382">
        <v>2</v>
      </c>
      <c r="R1382" s="4">
        <v>2041.54</v>
      </c>
      <c r="S1382" t="str">
        <f t="shared" si="105"/>
        <v>PY: Media Crit.</v>
      </c>
      <c r="T1382">
        <f t="shared" si="106"/>
        <v>0</v>
      </c>
      <c r="U1382">
        <f t="shared" si="107"/>
        <v>1</v>
      </c>
      <c r="V1382">
        <f t="shared" si="108"/>
        <v>0</v>
      </c>
      <c r="W1382">
        <f t="shared" si="109"/>
        <v>1</v>
      </c>
      <c r="X1382">
        <v>1</v>
      </c>
      <c r="Y1382" s="2">
        <v>45768</v>
      </c>
      <c r="Z1382" s="3" t="s">
        <v>70</v>
      </c>
      <c r="AA1382" t="s">
        <v>39</v>
      </c>
      <c r="AB1382" t="s">
        <v>40</v>
      </c>
      <c r="AC1382" t="s">
        <v>40</v>
      </c>
      <c r="AD1382" t="s">
        <v>391</v>
      </c>
    </row>
    <row r="1383" spans="2:30">
      <c r="B1383">
        <v>2</v>
      </c>
      <c r="C1383">
        <v>1020</v>
      </c>
      <c r="D1383" t="s">
        <v>181</v>
      </c>
      <c r="E1383">
        <v>14168378</v>
      </c>
      <c r="F1383" t="s">
        <v>1478</v>
      </c>
      <c r="G1383" t="s">
        <v>43</v>
      </c>
      <c r="H1383" t="s">
        <v>60</v>
      </c>
      <c r="I1383" t="s">
        <v>183</v>
      </c>
      <c r="J1383" t="s">
        <v>45</v>
      </c>
      <c r="K1383" t="s">
        <v>35</v>
      </c>
      <c r="L1383" t="s">
        <v>36</v>
      </c>
      <c r="M1383" t="s">
        <v>117</v>
      </c>
      <c r="N1383">
        <v>10</v>
      </c>
      <c r="O1383">
        <v>5</v>
      </c>
      <c r="P1383">
        <v>0</v>
      </c>
      <c r="Q1383">
        <v>0</v>
      </c>
      <c r="R1383">
        <v>0</v>
      </c>
      <c r="S1383" t="str">
        <f t="shared" si="105"/>
        <v>PY: Media Crit.</v>
      </c>
      <c r="T1383">
        <f t="shared" si="106"/>
        <v>1</v>
      </c>
      <c r="U1383">
        <f t="shared" si="107"/>
        <v>0</v>
      </c>
      <c r="V1383">
        <f t="shared" si="108"/>
        <v>0</v>
      </c>
      <c r="W1383">
        <f t="shared" si="109"/>
        <v>0</v>
      </c>
      <c r="X1383">
        <v>1</v>
      </c>
      <c r="Y1383" s="2">
        <v>45768</v>
      </c>
      <c r="Z1383" s="3" t="s">
        <v>118</v>
      </c>
      <c r="AA1383" t="s">
        <v>39</v>
      </c>
      <c r="AB1383" t="s">
        <v>49</v>
      </c>
      <c r="AC1383" s="5" t="s">
        <v>50</v>
      </c>
      <c r="AD1383" t="s">
        <v>184</v>
      </c>
    </row>
    <row r="1384" spans="2:30">
      <c r="B1384">
        <v>2</v>
      </c>
      <c r="C1384">
        <v>1020</v>
      </c>
      <c r="D1384" t="s">
        <v>181</v>
      </c>
      <c r="E1384">
        <v>14168380</v>
      </c>
      <c r="F1384" t="s">
        <v>1479</v>
      </c>
      <c r="G1384" t="s">
        <v>43</v>
      </c>
      <c r="H1384" t="s">
        <v>60</v>
      </c>
      <c r="I1384" t="s">
        <v>183</v>
      </c>
      <c r="J1384" t="s">
        <v>45</v>
      </c>
      <c r="K1384" t="s">
        <v>35</v>
      </c>
      <c r="L1384" t="s">
        <v>36</v>
      </c>
      <c r="M1384" t="s">
        <v>117</v>
      </c>
      <c r="N1384">
        <v>10</v>
      </c>
      <c r="O1384">
        <v>5</v>
      </c>
      <c r="P1384">
        <v>0</v>
      </c>
      <c r="Q1384">
        <v>8</v>
      </c>
      <c r="R1384" s="4">
        <v>2390.77</v>
      </c>
      <c r="S1384" t="str">
        <f t="shared" si="105"/>
        <v>PY: Media Crit.</v>
      </c>
      <c r="T1384">
        <f t="shared" si="106"/>
        <v>0</v>
      </c>
      <c r="U1384">
        <f t="shared" si="107"/>
        <v>0</v>
      </c>
      <c r="V1384">
        <f t="shared" si="108"/>
        <v>1</v>
      </c>
      <c r="W1384">
        <f t="shared" si="109"/>
        <v>0</v>
      </c>
      <c r="X1384">
        <v>1</v>
      </c>
      <c r="Y1384" s="2">
        <v>45768</v>
      </c>
      <c r="Z1384" s="3" t="s">
        <v>118</v>
      </c>
      <c r="AA1384" t="s">
        <v>39</v>
      </c>
      <c r="AB1384" t="s">
        <v>40</v>
      </c>
      <c r="AC1384" t="s">
        <v>40</v>
      </c>
      <c r="AD1384" t="s">
        <v>184</v>
      </c>
    </row>
    <row r="1385" spans="2:30">
      <c r="B1385">
        <v>2</v>
      </c>
      <c r="C1385">
        <v>1020</v>
      </c>
      <c r="D1385" t="s">
        <v>181</v>
      </c>
      <c r="E1385">
        <v>14168964</v>
      </c>
      <c r="F1385" t="s">
        <v>1480</v>
      </c>
      <c r="G1385" t="s">
        <v>52</v>
      </c>
      <c r="H1385" t="s">
        <v>32</v>
      </c>
      <c r="I1385" t="s">
        <v>183</v>
      </c>
      <c r="J1385" t="s">
        <v>45</v>
      </c>
      <c r="K1385" t="s">
        <v>53</v>
      </c>
      <c r="L1385" t="s">
        <v>36</v>
      </c>
      <c r="M1385" t="s">
        <v>46</v>
      </c>
      <c r="N1385">
        <v>416</v>
      </c>
      <c r="O1385">
        <v>208</v>
      </c>
      <c r="P1385">
        <v>208</v>
      </c>
      <c r="Q1385">
        <v>416</v>
      </c>
      <c r="R1385" s="4">
        <v>8394.76</v>
      </c>
      <c r="S1385" t="str">
        <f t="shared" si="105"/>
        <v>PZ: Alta Crit.</v>
      </c>
      <c r="T1385">
        <f t="shared" si="106"/>
        <v>0</v>
      </c>
      <c r="U1385">
        <f t="shared" si="107"/>
        <v>0</v>
      </c>
      <c r="V1385">
        <f t="shared" si="108"/>
        <v>1</v>
      </c>
      <c r="W1385">
        <f t="shared" si="109"/>
        <v>0</v>
      </c>
      <c r="X1385">
        <v>1</v>
      </c>
      <c r="Y1385" s="2">
        <v>45768</v>
      </c>
      <c r="Z1385" s="3" t="s">
        <v>47</v>
      </c>
      <c r="AA1385" t="s">
        <v>39</v>
      </c>
      <c r="AB1385" t="s">
        <v>40</v>
      </c>
      <c r="AC1385" t="s">
        <v>40</v>
      </c>
      <c r="AD1385" t="s">
        <v>184</v>
      </c>
    </row>
    <row r="1386" spans="2:30">
      <c r="B1386">
        <v>2</v>
      </c>
      <c r="C1386">
        <v>1020</v>
      </c>
      <c r="D1386" t="s">
        <v>181</v>
      </c>
      <c r="E1386">
        <v>14175685</v>
      </c>
      <c r="F1386" t="s">
        <v>1481</v>
      </c>
      <c r="G1386" t="s">
        <v>31</v>
      </c>
      <c r="H1386" t="s">
        <v>32</v>
      </c>
      <c r="I1386" t="s">
        <v>183</v>
      </c>
      <c r="J1386" t="s">
        <v>45</v>
      </c>
      <c r="K1386" t="s">
        <v>35</v>
      </c>
      <c r="L1386" t="s">
        <v>36</v>
      </c>
      <c r="M1386" t="s">
        <v>69</v>
      </c>
      <c r="N1386">
        <v>8</v>
      </c>
      <c r="O1386">
        <v>4</v>
      </c>
      <c r="P1386">
        <v>0</v>
      </c>
      <c r="Q1386">
        <v>8</v>
      </c>
      <c r="R1386">
        <v>604.09</v>
      </c>
      <c r="S1386" t="str">
        <f t="shared" si="105"/>
        <v>PX: Baja Crit.</v>
      </c>
      <c r="T1386">
        <f t="shared" si="106"/>
        <v>0</v>
      </c>
      <c r="U1386">
        <f t="shared" si="107"/>
        <v>0</v>
      </c>
      <c r="V1386">
        <f t="shared" si="108"/>
        <v>1</v>
      </c>
      <c r="W1386">
        <f t="shared" si="109"/>
        <v>0</v>
      </c>
      <c r="X1386">
        <v>1</v>
      </c>
      <c r="Y1386" s="2">
        <v>45768</v>
      </c>
      <c r="Z1386" s="3" t="s">
        <v>70</v>
      </c>
      <c r="AA1386" t="s">
        <v>39</v>
      </c>
      <c r="AB1386" t="s">
        <v>40</v>
      </c>
      <c r="AC1386" t="s">
        <v>40</v>
      </c>
      <c r="AD1386" t="s">
        <v>184</v>
      </c>
    </row>
    <row r="1387" spans="2:30">
      <c r="B1387">
        <v>2</v>
      </c>
      <c r="C1387">
        <v>1020</v>
      </c>
      <c r="D1387" t="s">
        <v>181</v>
      </c>
      <c r="E1387">
        <v>14175687</v>
      </c>
      <c r="F1387" t="s">
        <v>1482</v>
      </c>
      <c r="G1387" t="s">
        <v>31</v>
      </c>
      <c r="H1387" t="s">
        <v>32</v>
      </c>
      <c r="I1387" t="s">
        <v>183</v>
      </c>
      <c r="J1387" t="s">
        <v>45</v>
      </c>
      <c r="K1387" t="s">
        <v>35</v>
      </c>
      <c r="L1387" t="s">
        <v>36</v>
      </c>
      <c r="M1387" t="s">
        <v>69</v>
      </c>
      <c r="N1387">
        <v>8</v>
      </c>
      <c r="O1387">
        <v>4</v>
      </c>
      <c r="P1387">
        <v>0</v>
      </c>
      <c r="Q1387">
        <v>18</v>
      </c>
      <c r="R1387" s="4">
        <v>2672.92</v>
      </c>
      <c r="S1387" t="str">
        <f t="shared" si="105"/>
        <v>PX: Baja Crit.</v>
      </c>
      <c r="T1387">
        <f t="shared" si="106"/>
        <v>0</v>
      </c>
      <c r="U1387">
        <f t="shared" si="107"/>
        <v>0</v>
      </c>
      <c r="V1387">
        <f t="shared" si="108"/>
        <v>0</v>
      </c>
      <c r="W1387">
        <f t="shared" si="109"/>
        <v>1</v>
      </c>
      <c r="X1387">
        <v>1</v>
      </c>
      <c r="Y1387" s="2">
        <v>45768</v>
      </c>
      <c r="Z1387" s="3" t="s">
        <v>70</v>
      </c>
      <c r="AA1387" t="s">
        <v>39</v>
      </c>
      <c r="AB1387" t="s">
        <v>40</v>
      </c>
      <c r="AC1387" t="s">
        <v>40</v>
      </c>
      <c r="AD1387" t="s">
        <v>184</v>
      </c>
    </row>
    <row r="1388" spans="2:30">
      <c r="B1388">
        <v>2</v>
      </c>
      <c r="C1388">
        <v>1020</v>
      </c>
      <c r="D1388" t="s">
        <v>181</v>
      </c>
      <c r="E1388">
        <v>14175691</v>
      </c>
      <c r="F1388" t="s">
        <v>1483</v>
      </c>
      <c r="G1388" t="s">
        <v>31</v>
      </c>
      <c r="H1388" t="s">
        <v>32</v>
      </c>
      <c r="I1388" t="s">
        <v>183</v>
      </c>
      <c r="J1388" t="s">
        <v>45</v>
      </c>
      <c r="K1388" t="s">
        <v>35</v>
      </c>
      <c r="L1388" t="s">
        <v>36</v>
      </c>
      <c r="M1388" t="s">
        <v>69</v>
      </c>
      <c r="N1388">
        <v>8</v>
      </c>
      <c r="O1388">
        <v>4</v>
      </c>
      <c r="P1388">
        <v>0</v>
      </c>
      <c r="Q1388">
        <v>8</v>
      </c>
      <c r="R1388" s="4">
        <v>1513.16</v>
      </c>
      <c r="S1388" t="str">
        <f t="shared" si="105"/>
        <v>PX: Baja Crit.</v>
      </c>
      <c r="T1388">
        <f t="shared" si="106"/>
        <v>0</v>
      </c>
      <c r="U1388">
        <f t="shared" si="107"/>
        <v>0</v>
      </c>
      <c r="V1388">
        <f t="shared" si="108"/>
        <v>1</v>
      </c>
      <c r="W1388">
        <f t="shared" si="109"/>
        <v>0</v>
      </c>
      <c r="X1388">
        <v>1</v>
      </c>
      <c r="Y1388" s="2">
        <v>45768</v>
      </c>
      <c r="Z1388" s="3" t="s">
        <v>70</v>
      </c>
      <c r="AA1388" t="s">
        <v>39</v>
      </c>
      <c r="AB1388" t="s">
        <v>40</v>
      </c>
      <c r="AC1388" t="s">
        <v>40</v>
      </c>
      <c r="AD1388" t="s">
        <v>184</v>
      </c>
    </row>
    <row r="1389" spans="2:30">
      <c r="B1389">
        <v>2</v>
      </c>
      <c r="C1389">
        <v>1020</v>
      </c>
      <c r="D1389" t="s">
        <v>181</v>
      </c>
      <c r="E1389">
        <v>14175692</v>
      </c>
      <c r="F1389" t="s">
        <v>1484</v>
      </c>
      <c r="G1389" t="s">
        <v>31</v>
      </c>
      <c r="H1389" t="s">
        <v>32</v>
      </c>
      <c r="I1389" t="s">
        <v>183</v>
      </c>
      <c r="J1389" t="s">
        <v>45</v>
      </c>
      <c r="K1389" t="s">
        <v>35</v>
      </c>
      <c r="L1389" t="s">
        <v>36</v>
      </c>
      <c r="M1389" t="s">
        <v>69</v>
      </c>
      <c r="N1389">
        <v>8</v>
      </c>
      <c r="O1389">
        <v>4</v>
      </c>
      <c r="P1389">
        <v>0</v>
      </c>
      <c r="Q1389">
        <v>0</v>
      </c>
      <c r="R1389">
        <v>0</v>
      </c>
      <c r="S1389" t="str">
        <f t="shared" si="105"/>
        <v>PX: Baja Crit.</v>
      </c>
      <c r="T1389">
        <f t="shared" si="106"/>
        <v>1</v>
      </c>
      <c r="U1389">
        <f t="shared" si="107"/>
        <v>0</v>
      </c>
      <c r="V1389">
        <f t="shared" si="108"/>
        <v>0</v>
      </c>
      <c r="W1389">
        <f t="shared" si="109"/>
        <v>0</v>
      </c>
      <c r="X1389">
        <v>1</v>
      </c>
      <c r="Y1389" s="2">
        <v>45768</v>
      </c>
      <c r="Z1389" s="3" t="s">
        <v>70</v>
      </c>
      <c r="AA1389" t="s">
        <v>39</v>
      </c>
      <c r="AB1389" t="s">
        <v>49</v>
      </c>
      <c r="AC1389" s="5" t="s">
        <v>50</v>
      </c>
      <c r="AD1389" t="s">
        <v>184</v>
      </c>
    </row>
    <row r="1390" spans="2:30">
      <c r="B1390">
        <v>2</v>
      </c>
      <c r="C1390">
        <v>1020</v>
      </c>
      <c r="D1390" t="s">
        <v>181</v>
      </c>
      <c r="E1390">
        <v>14175694</v>
      </c>
      <c r="F1390" t="s">
        <v>1485</v>
      </c>
      <c r="G1390" t="s">
        <v>31</v>
      </c>
      <c r="H1390" t="s">
        <v>32</v>
      </c>
      <c r="I1390" t="s">
        <v>183</v>
      </c>
      <c r="J1390" t="s">
        <v>45</v>
      </c>
      <c r="K1390" t="s">
        <v>35</v>
      </c>
      <c r="L1390" t="s">
        <v>36</v>
      </c>
      <c r="M1390" t="s">
        <v>69</v>
      </c>
      <c r="N1390">
        <v>8</v>
      </c>
      <c r="O1390">
        <v>4</v>
      </c>
      <c r="P1390">
        <v>0</v>
      </c>
      <c r="Q1390">
        <v>8</v>
      </c>
      <c r="R1390" s="4">
        <v>1016.59</v>
      </c>
      <c r="S1390" t="str">
        <f t="shared" si="105"/>
        <v>PX: Baja Crit.</v>
      </c>
      <c r="T1390">
        <f t="shared" si="106"/>
        <v>0</v>
      </c>
      <c r="U1390">
        <f t="shared" si="107"/>
        <v>0</v>
      </c>
      <c r="V1390">
        <f t="shared" si="108"/>
        <v>1</v>
      </c>
      <c r="W1390">
        <f t="shared" si="109"/>
        <v>0</v>
      </c>
      <c r="X1390">
        <v>1</v>
      </c>
      <c r="Y1390" s="2">
        <v>45768</v>
      </c>
      <c r="Z1390" s="3" t="s">
        <v>70</v>
      </c>
      <c r="AA1390" t="s">
        <v>39</v>
      </c>
      <c r="AB1390" t="s">
        <v>40</v>
      </c>
      <c r="AC1390" t="s">
        <v>40</v>
      </c>
      <c r="AD1390" t="s">
        <v>184</v>
      </c>
    </row>
    <row r="1391" spans="2:30">
      <c r="B1391">
        <v>2</v>
      </c>
      <c r="C1391">
        <v>1020</v>
      </c>
      <c r="D1391" t="s">
        <v>181</v>
      </c>
      <c r="E1391">
        <v>14175695</v>
      </c>
      <c r="F1391" t="s">
        <v>1486</v>
      </c>
      <c r="G1391" t="s">
        <v>31</v>
      </c>
      <c r="H1391" t="s">
        <v>32</v>
      </c>
      <c r="I1391" t="s">
        <v>183</v>
      </c>
      <c r="J1391" t="s">
        <v>45</v>
      </c>
      <c r="K1391" t="s">
        <v>35</v>
      </c>
      <c r="L1391" t="s">
        <v>36</v>
      </c>
      <c r="M1391" t="s">
        <v>69</v>
      </c>
      <c r="N1391">
        <v>8</v>
      </c>
      <c r="O1391">
        <v>4</v>
      </c>
      <c r="P1391">
        <v>0</v>
      </c>
      <c r="Q1391">
        <v>8</v>
      </c>
      <c r="R1391" s="4">
        <v>1325.92</v>
      </c>
      <c r="S1391" t="str">
        <f t="shared" si="105"/>
        <v>PX: Baja Crit.</v>
      </c>
      <c r="T1391">
        <f t="shared" si="106"/>
        <v>0</v>
      </c>
      <c r="U1391">
        <f t="shared" si="107"/>
        <v>0</v>
      </c>
      <c r="V1391">
        <f t="shared" si="108"/>
        <v>1</v>
      </c>
      <c r="W1391">
        <f t="shared" si="109"/>
        <v>0</v>
      </c>
      <c r="X1391">
        <v>1</v>
      </c>
      <c r="Y1391" s="2">
        <v>45768</v>
      </c>
      <c r="Z1391" s="3" t="s">
        <v>70</v>
      </c>
      <c r="AA1391" t="s">
        <v>39</v>
      </c>
      <c r="AB1391" t="s">
        <v>40</v>
      </c>
      <c r="AC1391" t="s">
        <v>40</v>
      </c>
      <c r="AD1391" t="s">
        <v>184</v>
      </c>
    </row>
    <row r="1392" spans="2:30">
      <c r="B1392">
        <v>2</v>
      </c>
      <c r="C1392">
        <v>1020</v>
      </c>
      <c r="D1392" t="s">
        <v>181</v>
      </c>
      <c r="E1392">
        <v>14176485</v>
      </c>
      <c r="F1392" t="s">
        <v>1487</v>
      </c>
      <c r="G1392" t="s">
        <v>31</v>
      </c>
      <c r="H1392" t="s">
        <v>32</v>
      </c>
      <c r="I1392" t="s">
        <v>183</v>
      </c>
      <c r="J1392" t="s">
        <v>45</v>
      </c>
      <c r="K1392" t="s">
        <v>35</v>
      </c>
      <c r="L1392" t="s">
        <v>36</v>
      </c>
      <c r="M1392" t="s">
        <v>117</v>
      </c>
      <c r="N1392">
        <v>24</v>
      </c>
      <c r="O1392">
        <v>12</v>
      </c>
      <c r="P1392">
        <v>0</v>
      </c>
      <c r="Q1392">
        <v>24</v>
      </c>
      <c r="R1392">
        <v>912</v>
      </c>
      <c r="S1392" t="str">
        <f t="shared" si="105"/>
        <v>PX: Baja Crit.</v>
      </c>
      <c r="T1392">
        <f t="shared" si="106"/>
        <v>0</v>
      </c>
      <c r="U1392">
        <f t="shared" si="107"/>
        <v>0</v>
      </c>
      <c r="V1392">
        <f t="shared" si="108"/>
        <v>1</v>
      </c>
      <c r="W1392">
        <f t="shared" si="109"/>
        <v>0</v>
      </c>
      <c r="X1392">
        <v>1</v>
      </c>
      <c r="Y1392" s="2">
        <v>45768</v>
      </c>
      <c r="Z1392" s="3" t="s">
        <v>118</v>
      </c>
      <c r="AA1392" t="s">
        <v>39</v>
      </c>
      <c r="AB1392" t="s">
        <v>40</v>
      </c>
      <c r="AC1392" t="s">
        <v>40</v>
      </c>
      <c r="AD1392" t="s">
        <v>184</v>
      </c>
    </row>
    <row r="1393" spans="2:30">
      <c r="B1393">
        <v>2</v>
      </c>
      <c r="C1393">
        <v>1020</v>
      </c>
      <c r="D1393" t="s">
        <v>181</v>
      </c>
      <c r="E1393">
        <v>14192329</v>
      </c>
      <c r="F1393" t="s">
        <v>1488</v>
      </c>
      <c r="G1393" t="s">
        <v>43</v>
      </c>
      <c r="H1393" t="s">
        <v>44</v>
      </c>
      <c r="I1393" t="s">
        <v>183</v>
      </c>
      <c r="J1393" t="s">
        <v>45</v>
      </c>
      <c r="K1393" t="s">
        <v>35</v>
      </c>
      <c r="L1393" t="s">
        <v>36</v>
      </c>
      <c r="M1393" t="s">
        <v>46</v>
      </c>
      <c r="N1393">
        <v>2</v>
      </c>
      <c r="O1393">
        <v>2</v>
      </c>
      <c r="P1393">
        <v>0</v>
      </c>
      <c r="Q1393">
        <v>22</v>
      </c>
      <c r="R1393" s="4">
        <v>1445.93</v>
      </c>
      <c r="S1393" t="str">
        <f t="shared" si="105"/>
        <v>PY: Media Crit.</v>
      </c>
      <c r="T1393">
        <f t="shared" si="106"/>
        <v>0</v>
      </c>
      <c r="U1393">
        <f t="shared" si="107"/>
        <v>0</v>
      </c>
      <c r="V1393">
        <f t="shared" si="108"/>
        <v>0</v>
      </c>
      <c r="W1393">
        <f t="shared" si="109"/>
        <v>1</v>
      </c>
      <c r="X1393">
        <v>1</v>
      </c>
      <c r="Y1393" s="2">
        <v>45768</v>
      </c>
      <c r="Z1393" s="3" t="s">
        <v>47</v>
      </c>
      <c r="AA1393" t="s">
        <v>39</v>
      </c>
      <c r="AB1393" t="s">
        <v>40</v>
      </c>
      <c r="AC1393" t="s">
        <v>40</v>
      </c>
      <c r="AD1393" t="s">
        <v>184</v>
      </c>
    </row>
    <row r="1394" spans="2:30">
      <c r="B1394">
        <v>2</v>
      </c>
      <c r="C1394">
        <v>1020</v>
      </c>
      <c r="D1394" t="s">
        <v>181</v>
      </c>
      <c r="E1394">
        <v>14192335</v>
      </c>
      <c r="F1394" t="s">
        <v>1489</v>
      </c>
      <c r="G1394" t="s">
        <v>43</v>
      </c>
      <c r="H1394" t="s">
        <v>44</v>
      </c>
      <c r="I1394" t="s">
        <v>183</v>
      </c>
      <c r="J1394" t="s">
        <v>45</v>
      </c>
      <c r="K1394" t="s">
        <v>35</v>
      </c>
      <c r="L1394" t="s">
        <v>36</v>
      </c>
      <c r="M1394" t="s">
        <v>46</v>
      </c>
      <c r="N1394">
        <v>2</v>
      </c>
      <c r="O1394">
        <v>2</v>
      </c>
      <c r="P1394">
        <v>0</v>
      </c>
      <c r="Q1394">
        <v>24</v>
      </c>
      <c r="R1394" s="4">
        <v>1502.49</v>
      </c>
      <c r="S1394" t="str">
        <f t="shared" si="105"/>
        <v>PY: Media Crit.</v>
      </c>
      <c r="T1394">
        <f t="shared" si="106"/>
        <v>0</v>
      </c>
      <c r="U1394">
        <f t="shared" si="107"/>
        <v>0</v>
      </c>
      <c r="V1394">
        <f t="shared" si="108"/>
        <v>0</v>
      </c>
      <c r="W1394">
        <f t="shared" si="109"/>
        <v>1</v>
      </c>
      <c r="X1394">
        <v>1</v>
      </c>
      <c r="Y1394" s="2">
        <v>45768</v>
      </c>
      <c r="Z1394" s="3" t="s">
        <v>47</v>
      </c>
      <c r="AA1394" t="s">
        <v>39</v>
      </c>
      <c r="AB1394" t="s">
        <v>40</v>
      </c>
      <c r="AC1394" t="s">
        <v>40</v>
      </c>
      <c r="AD1394" t="s">
        <v>184</v>
      </c>
    </row>
    <row r="1395" spans="2:30">
      <c r="B1395">
        <v>2</v>
      </c>
      <c r="C1395">
        <v>1020</v>
      </c>
      <c r="D1395" t="s">
        <v>181</v>
      </c>
      <c r="E1395">
        <v>14194655</v>
      </c>
      <c r="F1395" t="s">
        <v>1490</v>
      </c>
      <c r="G1395" t="s">
        <v>52</v>
      </c>
      <c r="H1395" t="s">
        <v>32</v>
      </c>
      <c r="I1395" t="s">
        <v>183</v>
      </c>
      <c r="J1395" t="s">
        <v>45</v>
      </c>
      <c r="K1395" t="s">
        <v>35</v>
      </c>
      <c r="L1395" t="s">
        <v>36</v>
      </c>
      <c r="M1395" t="s">
        <v>117</v>
      </c>
      <c r="N1395">
        <v>8</v>
      </c>
      <c r="O1395">
        <v>5</v>
      </c>
      <c r="P1395">
        <v>0</v>
      </c>
      <c r="Q1395">
        <v>4</v>
      </c>
      <c r="R1395" s="4">
        <v>8299.73</v>
      </c>
      <c r="S1395" t="str">
        <f t="shared" si="105"/>
        <v>PZ: Alta Crit.</v>
      </c>
      <c r="T1395">
        <f t="shared" si="106"/>
        <v>0</v>
      </c>
      <c r="U1395">
        <f t="shared" si="107"/>
        <v>0</v>
      </c>
      <c r="V1395">
        <f t="shared" si="108"/>
        <v>1</v>
      </c>
      <c r="W1395">
        <f t="shared" si="109"/>
        <v>0</v>
      </c>
      <c r="X1395">
        <v>1</v>
      </c>
      <c r="Y1395" s="2">
        <v>45768</v>
      </c>
      <c r="Z1395" s="3" t="s">
        <v>118</v>
      </c>
      <c r="AA1395" t="s">
        <v>39</v>
      </c>
      <c r="AB1395" t="s">
        <v>49</v>
      </c>
      <c r="AC1395" s="5" t="s">
        <v>50</v>
      </c>
      <c r="AD1395" t="s">
        <v>184</v>
      </c>
    </row>
    <row r="1396" spans="2:30">
      <c r="B1396">
        <v>2</v>
      </c>
      <c r="C1396">
        <v>1020</v>
      </c>
      <c r="D1396" t="s">
        <v>384</v>
      </c>
      <c r="E1396">
        <v>14196939</v>
      </c>
      <c r="F1396" t="s">
        <v>1491</v>
      </c>
      <c r="G1396" t="s">
        <v>31</v>
      </c>
      <c r="H1396" t="s">
        <v>60</v>
      </c>
      <c r="I1396" t="s">
        <v>386</v>
      </c>
      <c r="J1396" t="s">
        <v>45</v>
      </c>
      <c r="K1396" t="s">
        <v>35</v>
      </c>
      <c r="L1396" t="s">
        <v>175</v>
      </c>
      <c r="M1396" t="s">
        <v>46</v>
      </c>
      <c r="N1396">
        <v>0</v>
      </c>
      <c r="O1396">
        <v>0</v>
      </c>
      <c r="P1396">
        <v>0</v>
      </c>
      <c r="Q1396">
        <v>6</v>
      </c>
      <c r="R1396">
        <v>156.52000000000001</v>
      </c>
      <c r="S1396" t="str">
        <f t="shared" si="105"/>
        <v>PX: Baja Crit.</v>
      </c>
      <c r="T1396">
        <f t="shared" si="106"/>
        <v>0</v>
      </c>
      <c r="U1396">
        <f t="shared" si="107"/>
        <v>0</v>
      </c>
      <c r="V1396">
        <f t="shared" si="108"/>
        <v>0</v>
      </c>
      <c r="W1396">
        <f t="shared" si="109"/>
        <v>1</v>
      </c>
      <c r="X1396">
        <v>1</v>
      </c>
      <c r="Y1396" s="2">
        <v>45768</v>
      </c>
      <c r="Z1396" s="3" t="s">
        <v>47</v>
      </c>
      <c r="AA1396" t="s">
        <v>39</v>
      </c>
      <c r="AB1396" t="s">
        <v>40</v>
      </c>
      <c r="AC1396" t="s">
        <v>40</v>
      </c>
      <c r="AD1396" t="s">
        <v>387</v>
      </c>
    </row>
    <row r="1397" spans="2:30">
      <c r="B1397" s="6">
        <v>2</v>
      </c>
      <c r="C1397" s="6">
        <v>1020</v>
      </c>
      <c r="D1397" s="6" t="s">
        <v>181</v>
      </c>
      <c r="E1397" s="6">
        <v>14156518</v>
      </c>
      <c r="F1397" s="6" t="s">
        <v>1492</v>
      </c>
      <c r="G1397" s="6" t="s">
        <v>31</v>
      </c>
      <c r="H1397" s="6" t="s">
        <v>32</v>
      </c>
      <c r="I1397" s="6" t="s">
        <v>183</v>
      </c>
      <c r="J1397" s="6" t="s">
        <v>45</v>
      </c>
      <c r="K1397" s="6" t="s">
        <v>53</v>
      </c>
      <c r="L1397" s="6" t="s">
        <v>36</v>
      </c>
      <c r="M1397" s="6" t="s">
        <v>46</v>
      </c>
      <c r="N1397" s="13">
        <v>1664</v>
      </c>
      <c r="O1397" s="6">
        <v>832</v>
      </c>
      <c r="P1397" s="6">
        <v>208</v>
      </c>
      <c r="Q1397" s="13">
        <v>1248</v>
      </c>
      <c r="R1397" s="9">
        <v>9412.07</v>
      </c>
      <c r="S1397" s="6" t="str">
        <f t="shared" si="105"/>
        <v>PX: Baja Crit.</v>
      </c>
      <c r="T1397" s="6">
        <f t="shared" si="106"/>
        <v>0</v>
      </c>
      <c r="U1397" s="6">
        <f t="shared" si="107"/>
        <v>0</v>
      </c>
      <c r="V1397" s="6">
        <f t="shared" si="108"/>
        <v>1</v>
      </c>
      <c r="W1397" s="6">
        <f t="shared" si="109"/>
        <v>0</v>
      </c>
      <c r="X1397" s="6">
        <v>1</v>
      </c>
      <c r="Y1397" s="10">
        <v>45768</v>
      </c>
      <c r="Z1397" s="11" t="s">
        <v>47</v>
      </c>
      <c r="AA1397" s="6" t="s">
        <v>39</v>
      </c>
      <c r="AB1397" s="6" t="s">
        <v>40</v>
      </c>
      <c r="AC1397" s="6" t="s">
        <v>40</v>
      </c>
      <c r="AD1397" s="6" t="s">
        <v>184</v>
      </c>
    </row>
    <row r="1398" spans="2:30">
      <c r="B1398">
        <v>2</v>
      </c>
      <c r="C1398">
        <v>1020</v>
      </c>
      <c r="D1398" t="s">
        <v>388</v>
      </c>
      <c r="E1398">
        <v>14210822</v>
      </c>
      <c r="F1398" t="s">
        <v>1493</v>
      </c>
      <c r="G1398" t="s">
        <v>31</v>
      </c>
      <c r="H1398" t="s">
        <v>44</v>
      </c>
      <c r="I1398" t="s">
        <v>390</v>
      </c>
      <c r="J1398" t="s">
        <v>45</v>
      </c>
      <c r="K1398" t="s">
        <v>35</v>
      </c>
      <c r="L1398" t="s">
        <v>175</v>
      </c>
      <c r="M1398" t="s">
        <v>69</v>
      </c>
      <c r="N1398">
        <v>0</v>
      </c>
      <c r="O1398">
        <v>0</v>
      </c>
      <c r="P1398">
        <v>2</v>
      </c>
      <c r="Q1398">
        <v>2</v>
      </c>
      <c r="R1398" s="4">
        <v>1487.55</v>
      </c>
      <c r="S1398" t="str">
        <f t="shared" si="105"/>
        <v>PX: Baja Crit.</v>
      </c>
      <c r="T1398">
        <f t="shared" si="106"/>
        <v>0</v>
      </c>
      <c r="U1398">
        <f t="shared" si="107"/>
        <v>1</v>
      </c>
      <c r="V1398">
        <f t="shared" si="108"/>
        <v>0</v>
      </c>
      <c r="W1398">
        <f t="shared" si="109"/>
        <v>1</v>
      </c>
      <c r="X1398">
        <v>1</v>
      </c>
      <c r="Y1398" s="2">
        <v>45768</v>
      </c>
      <c r="Z1398" s="3" t="s">
        <v>70</v>
      </c>
      <c r="AA1398" t="s">
        <v>39</v>
      </c>
      <c r="AB1398" t="s">
        <v>40</v>
      </c>
      <c r="AC1398" t="s">
        <v>40</v>
      </c>
      <c r="AD1398" t="s">
        <v>391</v>
      </c>
    </row>
    <row r="1399" spans="2:30">
      <c r="B1399">
        <v>2</v>
      </c>
      <c r="C1399">
        <v>1020</v>
      </c>
      <c r="D1399" t="s">
        <v>181</v>
      </c>
      <c r="E1399">
        <v>14214678</v>
      </c>
      <c r="F1399" t="s">
        <v>1494</v>
      </c>
      <c r="G1399" t="s">
        <v>31</v>
      </c>
      <c r="H1399" t="s">
        <v>44</v>
      </c>
      <c r="I1399" t="s">
        <v>183</v>
      </c>
      <c r="J1399" t="s">
        <v>45</v>
      </c>
      <c r="K1399" t="s">
        <v>35</v>
      </c>
      <c r="L1399" t="s">
        <v>36</v>
      </c>
      <c r="M1399" t="s">
        <v>69</v>
      </c>
      <c r="N1399">
        <v>5</v>
      </c>
      <c r="O1399">
        <v>3</v>
      </c>
      <c r="P1399">
        <v>0</v>
      </c>
      <c r="Q1399">
        <v>4</v>
      </c>
      <c r="R1399" s="4">
        <v>1726.41</v>
      </c>
      <c r="S1399" t="str">
        <f t="shared" si="105"/>
        <v>PX: Baja Crit.</v>
      </c>
      <c r="T1399">
        <f t="shared" si="106"/>
        <v>0</v>
      </c>
      <c r="U1399">
        <f t="shared" si="107"/>
        <v>0</v>
      </c>
      <c r="V1399">
        <f t="shared" si="108"/>
        <v>1</v>
      </c>
      <c r="W1399">
        <f t="shared" si="109"/>
        <v>0</v>
      </c>
      <c r="X1399">
        <v>1</v>
      </c>
      <c r="Y1399" s="2">
        <v>45768</v>
      </c>
      <c r="Z1399" s="3" t="s">
        <v>70</v>
      </c>
      <c r="AA1399" t="s">
        <v>39</v>
      </c>
      <c r="AB1399" t="s">
        <v>40</v>
      </c>
      <c r="AC1399" t="s">
        <v>40</v>
      </c>
      <c r="AD1399" t="s">
        <v>184</v>
      </c>
    </row>
    <row r="1400" spans="2:30">
      <c r="B1400">
        <v>2</v>
      </c>
      <c r="C1400">
        <v>1020</v>
      </c>
      <c r="D1400" t="s">
        <v>181</v>
      </c>
      <c r="E1400">
        <v>14214681</v>
      </c>
      <c r="F1400" t="s">
        <v>1495</v>
      </c>
      <c r="G1400" t="s">
        <v>31</v>
      </c>
      <c r="H1400" t="s">
        <v>44</v>
      </c>
      <c r="I1400" t="s">
        <v>183</v>
      </c>
      <c r="J1400" t="s">
        <v>45</v>
      </c>
      <c r="K1400" t="s">
        <v>35</v>
      </c>
      <c r="L1400" t="s">
        <v>36</v>
      </c>
      <c r="M1400" t="s">
        <v>69</v>
      </c>
      <c r="N1400">
        <v>5</v>
      </c>
      <c r="O1400">
        <v>3</v>
      </c>
      <c r="P1400">
        <v>0</v>
      </c>
      <c r="Q1400">
        <v>5</v>
      </c>
      <c r="R1400" s="4">
        <v>2598.7399999999998</v>
      </c>
      <c r="S1400" t="str">
        <f t="shared" si="105"/>
        <v>PX: Baja Crit.</v>
      </c>
      <c r="T1400">
        <f t="shared" si="106"/>
        <v>0</v>
      </c>
      <c r="U1400">
        <f t="shared" si="107"/>
        <v>0</v>
      </c>
      <c r="V1400">
        <f t="shared" si="108"/>
        <v>1</v>
      </c>
      <c r="W1400">
        <f t="shared" si="109"/>
        <v>0</v>
      </c>
      <c r="X1400">
        <v>1</v>
      </c>
      <c r="Y1400" s="2">
        <v>45768</v>
      </c>
      <c r="Z1400" s="3" t="s">
        <v>70</v>
      </c>
      <c r="AA1400" t="s">
        <v>39</v>
      </c>
      <c r="AB1400" t="s">
        <v>40</v>
      </c>
      <c r="AC1400" t="s">
        <v>40</v>
      </c>
      <c r="AD1400" t="s">
        <v>184</v>
      </c>
    </row>
    <row r="1401" spans="2:30">
      <c r="B1401">
        <v>2</v>
      </c>
      <c r="C1401">
        <v>1020</v>
      </c>
      <c r="D1401" t="s">
        <v>181</v>
      </c>
      <c r="E1401">
        <v>14218090</v>
      </c>
      <c r="F1401" s="6" t="s">
        <v>1496</v>
      </c>
      <c r="G1401" t="s">
        <v>43</v>
      </c>
      <c r="H1401" t="s">
        <v>60</v>
      </c>
      <c r="I1401" t="s">
        <v>183</v>
      </c>
      <c r="J1401" t="s">
        <v>45</v>
      </c>
      <c r="K1401" t="s">
        <v>35</v>
      </c>
      <c r="L1401" t="s">
        <v>36</v>
      </c>
      <c r="M1401" t="s">
        <v>37</v>
      </c>
      <c r="N1401">
        <v>2</v>
      </c>
      <c r="O1401">
        <v>1</v>
      </c>
      <c r="P1401">
        <v>0</v>
      </c>
      <c r="Q1401">
        <v>2</v>
      </c>
      <c r="R1401" s="4">
        <v>1582.3</v>
      </c>
      <c r="S1401" t="str">
        <f t="shared" si="105"/>
        <v>PY: Media Crit.</v>
      </c>
      <c r="T1401">
        <f t="shared" si="106"/>
        <v>0</v>
      </c>
      <c r="U1401">
        <f t="shared" si="107"/>
        <v>0</v>
      </c>
      <c r="V1401">
        <f t="shared" si="108"/>
        <v>1</v>
      </c>
      <c r="W1401">
        <f t="shared" si="109"/>
        <v>0</v>
      </c>
      <c r="X1401">
        <v>1</v>
      </c>
      <c r="Y1401" s="2">
        <v>45768</v>
      </c>
      <c r="Z1401" s="3" t="s">
        <v>38</v>
      </c>
      <c r="AA1401" t="s">
        <v>39</v>
      </c>
      <c r="AB1401" t="s">
        <v>40</v>
      </c>
      <c r="AC1401" t="s">
        <v>40</v>
      </c>
      <c r="AD1401" t="s">
        <v>184</v>
      </c>
    </row>
    <row r="1402" spans="2:30">
      <c r="B1402">
        <v>2</v>
      </c>
      <c r="C1402">
        <v>1020</v>
      </c>
      <c r="D1402" t="s">
        <v>181</v>
      </c>
      <c r="E1402">
        <v>14219622</v>
      </c>
      <c r="F1402" t="s">
        <v>1497</v>
      </c>
      <c r="G1402" t="s">
        <v>52</v>
      </c>
      <c r="H1402" t="s">
        <v>44</v>
      </c>
      <c r="I1402" t="s">
        <v>183</v>
      </c>
      <c r="J1402" t="s">
        <v>45</v>
      </c>
      <c r="K1402" t="s">
        <v>35</v>
      </c>
      <c r="L1402" t="s">
        <v>36</v>
      </c>
      <c r="M1402" t="s">
        <v>69</v>
      </c>
      <c r="N1402">
        <v>6</v>
      </c>
      <c r="O1402">
        <v>4</v>
      </c>
      <c r="P1402">
        <v>0</v>
      </c>
      <c r="Q1402">
        <v>6</v>
      </c>
      <c r="R1402" s="4">
        <v>9295.7900000000009</v>
      </c>
      <c r="S1402" t="str">
        <f t="shared" si="105"/>
        <v>PZ: Alta Crit.</v>
      </c>
      <c r="T1402">
        <f t="shared" si="106"/>
        <v>0</v>
      </c>
      <c r="U1402">
        <f t="shared" si="107"/>
        <v>0</v>
      </c>
      <c r="V1402">
        <f t="shared" si="108"/>
        <v>1</v>
      </c>
      <c r="W1402">
        <f t="shared" si="109"/>
        <v>0</v>
      </c>
      <c r="X1402">
        <v>1</v>
      </c>
      <c r="Y1402" s="2">
        <v>45768</v>
      </c>
      <c r="Z1402" s="3" t="s">
        <v>70</v>
      </c>
      <c r="AA1402" t="s">
        <v>39</v>
      </c>
      <c r="AB1402" t="s">
        <v>40</v>
      </c>
      <c r="AC1402" t="s">
        <v>40</v>
      </c>
      <c r="AD1402" t="s">
        <v>184</v>
      </c>
    </row>
    <row r="1403" spans="2:30">
      <c r="B1403">
        <v>2</v>
      </c>
      <c r="C1403">
        <v>1020</v>
      </c>
      <c r="D1403" t="s">
        <v>181</v>
      </c>
      <c r="E1403">
        <v>14219624</v>
      </c>
      <c r="F1403" t="s">
        <v>1498</v>
      </c>
      <c r="G1403" t="s">
        <v>52</v>
      </c>
      <c r="H1403" t="s">
        <v>44</v>
      </c>
      <c r="I1403" t="s">
        <v>183</v>
      </c>
      <c r="J1403" t="s">
        <v>45</v>
      </c>
      <c r="K1403" t="s">
        <v>35</v>
      </c>
      <c r="L1403" t="s">
        <v>36</v>
      </c>
      <c r="M1403" t="s">
        <v>69</v>
      </c>
      <c r="N1403">
        <v>10</v>
      </c>
      <c r="O1403">
        <v>5</v>
      </c>
      <c r="P1403">
        <v>0</v>
      </c>
      <c r="Q1403">
        <v>7</v>
      </c>
      <c r="R1403" s="4">
        <v>13756.3</v>
      </c>
      <c r="S1403" t="str">
        <f t="shared" si="105"/>
        <v>PZ: Alta Crit.</v>
      </c>
      <c r="T1403">
        <f t="shared" si="106"/>
        <v>0</v>
      </c>
      <c r="U1403">
        <f t="shared" si="107"/>
        <v>0</v>
      </c>
      <c r="V1403">
        <f t="shared" si="108"/>
        <v>1</v>
      </c>
      <c r="W1403">
        <f t="shared" si="109"/>
        <v>0</v>
      </c>
      <c r="X1403">
        <v>1</v>
      </c>
      <c r="Y1403" s="2">
        <v>45768</v>
      </c>
      <c r="Z1403" s="3" t="s">
        <v>70</v>
      </c>
      <c r="AA1403" t="s">
        <v>39</v>
      </c>
      <c r="AB1403" t="s">
        <v>40</v>
      </c>
      <c r="AC1403" t="s">
        <v>40</v>
      </c>
      <c r="AD1403" t="s">
        <v>184</v>
      </c>
    </row>
    <row r="1404" spans="2:30">
      <c r="B1404">
        <v>2</v>
      </c>
      <c r="C1404">
        <v>1020</v>
      </c>
      <c r="D1404" t="s">
        <v>181</v>
      </c>
      <c r="E1404">
        <v>14221738</v>
      </c>
      <c r="F1404" t="s">
        <v>1499</v>
      </c>
      <c r="G1404" t="s">
        <v>31</v>
      </c>
      <c r="H1404" t="s">
        <v>44</v>
      </c>
      <c r="I1404" t="s">
        <v>183</v>
      </c>
      <c r="J1404" t="s">
        <v>45</v>
      </c>
      <c r="K1404" t="s">
        <v>35</v>
      </c>
      <c r="L1404" t="s">
        <v>36</v>
      </c>
      <c r="M1404" t="s">
        <v>37</v>
      </c>
      <c r="N1404">
        <v>20</v>
      </c>
      <c r="O1404">
        <v>11</v>
      </c>
      <c r="P1404">
        <v>0</v>
      </c>
      <c r="Q1404">
        <v>20</v>
      </c>
      <c r="R1404" s="4">
        <v>11868.26</v>
      </c>
      <c r="S1404" t="str">
        <f t="shared" si="105"/>
        <v>PX: Baja Crit.</v>
      </c>
      <c r="T1404">
        <f t="shared" si="106"/>
        <v>0</v>
      </c>
      <c r="U1404">
        <f t="shared" si="107"/>
        <v>0</v>
      </c>
      <c r="V1404">
        <f t="shared" si="108"/>
        <v>1</v>
      </c>
      <c r="W1404">
        <f t="shared" si="109"/>
        <v>0</v>
      </c>
      <c r="X1404">
        <v>1</v>
      </c>
      <c r="Y1404" s="2">
        <v>45768</v>
      </c>
      <c r="Z1404" s="3" t="s">
        <v>38</v>
      </c>
      <c r="AA1404" t="s">
        <v>39</v>
      </c>
      <c r="AB1404" t="s">
        <v>40</v>
      </c>
      <c r="AC1404" t="s">
        <v>40</v>
      </c>
      <c r="AD1404" t="s">
        <v>184</v>
      </c>
    </row>
    <row r="1405" spans="2:30">
      <c r="B1405">
        <v>2</v>
      </c>
      <c r="C1405">
        <v>1020</v>
      </c>
      <c r="D1405" t="s">
        <v>181</v>
      </c>
      <c r="E1405">
        <v>14221961</v>
      </c>
      <c r="F1405" t="s">
        <v>1500</v>
      </c>
      <c r="G1405" t="s">
        <v>43</v>
      </c>
      <c r="H1405" t="s">
        <v>60</v>
      </c>
      <c r="I1405" t="s">
        <v>183</v>
      </c>
      <c r="J1405" t="s">
        <v>45</v>
      </c>
      <c r="K1405" t="s">
        <v>35</v>
      </c>
      <c r="L1405" t="s">
        <v>36</v>
      </c>
      <c r="M1405" t="s">
        <v>117</v>
      </c>
      <c r="N1405">
        <v>4</v>
      </c>
      <c r="O1405">
        <v>3</v>
      </c>
      <c r="P1405">
        <v>0</v>
      </c>
      <c r="Q1405">
        <v>4</v>
      </c>
      <c r="R1405">
        <v>640</v>
      </c>
      <c r="S1405" t="str">
        <f t="shared" si="105"/>
        <v>PY: Media Crit.</v>
      </c>
      <c r="T1405">
        <f t="shared" si="106"/>
        <v>0</v>
      </c>
      <c r="U1405">
        <f t="shared" si="107"/>
        <v>0</v>
      </c>
      <c r="V1405">
        <f t="shared" si="108"/>
        <v>1</v>
      </c>
      <c r="W1405">
        <f t="shared" si="109"/>
        <v>0</v>
      </c>
      <c r="X1405">
        <v>1</v>
      </c>
      <c r="Y1405" s="2">
        <v>45768</v>
      </c>
      <c r="Z1405" s="3" t="s">
        <v>118</v>
      </c>
      <c r="AA1405" t="s">
        <v>39</v>
      </c>
      <c r="AB1405" t="s">
        <v>40</v>
      </c>
      <c r="AC1405" t="s">
        <v>40</v>
      </c>
      <c r="AD1405" t="s">
        <v>184</v>
      </c>
    </row>
    <row r="1406" spans="2:30">
      <c r="B1406">
        <v>2</v>
      </c>
      <c r="C1406">
        <v>1020</v>
      </c>
      <c r="D1406" t="s">
        <v>181</v>
      </c>
      <c r="E1406">
        <v>14221976</v>
      </c>
      <c r="F1406" t="s">
        <v>1501</v>
      </c>
      <c r="G1406" t="s">
        <v>43</v>
      </c>
      <c r="H1406" t="s">
        <v>60</v>
      </c>
      <c r="I1406" t="s">
        <v>183</v>
      </c>
      <c r="J1406" t="s">
        <v>45</v>
      </c>
      <c r="K1406" t="s">
        <v>35</v>
      </c>
      <c r="L1406" t="s">
        <v>36</v>
      </c>
      <c r="M1406" t="s">
        <v>117</v>
      </c>
      <c r="N1406">
        <v>4</v>
      </c>
      <c r="O1406">
        <v>3</v>
      </c>
      <c r="P1406">
        <v>0</v>
      </c>
      <c r="Q1406">
        <v>4</v>
      </c>
      <c r="R1406">
        <v>640</v>
      </c>
      <c r="S1406" t="str">
        <f t="shared" si="105"/>
        <v>PY: Media Crit.</v>
      </c>
      <c r="T1406">
        <f t="shared" si="106"/>
        <v>0</v>
      </c>
      <c r="U1406">
        <f t="shared" si="107"/>
        <v>0</v>
      </c>
      <c r="V1406">
        <f t="shared" si="108"/>
        <v>1</v>
      </c>
      <c r="W1406">
        <f t="shared" si="109"/>
        <v>0</v>
      </c>
      <c r="X1406">
        <v>1</v>
      </c>
      <c r="Y1406" s="2">
        <v>45768</v>
      </c>
      <c r="Z1406" s="3" t="s">
        <v>118</v>
      </c>
      <c r="AA1406" t="s">
        <v>39</v>
      </c>
      <c r="AB1406" t="s">
        <v>40</v>
      </c>
      <c r="AC1406" t="s">
        <v>40</v>
      </c>
      <c r="AD1406" t="s">
        <v>184</v>
      </c>
    </row>
    <row r="1407" spans="2:30">
      <c r="B1407">
        <v>2</v>
      </c>
      <c r="C1407">
        <v>1020</v>
      </c>
      <c r="D1407" t="s">
        <v>181</v>
      </c>
      <c r="E1407">
        <v>14227406</v>
      </c>
      <c r="F1407" t="s">
        <v>1502</v>
      </c>
      <c r="G1407" t="s">
        <v>52</v>
      </c>
      <c r="H1407" t="s">
        <v>60</v>
      </c>
      <c r="I1407" t="s">
        <v>183</v>
      </c>
      <c r="J1407" t="s">
        <v>45</v>
      </c>
      <c r="K1407" t="s">
        <v>35</v>
      </c>
      <c r="L1407" t="s">
        <v>36</v>
      </c>
      <c r="M1407" t="s">
        <v>117</v>
      </c>
      <c r="N1407">
        <v>3</v>
      </c>
      <c r="O1407">
        <v>2</v>
      </c>
      <c r="P1407">
        <v>0</v>
      </c>
      <c r="Q1407">
        <v>3</v>
      </c>
      <c r="R1407" s="4">
        <v>2436</v>
      </c>
      <c r="S1407" t="str">
        <f t="shared" si="105"/>
        <v>PZ: Alta Crit.</v>
      </c>
      <c r="T1407">
        <f t="shared" si="106"/>
        <v>0</v>
      </c>
      <c r="U1407">
        <f t="shared" si="107"/>
        <v>0</v>
      </c>
      <c r="V1407">
        <f t="shared" si="108"/>
        <v>1</v>
      </c>
      <c r="W1407">
        <f t="shared" si="109"/>
        <v>0</v>
      </c>
      <c r="X1407">
        <v>1</v>
      </c>
      <c r="Y1407" s="2">
        <v>45768</v>
      </c>
      <c r="Z1407" s="3" t="s">
        <v>118</v>
      </c>
      <c r="AA1407" t="s">
        <v>39</v>
      </c>
      <c r="AB1407" t="s">
        <v>40</v>
      </c>
      <c r="AC1407" t="s">
        <v>40</v>
      </c>
      <c r="AD1407" t="s">
        <v>184</v>
      </c>
    </row>
    <row r="1408" spans="2:30">
      <c r="B1408">
        <v>2</v>
      </c>
      <c r="C1408">
        <v>1020</v>
      </c>
      <c r="D1408" t="s">
        <v>181</v>
      </c>
      <c r="E1408">
        <v>14227412</v>
      </c>
      <c r="F1408" t="s">
        <v>1503</v>
      </c>
      <c r="G1408" t="s">
        <v>43</v>
      </c>
      <c r="H1408" t="s">
        <v>60</v>
      </c>
      <c r="I1408" t="s">
        <v>183</v>
      </c>
      <c r="J1408" t="s">
        <v>45</v>
      </c>
      <c r="K1408" t="s">
        <v>35</v>
      </c>
      <c r="L1408" t="s">
        <v>36</v>
      </c>
      <c r="M1408" t="s">
        <v>117</v>
      </c>
      <c r="N1408">
        <v>3</v>
      </c>
      <c r="O1408">
        <v>2</v>
      </c>
      <c r="P1408">
        <v>0</v>
      </c>
      <c r="Q1408">
        <v>3</v>
      </c>
      <c r="R1408" s="4">
        <v>6510</v>
      </c>
      <c r="S1408" t="str">
        <f t="shared" si="105"/>
        <v>PY: Media Crit.</v>
      </c>
      <c r="T1408">
        <f t="shared" si="106"/>
        <v>0</v>
      </c>
      <c r="U1408">
        <f t="shared" si="107"/>
        <v>0</v>
      </c>
      <c r="V1408">
        <f t="shared" si="108"/>
        <v>1</v>
      </c>
      <c r="W1408">
        <f t="shared" si="109"/>
        <v>0</v>
      </c>
      <c r="X1408">
        <v>1</v>
      </c>
      <c r="Y1408" s="2">
        <v>45768</v>
      </c>
      <c r="Z1408" s="3" t="s">
        <v>118</v>
      </c>
      <c r="AA1408" t="s">
        <v>39</v>
      </c>
      <c r="AB1408" t="s">
        <v>40</v>
      </c>
      <c r="AC1408" t="s">
        <v>40</v>
      </c>
      <c r="AD1408" t="s">
        <v>184</v>
      </c>
    </row>
    <row r="1409" spans="2:30">
      <c r="B1409">
        <v>2</v>
      </c>
      <c r="C1409">
        <v>1020</v>
      </c>
      <c r="D1409" t="s">
        <v>181</v>
      </c>
      <c r="E1409">
        <v>14231201</v>
      </c>
      <c r="F1409" t="s">
        <v>1504</v>
      </c>
      <c r="G1409" t="s">
        <v>52</v>
      </c>
      <c r="H1409" t="s">
        <v>44</v>
      </c>
      <c r="I1409" t="s">
        <v>183</v>
      </c>
      <c r="J1409" t="s">
        <v>45</v>
      </c>
      <c r="K1409" t="s">
        <v>35</v>
      </c>
      <c r="L1409" t="s">
        <v>36</v>
      </c>
      <c r="M1409" t="s">
        <v>46</v>
      </c>
      <c r="N1409">
        <v>12</v>
      </c>
      <c r="O1409">
        <v>6</v>
      </c>
      <c r="P1409">
        <v>0</v>
      </c>
      <c r="Q1409">
        <v>7</v>
      </c>
      <c r="R1409" s="4">
        <v>2295.0500000000002</v>
      </c>
      <c r="S1409" t="str">
        <f t="shared" si="105"/>
        <v>PZ: Alta Crit.</v>
      </c>
      <c r="T1409">
        <f t="shared" si="106"/>
        <v>0</v>
      </c>
      <c r="U1409">
        <f t="shared" si="107"/>
        <v>0</v>
      </c>
      <c r="V1409">
        <f t="shared" si="108"/>
        <v>1</v>
      </c>
      <c r="W1409">
        <f t="shared" si="109"/>
        <v>0</v>
      </c>
      <c r="X1409">
        <v>1</v>
      </c>
      <c r="Y1409" s="2">
        <v>45768</v>
      </c>
      <c r="Z1409" s="3" t="s">
        <v>47</v>
      </c>
      <c r="AA1409" t="s">
        <v>39</v>
      </c>
      <c r="AB1409" t="s">
        <v>40</v>
      </c>
      <c r="AC1409" t="s">
        <v>40</v>
      </c>
      <c r="AD1409" t="s">
        <v>184</v>
      </c>
    </row>
    <row r="1410" spans="2:30">
      <c r="B1410">
        <v>2</v>
      </c>
      <c r="C1410">
        <v>1020</v>
      </c>
      <c r="D1410" t="s">
        <v>181</v>
      </c>
      <c r="E1410">
        <v>14231942</v>
      </c>
      <c r="F1410" t="s">
        <v>1505</v>
      </c>
      <c r="G1410" t="s">
        <v>52</v>
      </c>
      <c r="H1410" t="s">
        <v>44</v>
      </c>
      <c r="I1410" t="s">
        <v>183</v>
      </c>
      <c r="J1410" t="s">
        <v>45</v>
      </c>
      <c r="K1410" t="s">
        <v>35</v>
      </c>
      <c r="L1410" t="s">
        <v>36</v>
      </c>
      <c r="M1410" t="s">
        <v>46</v>
      </c>
      <c r="N1410">
        <v>12</v>
      </c>
      <c r="O1410">
        <v>6</v>
      </c>
      <c r="P1410">
        <v>0</v>
      </c>
      <c r="Q1410">
        <v>12</v>
      </c>
      <c r="R1410" s="4">
        <v>1010.54</v>
      </c>
      <c r="S1410" t="str">
        <f t="shared" ref="S1410:S1473" si="110">+IF(G1410="PZ", "PZ: Alta Crit.",IF(G1410="PY","PY: Media Crit.", "PX: Baja Crit."))</f>
        <v>PZ: Alta Crit.</v>
      </c>
      <c r="T1410">
        <f t="shared" ref="T1410:T1473" si="111">+IF(Q1410=0,1,0)</f>
        <v>0</v>
      </c>
      <c r="U1410">
        <f t="shared" ref="U1410:U1473" si="112">+IF(AND(Q1410&lt;=P1410,Q1410&gt;0),1,0)</f>
        <v>0</v>
      </c>
      <c r="V1410">
        <f t="shared" ref="V1410:V1473" si="113">+IF(AND(Q1410&gt;P1410,Q1410&lt;=N1410),1,0)</f>
        <v>1</v>
      </c>
      <c r="W1410">
        <f t="shared" ref="W1410:W1473" si="114">+IF(Q1410&gt;N1410,1,0)</f>
        <v>0</v>
      </c>
      <c r="X1410">
        <v>1</v>
      </c>
      <c r="Y1410" s="2">
        <v>45768</v>
      </c>
      <c r="Z1410" s="3" t="s">
        <v>47</v>
      </c>
      <c r="AA1410" t="s">
        <v>39</v>
      </c>
      <c r="AB1410" t="s">
        <v>40</v>
      </c>
      <c r="AC1410" t="s">
        <v>40</v>
      </c>
      <c r="AD1410" t="s">
        <v>184</v>
      </c>
    </row>
    <row r="1411" spans="2:30">
      <c r="B1411">
        <v>2</v>
      </c>
      <c r="C1411">
        <v>1020</v>
      </c>
      <c r="D1411" t="s">
        <v>388</v>
      </c>
      <c r="E1411">
        <v>14234855</v>
      </c>
      <c r="F1411" t="s">
        <v>1506</v>
      </c>
      <c r="G1411" t="s">
        <v>31</v>
      </c>
      <c r="H1411" t="s">
        <v>44</v>
      </c>
      <c r="I1411" t="s">
        <v>390</v>
      </c>
      <c r="J1411" t="s">
        <v>45</v>
      </c>
      <c r="K1411" t="s">
        <v>260</v>
      </c>
      <c r="L1411" t="s">
        <v>175</v>
      </c>
      <c r="M1411" t="s">
        <v>46</v>
      </c>
      <c r="N1411">
        <v>0</v>
      </c>
      <c r="O1411">
        <v>0</v>
      </c>
      <c r="P1411">
        <v>4</v>
      </c>
      <c r="Q1411">
        <v>4</v>
      </c>
      <c r="R1411" s="4">
        <v>1846.44</v>
      </c>
      <c r="S1411" t="str">
        <f t="shared" si="110"/>
        <v>PX: Baja Crit.</v>
      </c>
      <c r="T1411">
        <f t="shared" si="111"/>
        <v>0</v>
      </c>
      <c r="U1411">
        <f t="shared" si="112"/>
        <v>1</v>
      </c>
      <c r="V1411">
        <f t="shared" si="113"/>
        <v>0</v>
      </c>
      <c r="W1411">
        <f t="shared" si="114"/>
        <v>1</v>
      </c>
      <c r="X1411">
        <v>1</v>
      </c>
      <c r="Y1411" s="2">
        <v>45768</v>
      </c>
      <c r="Z1411" s="3" t="s">
        <v>47</v>
      </c>
      <c r="AA1411" t="s">
        <v>39</v>
      </c>
      <c r="AB1411" t="s">
        <v>40</v>
      </c>
      <c r="AC1411" t="s">
        <v>40</v>
      </c>
      <c r="AD1411" t="s">
        <v>391</v>
      </c>
    </row>
    <row r="1412" spans="2:30">
      <c r="B1412">
        <v>2</v>
      </c>
      <c r="C1412">
        <v>1020</v>
      </c>
      <c r="D1412" t="s">
        <v>388</v>
      </c>
      <c r="E1412">
        <v>14234856</v>
      </c>
      <c r="F1412" t="s">
        <v>1507</v>
      </c>
      <c r="G1412" t="s">
        <v>31</v>
      </c>
      <c r="H1412" t="s">
        <v>44</v>
      </c>
      <c r="I1412" t="s">
        <v>390</v>
      </c>
      <c r="J1412" t="s">
        <v>45</v>
      </c>
      <c r="K1412" t="s">
        <v>260</v>
      </c>
      <c r="L1412" t="s">
        <v>175</v>
      </c>
      <c r="M1412" t="s">
        <v>37</v>
      </c>
      <c r="N1412">
        <v>0</v>
      </c>
      <c r="O1412">
        <v>0</v>
      </c>
      <c r="P1412">
        <v>4</v>
      </c>
      <c r="Q1412">
        <v>8</v>
      </c>
      <c r="R1412" s="4">
        <v>3078.84</v>
      </c>
      <c r="S1412" t="str">
        <f t="shared" si="110"/>
        <v>PX: Baja Crit.</v>
      </c>
      <c r="T1412">
        <f t="shared" si="111"/>
        <v>0</v>
      </c>
      <c r="U1412">
        <f t="shared" si="112"/>
        <v>0</v>
      </c>
      <c r="V1412">
        <f t="shared" si="113"/>
        <v>0</v>
      </c>
      <c r="W1412">
        <f t="shared" si="114"/>
        <v>1</v>
      </c>
      <c r="X1412">
        <v>1</v>
      </c>
      <c r="Y1412" s="2">
        <v>45768</v>
      </c>
      <c r="Z1412" s="3" t="s">
        <v>38</v>
      </c>
      <c r="AA1412" t="s">
        <v>39</v>
      </c>
      <c r="AB1412" t="s">
        <v>40</v>
      </c>
      <c r="AC1412" t="s">
        <v>40</v>
      </c>
      <c r="AD1412" t="s">
        <v>391</v>
      </c>
    </row>
    <row r="1413" spans="2:30">
      <c r="B1413">
        <v>2</v>
      </c>
      <c r="C1413">
        <v>1020</v>
      </c>
      <c r="D1413" t="s">
        <v>388</v>
      </c>
      <c r="E1413">
        <v>14236434</v>
      </c>
      <c r="F1413" t="s">
        <v>1508</v>
      </c>
      <c r="G1413" t="s">
        <v>31</v>
      </c>
      <c r="H1413" t="s">
        <v>44</v>
      </c>
      <c r="I1413" t="s">
        <v>390</v>
      </c>
      <c r="J1413" t="s">
        <v>45</v>
      </c>
      <c r="K1413" t="s">
        <v>35</v>
      </c>
      <c r="L1413" t="s">
        <v>175</v>
      </c>
      <c r="M1413" t="s">
        <v>117</v>
      </c>
      <c r="N1413">
        <v>0</v>
      </c>
      <c r="O1413">
        <v>0</v>
      </c>
      <c r="P1413">
        <v>4</v>
      </c>
      <c r="Q1413">
        <v>6</v>
      </c>
      <c r="R1413" s="4">
        <v>12900</v>
      </c>
      <c r="S1413" t="str">
        <f t="shared" si="110"/>
        <v>PX: Baja Crit.</v>
      </c>
      <c r="T1413">
        <f t="shared" si="111"/>
        <v>0</v>
      </c>
      <c r="U1413">
        <f t="shared" si="112"/>
        <v>0</v>
      </c>
      <c r="V1413">
        <f t="shared" si="113"/>
        <v>0</v>
      </c>
      <c r="W1413">
        <f t="shared" si="114"/>
        <v>1</v>
      </c>
      <c r="X1413">
        <v>1</v>
      </c>
      <c r="Y1413" s="2">
        <v>45768</v>
      </c>
      <c r="Z1413" s="3" t="s">
        <v>118</v>
      </c>
      <c r="AA1413" t="s">
        <v>39</v>
      </c>
      <c r="AB1413" t="s">
        <v>40</v>
      </c>
      <c r="AC1413" t="s">
        <v>40</v>
      </c>
      <c r="AD1413" t="s">
        <v>391</v>
      </c>
    </row>
    <row r="1414" spans="2:30">
      <c r="B1414">
        <v>2</v>
      </c>
      <c r="C1414">
        <v>1020</v>
      </c>
      <c r="D1414" t="s">
        <v>181</v>
      </c>
      <c r="E1414">
        <v>14238561</v>
      </c>
      <c r="F1414" t="s">
        <v>1509</v>
      </c>
      <c r="G1414" t="s">
        <v>31</v>
      </c>
      <c r="H1414" t="s">
        <v>44</v>
      </c>
      <c r="I1414" t="s">
        <v>183</v>
      </c>
      <c r="J1414" t="s">
        <v>45</v>
      </c>
      <c r="K1414" t="s">
        <v>35</v>
      </c>
      <c r="L1414" t="s">
        <v>36</v>
      </c>
      <c r="M1414" t="s">
        <v>37</v>
      </c>
      <c r="N1414">
        <v>15</v>
      </c>
      <c r="O1414">
        <v>6</v>
      </c>
      <c r="P1414">
        <v>0</v>
      </c>
      <c r="Q1414">
        <v>15</v>
      </c>
      <c r="R1414" s="4">
        <v>6224.35</v>
      </c>
      <c r="S1414" t="str">
        <f t="shared" si="110"/>
        <v>PX: Baja Crit.</v>
      </c>
      <c r="T1414">
        <f t="shared" si="111"/>
        <v>0</v>
      </c>
      <c r="U1414">
        <f t="shared" si="112"/>
        <v>0</v>
      </c>
      <c r="V1414">
        <f t="shared" si="113"/>
        <v>1</v>
      </c>
      <c r="W1414">
        <f t="shared" si="114"/>
        <v>0</v>
      </c>
      <c r="X1414">
        <v>1</v>
      </c>
      <c r="Y1414" s="2">
        <v>45768</v>
      </c>
      <c r="Z1414" s="3" t="s">
        <v>38</v>
      </c>
      <c r="AA1414" t="s">
        <v>39</v>
      </c>
      <c r="AB1414" t="s">
        <v>40</v>
      </c>
      <c r="AC1414" t="s">
        <v>40</v>
      </c>
      <c r="AD1414" t="s">
        <v>184</v>
      </c>
    </row>
    <row r="1415" spans="2:30">
      <c r="B1415">
        <v>2</v>
      </c>
      <c r="C1415">
        <v>1020</v>
      </c>
      <c r="D1415" t="s">
        <v>388</v>
      </c>
      <c r="E1415">
        <v>14245698</v>
      </c>
      <c r="F1415" t="s">
        <v>1510</v>
      </c>
      <c r="G1415" t="s">
        <v>52</v>
      </c>
      <c r="H1415" t="s">
        <v>60</v>
      </c>
      <c r="I1415" t="s">
        <v>390</v>
      </c>
      <c r="J1415" t="s">
        <v>45</v>
      </c>
      <c r="K1415" t="s">
        <v>35</v>
      </c>
      <c r="L1415" t="s">
        <v>175</v>
      </c>
      <c r="M1415" t="s">
        <v>117</v>
      </c>
      <c r="N1415">
        <v>0</v>
      </c>
      <c r="O1415">
        <v>0</v>
      </c>
      <c r="P1415">
        <v>1</v>
      </c>
      <c r="Q1415">
        <v>1</v>
      </c>
      <c r="R1415" s="4">
        <v>3150</v>
      </c>
      <c r="S1415" t="str">
        <f t="shared" si="110"/>
        <v>PZ: Alta Crit.</v>
      </c>
      <c r="T1415">
        <f t="shared" si="111"/>
        <v>0</v>
      </c>
      <c r="U1415">
        <f t="shared" si="112"/>
        <v>1</v>
      </c>
      <c r="V1415">
        <f t="shared" si="113"/>
        <v>0</v>
      </c>
      <c r="W1415">
        <f t="shared" si="114"/>
        <v>1</v>
      </c>
      <c r="X1415">
        <v>1</v>
      </c>
      <c r="Y1415" s="2">
        <v>45768</v>
      </c>
      <c r="Z1415" s="3" t="s">
        <v>118</v>
      </c>
      <c r="AA1415" t="s">
        <v>39</v>
      </c>
      <c r="AB1415" t="s">
        <v>40</v>
      </c>
      <c r="AC1415" t="s">
        <v>40</v>
      </c>
      <c r="AD1415" t="s">
        <v>391</v>
      </c>
    </row>
    <row r="1416" spans="2:30">
      <c r="B1416">
        <v>2</v>
      </c>
      <c r="C1416">
        <v>1020</v>
      </c>
      <c r="D1416" t="s">
        <v>181</v>
      </c>
      <c r="E1416">
        <v>14250389</v>
      </c>
      <c r="F1416" t="s">
        <v>1511</v>
      </c>
      <c r="G1416" t="s">
        <v>43</v>
      </c>
      <c r="H1416" t="s">
        <v>60</v>
      </c>
      <c r="I1416" t="s">
        <v>183</v>
      </c>
      <c r="J1416" t="s">
        <v>45</v>
      </c>
      <c r="K1416" t="s">
        <v>35</v>
      </c>
      <c r="L1416" t="s">
        <v>36</v>
      </c>
      <c r="M1416" t="s">
        <v>46</v>
      </c>
      <c r="N1416">
        <v>4</v>
      </c>
      <c r="O1416">
        <v>2</v>
      </c>
      <c r="P1416">
        <v>0</v>
      </c>
      <c r="Q1416">
        <v>4</v>
      </c>
      <c r="R1416">
        <v>215.65</v>
      </c>
      <c r="S1416" t="str">
        <f t="shared" si="110"/>
        <v>PY: Media Crit.</v>
      </c>
      <c r="T1416">
        <f t="shared" si="111"/>
        <v>0</v>
      </c>
      <c r="U1416">
        <f t="shared" si="112"/>
        <v>0</v>
      </c>
      <c r="V1416">
        <f t="shared" si="113"/>
        <v>1</v>
      </c>
      <c r="W1416">
        <f t="shared" si="114"/>
        <v>0</v>
      </c>
      <c r="X1416">
        <v>1</v>
      </c>
      <c r="Y1416" s="2">
        <v>45768</v>
      </c>
      <c r="Z1416" s="3" t="s">
        <v>47</v>
      </c>
      <c r="AA1416" t="s">
        <v>39</v>
      </c>
      <c r="AB1416" t="s">
        <v>40</v>
      </c>
      <c r="AC1416" t="s">
        <v>40</v>
      </c>
      <c r="AD1416" t="s">
        <v>184</v>
      </c>
    </row>
    <row r="1417" spans="2:30">
      <c r="B1417">
        <v>2</v>
      </c>
      <c r="C1417">
        <v>1020</v>
      </c>
      <c r="D1417" t="s">
        <v>181</v>
      </c>
      <c r="E1417">
        <v>14250390</v>
      </c>
      <c r="F1417" t="s">
        <v>1512</v>
      </c>
      <c r="G1417" t="s">
        <v>43</v>
      </c>
      <c r="H1417" t="s">
        <v>60</v>
      </c>
      <c r="I1417" t="s">
        <v>183</v>
      </c>
      <c r="J1417" t="s">
        <v>45</v>
      </c>
      <c r="K1417" t="s">
        <v>35</v>
      </c>
      <c r="L1417" t="s">
        <v>36</v>
      </c>
      <c r="M1417" t="s">
        <v>46</v>
      </c>
      <c r="N1417">
        <v>4</v>
      </c>
      <c r="O1417">
        <v>2</v>
      </c>
      <c r="P1417">
        <v>0</v>
      </c>
      <c r="Q1417">
        <v>4</v>
      </c>
      <c r="R1417">
        <v>594.29999999999995</v>
      </c>
      <c r="S1417" t="str">
        <f t="shared" si="110"/>
        <v>PY: Media Crit.</v>
      </c>
      <c r="T1417">
        <f t="shared" si="111"/>
        <v>0</v>
      </c>
      <c r="U1417">
        <f t="shared" si="112"/>
        <v>0</v>
      </c>
      <c r="V1417">
        <f t="shared" si="113"/>
        <v>1</v>
      </c>
      <c r="W1417">
        <f t="shared" si="114"/>
        <v>0</v>
      </c>
      <c r="X1417">
        <v>1</v>
      </c>
      <c r="Y1417" s="2">
        <v>45768</v>
      </c>
      <c r="Z1417" s="3" t="s">
        <v>47</v>
      </c>
      <c r="AA1417" t="s">
        <v>39</v>
      </c>
      <c r="AB1417" t="s">
        <v>40</v>
      </c>
      <c r="AC1417" t="s">
        <v>40</v>
      </c>
      <c r="AD1417" t="s">
        <v>184</v>
      </c>
    </row>
    <row r="1418" spans="2:30">
      <c r="B1418">
        <v>2</v>
      </c>
      <c r="C1418">
        <v>1020</v>
      </c>
      <c r="D1418" t="s">
        <v>181</v>
      </c>
      <c r="E1418">
        <v>14250391</v>
      </c>
      <c r="F1418" t="s">
        <v>1513</v>
      </c>
      <c r="G1418" t="s">
        <v>43</v>
      </c>
      <c r="H1418" t="s">
        <v>60</v>
      </c>
      <c r="I1418" t="s">
        <v>183</v>
      </c>
      <c r="J1418" t="s">
        <v>45</v>
      </c>
      <c r="K1418" t="s">
        <v>35</v>
      </c>
      <c r="L1418" t="s">
        <v>36</v>
      </c>
      <c r="M1418" t="s">
        <v>46</v>
      </c>
      <c r="N1418">
        <v>4</v>
      </c>
      <c r="O1418">
        <v>2</v>
      </c>
      <c r="P1418">
        <v>0</v>
      </c>
      <c r="Q1418">
        <v>4</v>
      </c>
      <c r="R1418">
        <v>173.54</v>
      </c>
      <c r="S1418" t="str">
        <f t="shared" si="110"/>
        <v>PY: Media Crit.</v>
      </c>
      <c r="T1418">
        <f t="shared" si="111"/>
        <v>0</v>
      </c>
      <c r="U1418">
        <f t="shared" si="112"/>
        <v>0</v>
      </c>
      <c r="V1418">
        <f t="shared" si="113"/>
        <v>1</v>
      </c>
      <c r="W1418">
        <f t="shared" si="114"/>
        <v>0</v>
      </c>
      <c r="X1418">
        <v>1</v>
      </c>
      <c r="Y1418" s="2">
        <v>45768</v>
      </c>
      <c r="Z1418" s="3" t="s">
        <v>47</v>
      </c>
      <c r="AA1418" t="s">
        <v>39</v>
      </c>
      <c r="AB1418" t="s">
        <v>40</v>
      </c>
      <c r="AC1418" t="s">
        <v>40</v>
      </c>
      <c r="AD1418" t="s">
        <v>184</v>
      </c>
    </row>
    <row r="1419" spans="2:30">
      <c r="B1419">
        <v>2</v>
      </c>
      <c r="C1419">
        <v>1020</v>
      </c>
      <c r="D1419" t="s">
        <v>181</v>
      </c>
      <c r="E1419">
        <v>14251623</v>
      </c>
      <c r="F1419" t="s">
        <v>1514</v>
      </c>
      <c r="G1419" t="s">
        <v>43</v>
      </c>
      <c r="H1419" t="s">
        <v>60</v>
      </c>
      <c r="I1419" t="s">
        <v>183</v>
      </c>
      <c r="J1419" t="s">
        <v>45</v>
      </c>
      <c r="K1419" t="s">
        <v>35</v>
      </c>
      <c r="L1419" t="s">
        <v>36</v>
      </c>
      <c r="M1419" t="s">
        <v>46</v>
      </c>
      <c r="N1419">
        <v>2</v>
      </c>
      <c r="O1419">
        <v>2</v>
      </c>
      <c r="P1419">
        <v>0</v>
      </c>
      <c r="Q1419">
        <v>2</v>
      </c>
      <c r="R1419">
        <v>826.21</v>
      </c>
      <c r="S1419" t="str">
        <f t="shared" si="110"/>
        <v>PY: Media Crit.</v>
      </c>
      <c r="T1419">
        <f t="shared" si="111"/>
        <v>0</v>
      </c>
      <c r="U1419">
        <f t="shared" si="112"/>
        <v>0</v>
      </c>
      <c r="V1419">
        <f t="shared" si="113"/>
        <v>1</v>
      </c>
      <c r="W1419">
        <f t="shared" si="114"/>
        <v>0</v>
      </c>
      <c r="X1419">
        <v>1</v>
      </c>
      <c r="Y1419" s="2">
        <v>45768</v>
      </c>
      <c r="Z1419" s="3" t="s">
        <v>47</v>
      </c>
      <c r="AA1419" t="s">
        <v>39</v>
      </c>
      <c r="AB1419" t="s">
        <v>40</v>
      </c>
      <c r="AC1419" t="s">
        <v>40</v>
      </c>
      <c r="AD1419" t="s">
        <v>184</v>
      </c>
    </row>
    <row r="1420" spans="2:30">
      <c r="B1420">
        <v>2</v>
      </c>
      <c r="C1420">
        <v>1020</v>
      </c>
      <c r="D1420" t="s">
        <v>384</v>
      </c>
      <c r="E1420">
        <v>14254113</v>
      </c>
      <c r="F1420" t="s">
        <v>1515</v>
      </c>
      <c r="G1420" t="s">
        <v>52</v>
      </c>
      <c r="H1420" t="s">
        <v>32</v>
      </c>
      <c r="I1420" t="s">
        <v>386</v>
      </c>
      <c r="J1420" t="s">
        <v>45</v>
      </c>
      <c r="K1420" t="s">
        <v>80</v>
      </c>
      <c r="L1420" t="s">
        <v>175</v>
      </c>
      <c r="M1420" t="s">
        <v>37</v>
      </c>
      <c r="N1420">
        <v>0</v>
      </c>
      <c r="O1420">
        <v>0</v>
      </c>
      <c r="P1420">
        <v>0</v>
      </c>
      <c r="Q1420">
        <v>0</v>
      </c>
      <c r="R1420">
        <v>621.07000000000005</v>
      </c>
      <c r="S1420" t="str">
        <f t="shared" si="110"/>
        <v>PZ: Alta Crit.</v>
      </c>
      <c r="T1420">
        <f t="shared" si="111"/>
        <v>1</v>
      </c>
      <c r="U1420">
        <f t="shared" si="112"/>
        <v>0</v>
      </c>
      <c r="V1420">
        <f t="shared" si="113"/>
        <v>0</v>
      </c>
      <c r="W1420">
        <f t="shared" si="114"/>
        <v>0</v>
      </c>
      <c r="X1420">
        <v>1</v>
      </c>
      <c r="Y1420" s="2">
        <v>45768</v>
      </c>
      <c r="Z1420" s="3" t="s">
        <v>38</v>
      </c>
      <c r="AA1420" t="s">
        <v>39</v>
      </c>
      <c r="AB1420" t="s">
        <v>76</v>
      </c>
      <c r="AC1420" s="5" t="s">
        <v>77</v>
      </c>
      <c r="AD1420" t="s">
        <v>387</v>
      </c>
    </row>
    <row r="1421" spans="2:30">
      <c r="B1421">
        <v>2</v>
      </c>
      <c r="C1421">
        <v>1020</v>
      </c>
      <c r="D1421" t="s">
        <v>388</v>
      </c>
      <c r="E1421">
        <v>14256742</v>
      </c>
      <c r="F1421" t="s">
        <v>1516</v>
      </c>
      <c r="G1421" t="s">
        <v>52</v>
      </c>
      <c r="H1421" t="s">
        <v>44</v>
      </c>
      <c r="I1421" t="s">
        <v>390</v>
      </c>
      <c r="J1421" t="s">
        <v>45</v>
      </c>
      <c r="K1421" t="s">
        <v>35</v>
      </c>
      <c r="L1421" t="s">
        <v>175</v>
      </c>
      <c r="M1421" t="s">
        <v>69</v>
      </c>
      <c r="N1421">
        <v>0</v>
      </c>
      <c r="O1421">
        <v>0</v>
      </c>
      <c r="P1421">
        <v>1</v>
      </c>
      <c r="Q1421">
        <v>1</v>
      </c>
      <c r="R1421" s="4">
        <v>3047.97</v>
      </c>
      <c r="S1421" t="str">
        <f t="shared" si="110"/>
        <v>PZ: Alta Crit.</v>
      </c>
      <c r="T1421">
        <f t="shared" si="111"/>
        <v>0</v>
      </c>
      <c r="U1421">
        <f t="shared" si="112"/>
        <v>1</v>
      </c>
      <c r="V1421">
        <f t="shared" si="113"/>
        <v>0</v>
      </c>
      <c r="W1421">
        <f t="shared" si="114"/>
        <v>1</v>
      </c>
      <c r="X1421">
        <v>1</v>
      </c>
      <c r="Y1421" s="2">
        <v>45768</v>
      </c>
      <c r="Z1421" s="3" t="s">
        <v>70</v>
      </c>
      <c r="AA1421" t="s">
        <v>39</v>
      </c>
      <c r="AB1421" t="s">
        <v>40</v>
      </c>
      <c r="AC1421" t="s">
        <v>40</v>
      </c>
      <c r="AD1421" t="s">
        <v>391</v>
      </c>
    </row>
    <row r="1422" spans="2:30">
      <c r="B1422">
        <v>2</v>
      </c>
      <c r="C1422">
        <v>1020</v>
      </c>
      <c r="D1422" t="s">
        <v>388</v>
      </c>
      <c r="E1422">
        <v>14266102</v>
      </c>
      <c r="F1422" t="s">
        <v>1517</v>
      </c>
      <c r="G1422" t="s">
        <v>43</v>
      </c>
      <c r="H1422" t="s">
        <v>44</v>
      </c>
      <c r="I1422" t="s">
        <v>390</v>
      </c>
      <c r="J1422" t="s">
        <v>45</v>
      </c>
      <c r="K1422" t="s">
        <v>35</v>
      </c>
      <c r="L1422" t="s">
        <v>175</v>
      </c>
      <c r="M1422" t="s">
        <v>69</v>
      </c>
      <c r="N1422">
        <v>0</v>
      </c>
      <c r="O1422">
        <v>0</v>
      </c>
      <c r="P1422">
        <v>2</v>
      </c>
      <c r="Q1422">
        <v>2</v>
      </c>
      <c r="R1422" s="4">
        <v>9925.8700000000008</v>
      </c>
      <c r="S1422" t="str">
        <f t="shared" si="110"/>
        <v>PY: Media Crit.</v>
      </c>
      <c r="T1422">
        <f t="shared" si="111"/>
        <v>0</v>
      </c>
      <c r="U1422">
        <f t="shared" si="112"/>
        <v>1</v>
      </c>
      <c r="V1422">
        <f t="shared" si="113"/>
        <v>0</v>
      </c>
      <c r="W1422">
        <f t="shared" si="114"/>
        <v>1</v>
      </c>
      <c r="X1422">
        <v>1</v>
      </c>
      <c r="Y1422" s="2">
        <v>45768</v>
      </c>
      <c r="Z1422" s="3" t="s">
        <v>70</v>
      </c>
      <c r="AA1422" t="s">
        <v>39</v>
      </c>
      <c r="AB1422" t="s">
        <v>40</v>
      </c>
      <c r="AC1422" t="s">
        <v>40</v>
      </c>
      <c r="AD1422" t="s">
        <v>391</v>
      </c>
    </row>
    <row r="1423" spans="2:30">
      <c r="B1423">
        <v>2</v>
      </c>
      <c r="C1423">
        <v>1020</v>
      </c>
      <c r="D1423" t="s">
        <v>181</v>
      </c>
      <c r="E1423">
        <v>14268782</v>
      </c>
      <c r="F1423" t="s">
        <v>1518</v>
      </c>
      <c r="G1423" t="s">
        <v>43</v>
      </c>
      <c r="H1423" t="s">
        <v>44</v>
      </c>
      <c r="I1423" t="s">
        <v>183</v>
      </c>
      <c r="J1423" t="s">
        <v>45</v>
      </c>
      <c r="K1423" t="s">
        <v>35</v>
      </c>
      <c r="L1423" t="s">
        <v>36</v>
      </c>
      <c r="M1423" t="s">
        <v>46</v>
      </c>
      <c r="N1423">
        <v>4</v>
      </c>
      <c r="O1423">
        <v>3</v>
      </c>
      <c r="P1423">
        <v>0</v>
      </c>
      <c r="Q1423">
        <v>4</v>
      </c>
      <c r="R1423" s="4">
        <v>1482.58</v>
      </c>
      <c r="S1423" t="str">
        <f t="shared" si="110"/>
        <v>PY: Media Crit.</v>
      </c>
      <c r="T1423">
        <f t="shared" si="111"/>
        <v>0</v>
      </c>
      <c r="U1423">
        <f t="shared" si="112"/>
        <v>0</v>
      </c>
      <c r="V1423">
        <f t="shared" si="113"/>
        <v>1</v>
      </c>
      <c r="W1423">
        <f t="shared" si="114"/>
        <v>0</v>
      </c>
      <c r="X1423">
        <v>1</v>
      </c>
      <c r="Y1423" s="2">
        <v>45768</v>
      </c>
      <c r="Z1423" s="3" t="s">
        <v>47</v>
      </c>
      <c r="AA1423" t="s">
        <v>39</v>
      </c>
      <c r="AB1423" t="s">
        <v>40</v>
      </c>
      <c r="AC1423" t="s">
        <v>40</v>
      </c>
      <c r="AD1423" t="s">
        <v>184</v>
      </c>
    </row>
    <row r="1424" spans="2:30">
      <c r="B1424">
        <v>2</v>
      </c>
      <c r="C1424">
        <v>1020</v>
      </c>
      <c r="D1424" t="s">
        <v>388</v>
      </c>
      <c r="E1424">
        <v>14269863</v>
      </c>
      <c r="F1424" t="s">
        <v>1519</v>
      </c>
      <c r="G1424" t="s">
        <v>43</v>
      </c>
      <c r="H1424" t="s">
        <v>60</v>
      </c>
      <c r="I1424" t="s">
        <v>390</v>
      </c>
      <c r="J1424" t="s">
        <v>45</v>
      </c>
      <c r="K1424" t="s">
        <v>35</v>
      </c>
      <c r="L1424" t="s">
        <v>175</v>
      </c>
      <c r="M1424" t="s">
        <v>117</v>
      </c>
      <c r="N1424">
        <v>0</v>
      </c>
      <c r="O1424">
        <v>0</v>
      </c>
      <c r="P1424">
        <v>2</v>
      </c>
      <c r="Q1424">
        <v>2</v>
      </c>
      <c r="R1424">
        <v>427.23</v>
      </c>
      <c r="S1424" t="str">
        <f t="shared" si="110"/>
        <v>PY: Media Crit.</v>
      </c>
      <c r="T1424">
        <f t="shared" si="111"/>
        <v>0</v>
      </c>
      <c r="U1424">
        <f t="shared" si="112"/>
        <v>1</v>
      </c>
      <c r="V1424">
        <f t="shared" si="113"/>
        <v>0</v>
      </c>
      <c r="W1424">
        <f t="shared" si="114"/>
        <v>1</v>
      </c>
      <c r="X1424">
        <v>1</v>
      </c>
      <c r="Y1424" s="2">
        <v>45768</v>
      </c>
      <c r="Z1424" s="3" t="s">
        <v>118</v>
      </c>
      <c r="AA1424" t="s">
        <v>39</v>
      </c>
      <c r="AB1424" t="s">
        <v>40</v>
      </c>
      <c r="AC1424" t="s">
        <v>40</v>
      </c>
      <c r="AD1424" t="s">
        <v>391</v>
      </c>
    </row>
    <row r="1425" spans="2:30">
      <c r="B1425">
        <v>2</v>
      </c>
      <c r="C1425">
        <v>1020</v>
      </c>
      <c r="D1425" t="s">
        <v>388</v>
      </c>
      <c r="E1425">
        <v>14270168</v>
      </c>
      <c r="F1425" t="s">
        <v>1520</v>
      </c>
      <c r="G1425" t="s">
        <v>52</v>
      </c>
      <c r="H1425" t="s">
        <v>44</v>
      </c>
      <c r="I1425" t="s">
        <v>390</v>
      </c>
      <c r="J1425" t="s">
        <v>45</v>
      </c>
      <c r="K1425" t="s">
        <v>35</v>
      </c>
      <c r="L1425" t="s">
        <v>175</v>
      </c>
      <c r="M1425" t="s">
        <v>69</v>
      </c>
      <c r="N1425">
        <v>0</v>
      </c>
      <c r="O1425">
        <v>0</v>
      </c>
      <c r="P1425">
        <v>1</v>
      </c>
      <c r="Q1425">
        <v>17</v>
      </c>
      <c r="R1425" s="4">
        <v>29790.15</v>
      </c>
      <c r="S1425" t="str">
        <f t="shared" si="110"/>
        <v>PZ: Alta Crit.</v>
      </c>
      <c r="T1425">
        <f t="shared" si="111"/>
        <v>0</v>
      </c>
      <c r="U1425">
        <f t="shared" si="112"/>
        <v>0</v>
      </c>
      <c r="V1425">
        <f t="shared" si="113"/>
        <v>0</v>
      </c>
      <c r="W1425">
        <f t="shared" si="114"/>
        <v>1</v>
      </c>
      <c r="X1425">
        <v>1</v>
      </c>
      <c r="Y1425" s="2">
        <v>45768</v>
      </c>
      <c r="Z1425" s="3" t="s">
        <v>70</v>
      </c>
      <c r="AA1425" t="s">
        <v>39</v>
      </c>
      <c r="AB1425" t="s">
        <v>40</v>
      </c>
      <c r="AC1425" t="s">
        <v>40</v>
      </c>
      <c r="AD1425" t="s">
        <v>391</v>
      </c>
    </row>
    <row r="1426" spans="2:30">
      <c r="B1426">
        <v>2</v>
      </c>
      <c r="C1426">
        <v>1020</v>
      </c>
      <c r="D1426" t="s">
        <v>388</v>
      </c>
      <c r="E1426">
        <v>14270177</v>
      </c>
      <c r="F1426" t="s">
        <v>1521</v>
      </c>
      <c r="G1426" t="s">
        <v>52</v>
      </c>
      <c r="H1426" t="s">
        <v>44</v>
      </c>
      <c r="I1426" t="s">
        <v>390</v>
      </c>
      <c r="J1426" t="s">
        <v>45</v>
      </c>
      <c r="K1426" t="s">
        <v>35</v>
      </c>
      <c r="L1426" t="s">
        <v>175</v>
      </c>
      <c r="M1426" t="s">
        <v>69</v>
      </c>
      <c r="N1426">
        <v>0</v>
      </c>
      <c r="O1426">
        <v>0</v>
      </c>
      <c r="P1426">
        <v>1</v>
      </c>
      <c r="Q1426">
        <v>1</v>
      </c>
      <c r="R1426">
        <v>331.16</v>
      </c>
      <c r="S1426" t="str">
        <f t="shared" si="110"/>
        <v>PZ: Alta Crit.</v>
      </c>
      <c r="T1426">
        <f t="shared" si="111"/>
        <v>0</v>
      </c>
      <c r="U1426">
        <f t="shared" si="112"/>
        <v>1</v>
      </c>
      <c r="V1426">
        <f t="shared" si="113"/>
        <v>0</v>
      </c>
      <c r="W1426">
        <f t="shared" si="114"/>
        <v>1</v>
      </c>
      <c r="X1426">
        <v>1</v>
      </c>
      <c r="Y1426" s="2">
        <v>45768</v>
      </c>
      <c r="Z1426" s="3" t="s">
        <v>70</v>
      </c>
      <c r="AA1426" t="s">
        <v>39</v>
      </c>
      <c r="AB1426" t="s">
        <v>40</v>
      </c>
      <c r="AC1426" t="s">
        <v>40</v>
      </c>
      <c r="AD1426" t="s">
        <v>391</v>
      </c>
    </row>
    <row r="1427" spans="2:30">
      <c r="B1427">
        <v>2</v>
      </c>
      <c r="C1427">
        <v>1020</v>
      </c>
      <c r="D1427" t="s">
        <v>388</v>
      </c>
      <c r="E1427">
        <v>14274957</v>
      </c>
      <c r="F1427" t="s">
        <v>1521</v>
      </c>
      <c r="G1427" t="s">
        <v>43</v>
      </c>
      <c r="H1427" t="s">
        <v>60</v>
      </c>
      <c r="I1427" t="s">
        <v>390</v>
      </c>
      <c r="J1427" t="s">
        <v>45</v>
      </c>
      <c r="K1427" t="s">
        <v>35</v>
      </c>
      <c r="L1427" t="s">
        <v>175</v>
      </c>
      <c r="M1427" t="s">
        <v>69</v>
      </c>
      <c r="N1427">
        <v>0</v>
      </c>
      <c r="O1427">
        <v>0</v>
      </c>
      <c r="P1427">
        <v>2</v>
      </c>
      <c r="Q1427">
        <v>72</v>
      </c>
      <c r="R1427" s="4">
        <v>23219.24</v>
      </c>
      <c r="S1427" t="str">
        <f t="shared" si="110"/>
        <v>PY: Media Crit.</v>
      </c>
      <c r="T1427">
        <f t="shared" si="111"/>
        <v>0</v>
      </c>
      <c r="U1427">
        <f t="shared" si="112"/>
        <v>0</v>
      </c>
      <c r="V1427">
        <f t="shared" si="113"/>
        <v>0</v>
      </c>
      <c r="W1427">
        <f t="shared" si="114"/>
        <v>1</v>
      </c>
      <c r="X1427">
        <v>1</v>
      </c>
      <c r="Y1427" s="2">
        <v>45768</v>
      </c>
      <c r="Z1427" s="3" t="s">
        <v>70</v>
      </c>
      <c r="AA1427" t="s">
        <v>39</v>
      </c>
      <c r="AB1427" t="s">
        <v>40</v>
      </c>
      <c r="AC1427" t="s">
        <v>40</v>
      </c>
      <c r="AD1427" t="s">
        <v>391</v>
      </c>
    </row>
    <row r="1428" spans="2:30">
      <c r="B1428">
        <v>2</v>
      </c>
      <c r="C1428">
        <v>1020</v>
      </c>
      <c r="D1428" t="s">
        <v>181</v>
      </c>
      <c r="E1428">
        <v>14274959</v>
      </c>
      <c r="F1428" t="s">
        <v>1522</v>
      </c>
      <c r="G1428" t="s">
        <v>43</v>
      </c>
      <c r="H1428" t="s">
        <v>32</v>
      </c>
      <c r="I1428" t="s">
        <v>183</v>
      </c>
      <c r="J1428" t="s">
        <v>45</v>
      </c>
      <c r="K1428" t="s">
        <v>35</v>
      </c>
      <c r="L1428" t="s">
        <v>36</v>
      </c>
      <c r="M1428" t="s">
        <v>55</v>
      </c>
      <c r="N1428">
        <v>100</v>
      </c>
      <c r="O1428">
        <v>51</v>
      </c>
      <c r="P1428">
        <v>0</v>
      </c>
      <c r="Q1428">
        <v>0</v>
      </c>
      <c r="R1428">
        <v>0</v>
      </c>
      <c r="S1428" t="str">
        <f t="shared" si="110"/>
        <v>PY: Media Crit.</v>
      </c>
      <c r="T1428">
        <f t="shared" si="111"/>
        <v>1</v>
      </c>
      <c r="U1428">
        <f t="shared" si="112"/>
        <v>0</v>
      </c>
      <c r="V1428">
        <f t="shared" si="113"/>
        <v>0</v>
      </c>
      <c r="W1428">
        <f t="shared" si="114"/>
        <v>0</v>
      </c>
      <c r="X1428">
        <v>1</v>
      </c>
      <c r="Y1428" s="2">
        <v>45768</v>
      </c>
      <c r="Z1428" s="3" t="s">
        <v>56</v>
      </c>
      <c r="AA1428" t="s">
        <v>39</v>
      </c>
      <c r="AB1428" t="s">
        <v>49</v>
      </c>
      <c r="AC1428" s="5" t="s">
        <v>50</v>
      </c>
      <c r="AD1428" t="s">
        <v>184</v>
      </c>
    </row>
    <row r="1429" spans="2:30">
      <c r="B1429">
        <v>2</v>
      </c>
      <c r="C1429">
        <v>1020</v>
      </c>
      <c r="D1429" t="s">
        <v>388</v>
      </c>
      <c r="E1429">
        <v>14274971</v>
      </c>
      <c r="F1429" t="s">
        <v>1523</v>
      </c>
      <c r="G1429" t="s">
        <v>43</v>
      </c>
      <c r="H1429" t="s">
        <v>60</v>
      </c>
      <c r="I1429" t="s">
        <v>390</v>
      </c>
      <c r="J1429" t="s">
        <v>45</v>
      </c>
      <c r="K1429" t="s">
        <v>35</v>
      </c>
      <c r="L1429" t="s">
        <v>175</v>
      </c>
      <c r="M1429" t="s">
        <v>69</v>
      </c>
      <c r="N1429">
        <v>0</v>
      </c>
      <c r="O1429">
        <v>0</v>
      </c>
      <c r="P1429">
        <v>2</v>
      </c>
      <c r="Q1429">
        <v>64</v>
      </c>
      <c r="R1429" s="4">
        <v>19129.57</v>
      </c>
      <c r="S1429" t="str">
        <f t="shared" si="110"/>
        <v>PY: Media Crit.</v>
      </c>
      <c r="T1429">
        <f t="shared" si="111"/>
        <v>0</v>
      </c>
      <c r="U1429">
        <f t="shared" si="112"/>
        <v>0</v>
      </c>
      <c r="V1429">
        <f t="shared" si="113"/>
        <v>0</v>
      </c>
      <c r="W1429">
        <f t="shared" si="114"/>
        <v>1</v>
      </c>
      <c r="X1429">
        <v>1</v>
      </c>
      <c r="Y1429" s="2">
        <v>45768</v>
      </c>
      <c r="Z1429" s="3" t="s">
        <v>70</v>
      </c>
      <c r="AA1429" t="s">
        <v>39</v>
      </c>
      <c r="AB1429" t="s">
        <v>40</v>
      </c>
      <c r="AC1429" t="s">
        <v>40</v>
      </c>
      <c r="AD1429" t="s">
        <v>391</v>
      </c>
    </row>
    <row r="1430" spans="2:30">
      <c r="B1430">
        <v>2</v>
      </c>
      <c r="C1430">
        <v>1020</v>
      </c>
      <c r="D1430" t="s">
        <v>388</v>
      </c>
      <c r="E1430">
        <v>14274973</v>
      </c>
      <c r="F1430" t="s">
        <v>1524</v>
      </c>
      <c r="G1430" t="s">
        <v>43</v>
      </c>
      <c r="H1430" t="s">
        <v>60</v>
      </c>
      <c r="I1430" t="s">
        <v>390</v>
      </c>
      <c r="J1430" t="s">
        <v>45</v>
      </c>
      <c r="K1430" t="s">
        <v>35</v>
      </c>
      <c r="L1430" t="s">
        <v>175</v>
      </c>
      <c r="M1430" t="s">
        <v>69</v>
      </c>
      <c r="N1430">
        <v>0</v>
      </c>
      <c r="O1430">
        <v>0</v>
      </c>
      <c r="P1430">
        <v>2</v>
      </c>
      <c r="Q1430">
        <v>4</v>
      </c>
      <c r="R1430" s="4">
        <v>1651.32</v>
      </c>
      <c r="S1430" t="str">
        <f t="shared" si="110"/>
        <v>PY: Media Crit.</v>
      </c>
      <c r="T1430">
        <f t="shared" si="111"/>
        <v>0</v>
      </c>
      <c r="U1430">
        <f t="shared" si="112"/>
        <v>0</v>
      </c>
      <c r="V1430">
        <f t="shared" si="113"/>
        <v>0</v>
      </c>
      <c r="W1430">
        <f t="shared" si="114"/>
        <v>1</v>
      </c>
      <c r="X1430">
        <v>1</v>
      </c>
      <c r="Y1430" s="2">
        <v>45768</v>
      </c>
      <c r="Z1430" s="3" t="s">
        <v>70</v>
      </c>
      <c r="AA1430" t="s">
        <v>39</v>
      </c>
      <c r="AB1430" t="s">
        <v>40</v>
      </c>
      <c r="AC1430" t="s">
        <v>40</v>
      </c>
      <c r="AD1430" t="s">
        <v>391</v>
      </c>
    </row>
    <row r="1431" spans="2:30">
      <c r="B1431">
        <v>2</v>
      </c>
      <c r="C1431">
        <v>1020</v>
      </c>
      <c r="D1431" t="s">
        <v>181</v>
      </c>
      <c r="E1431">
        <v>14276312</v>
      </c>
      <c r="F1431" t="s">
        <v>1525</v>
      </c>
      <c r="G1431" t="s">
        <v>43</v>
      </c>
      <c r="H1431" t="s">
        <v>60</v>
      </c>
      <c r="I1431" t="s">
        <v>183</v>
      </c>
      <c r="J1431" t="s">
        <v>45</v>
      </c>
      <c r="K1431" t="s">
        <v>35</v>
      </c>
      <c r="L1431" t="s">
        <v>36</v>
      </c>
      <c r="M1431" t="s">
        <v>69</v>
      </c>
      <c r="N1431">
        <v>305</v>
      </c>
      <c r="O1431">
        <v>305</v>
      </c>
      <c r="P1431">
        <v>0</v>
      </c>
      <c r="Q1431">
        <v>305</v>
      </c>
      <c r="R1431" s="4">
        <v>8918.74</v>
      </c>
      <c r="S1431" t="str">
        <f t="shared" si="110"/>
        <v>PY: Media Crit.</v>
      </c>
      <c r="T1431">
        <f t="shared" si="111"/>
        <v>0</v>
      </c>
      <c r="U1431">
        <f t="shared" si="112"/>
        <v>0</v>
      </c>
      <c r="V1431">
        <f t="shared" si="113"/>
        <v>1</v>
      </c>
      <c r="W1431">
        <f t="shared" si="114"/>
        <v>0</v>
      </c>
      <c r="X1431">
        <v>1</v>
      </c>
      <c r="Y1431" s="2">
        <v>45768</v>
      </c>
      <c r="Z1431" s="3" t="s">
        <v>70</v>
      </c>
      <c r="AA1431" t="s">
        <v>39</v>
      </c>
      <c r="AB1431" t="s">
        <v>40</v>
      </c>
      <c r="AC1431" t="s">
        <v>40</v>
      </c>
      <c r="AD1431" t="s">
        <v>184</v>
      </c>
    </row>
    <row r="1432" spans="2:30">
      <c r="B1432">
        <v>2</v>
      </c>
      <c r="C1432">
        <v>1020</v>
      </c>
      <c r="D1432" t="s">
        <v>388</v>
      </c>
      <c r="E1432">
        <v>14276567</v>
      </c>
      <c r="F1432" t="s">
        <v>1526</v>
      </c>
      <c r="G1432" t="s">
        <v>52</v>
      </c>
      <c r="H1432" t="s">
        <v>44</v>
      </c>
      <c r="I1432" t="s">
        <v>390</v>
      </c>
      <c r="J1432" t="s">
        <v>45</v>
      </c>
      <c r="K1432" t="s">
        <v>35</v>
      </c>
      <c r="L1432" t="s">
        <v>175</v>
      </c>
      <c r="M1432" t="s">
        <v>117</v>
      </c>
      <c r="N1432">
        <v>0</v>
      </c>
      <c r="O1432">
        <v>0</v>
      </c>
      <c r="P1432">
        <v>10</v>
      </c>
      <c r="Q1432">
        <v>8</v>
      </c>
      <c r="R1432" s="4">
        <v>74353.3</v>
      </c>
      <c r="S1432" t="str">
        <f t="shared" si="110"/>
        <v>PZ: Alta Crit.</v>
      </c>
      <c r="T1432">
        <f t="shared" si="111"/>
        <v>0</v>
      </c>
      <c r="U1432">
        <f t="shared" si="112"/>
        <v>1</v>
      </c>
      <c r="V1432">
        <f t="shared" si="113"/>
        <v>0</v>
      </c>
      <c r="W1432">
        <f t="shared" si="114"/>
        <v>1</v>
      </c>
      <c r="X1432">
        <v>1</v>
      </c>
      <c r="Y1432" s="2">
        <v>45768</v>
      </c>
      <c r="Z1432" s="3" t="s">
        <v>118</v>
      </c>
      <c r="AA1432" t="s">
        <v>39</v>
      </c>
      <c r="AB1432" t="s">
        <v>40</v>
      </c>
      <c r="AC1432" t="s">
        <v>40</v>
      </c>
      <c r="AD1432" t="s">
        <v>391</v>
      </c>
    </row>
    <row r="1433" spans="2:30">
      <c r="B1433">
        <v>2</v>
      </c>
      <c r="C1433">
        <v>1020</v>
      </c>
      <c r="D1433" t="s">
        <v>181</v>
      </c>
      <c r="E1433">
        <v>14280987</v>
      </c>
      <c r="F1433" t="s">
        <v>1527</v>
      </c>
      <c r="G1433" t="s">
        <v>43</v>
      </c>
      <c r="H1433" t="s">
        <v>44</v>
      </c>
      <c r="I1433" t="s">
        <v>183</v>
      </c>
      <c r="J1433" t="s">
        <v>45</v>
      </c>
      <c r="K1433" t="s">
        <v>65</v>
      </c>
      <c r="L1433" t="s">
        <v>36</v>
      </c>
      <c r="M1433" t="s">
        <v>46</v>
      </c>
      <c r="N1433">
        <v>25</v>
      </c>
      <c r="O1433">
        <v>25</v>
      </c>
      <c r="P1433">
        <v>0</v>
      </c>
      <c r="Q1433">
        <v>25</v>
      </c>
      <c r="R1433">
        <v>290.81</v>
      </c>
      <c r="S1433" t="str">
        <f t="shared" si="110"/>
        <v>PY: Media Crit.</v>
      </c>
      <c r="T1433">
        <f t="shared" si="111"/>
        <v>0</v>
      </c>
      <c r="U1433">
        <f t="shared" si="112"/>
        <v>0</v>
      </c>
      <c r="V1433">
        <f t="shared" si="113"/>
        <v>1</v>
      </c>
      <c r="W1433">
        <f t="shared" si="114"/>
        <v>0</v>
      </c>
      <c r="X1433">
        <v>1</v>
      </c>
      <c r="Y1433" s="2">
        <v>45768</v>
      </c>
      <c r="Z1433" s="3" t="s">
        <v>47</v>
      </c>
      <c r="AA1433" t="s">
        <v>39</v>
      </c>
      <c r="AB1433" t="s">
        <v>40</v>
      </c>
      <c r="AC1433" t="s">
        <v>40</v>
      </c>
      <c r="AD1433" t="s">
        <v>184</v>
      </c>
    </row>
    <row r="1434" spans="2:30">
      <c r="B1434">
        <v>2</v>
      </c>
      <c r="C1434">
        <v>1020</v>
      </c>
      <c r="D1434" t="s">
        <v>181</v>
      </c>
      <c r="E1434">
        <v>14289711</v>
      </c>
      <c r="F1434" t="s">
        <v>1528</v>
      </c>
      <c r="G1434" t="s">
        <v>43</v>
      </c>
      <c r="H1434" t="s">
        <v>44</v>
      </c>
      <c r="I1434" t="s">
        <v>183</v>
      </c>
      <c r="J1434" t="s">
        <v>45</v>
      </c>
      <c r="K1434" t="s">
        <v>35</v>
      </c>
      <c r="L1434" t="s">
        <v>36</v>
      </c>
      <c r="M1434" t="s">
        <v>69</v>
      </c>
      <c r="N1434">
        <v>18</v>
      </c>
      <c r="O1434">
        <v>11</v>
      </c>
      <c r="P1434">
        <v>0</v>
      </c>
      <c r="Q1434">
        <v>0</v>
      </c>
      <c r="R1434">
        <v>0</v>
      </c>
      <c r="S1434" t="str">
        <f t="shared" si="110"/>
        <v>PY: Media Crit.</v>
      </c>
      <c r="T1434">
        <f t="shared" si="111"/>
        <v>1</v>
      </c>
      <c r="U1434">
        <f t="shared" si="112"/>
        <v>0</v>
      </c>
      <c r="V1434">
        <f t="shared" si="113"/>
        <v>0</v>
      </c>
      <c r="W1434">
        <f t="shared" si="114"/>
        <v>0</v>
      </c>
      <c r="X1434">
        <v>1</v>
      </c>
      <c r="Y1434" s="2">
        <v>45768</v>
      </c>
      <c r="Z1434" s="3" t="s">
        <v>70</v>
      </c>
      <c r="AA1434" t="s">
        <v>39</v>
      </c>
      <c r="AB1434" t="s">
        <v>49</v>
      </c>
      <c r="AC1434" s="5" t="s">
        <v>50</v>
      </c>
      <c r="AD1434" t="s">
        <v>184</v>
      </c>
    </row>
    <row r="1435" spans="2:30">
      <c r="B1435">
        <v>2</v>
      </c>
      <c r="C1435">
        <v>1020</v>
      </c>
      <c r="D1435" t="s">
        <v>181</v>
      </c>
      <c r="E1435">
        <v>14289957</v>
      </c>
      <c r="F1435" t="s">
        <v>1529</v>
      </c>
      <c r="G1435" t="s">
        <v>43</v>
      </c>
      <c r="H1435" t="s">
        <v>60</v>
      </c>
      <c r="I1435" t="s">
        <v>183</v>
      </c>
      <c r="J1435" t="s">
        <v>45</v>
      </c>
      <c r="K1435" t="s">
        <v>35</v>
      </c>
      <c r="L1435" t="s">
        <v>36</v>
      </c>
      <c r="M1435" t="s">
        <v>69</v>
      </c>
      <c r="N1435">
        <v>18</v>
      </c>
      <c r="O1435">
        <v>11</v>
      </c>
      <c r="P1435">
        <v>0</v>
      </c>
      <c r="Q1435">
        <v>0</v>
      </c>
      <c r="R1435">
        <v>0</v>
      </c>
      <c r="S1435" t="str">
        <f t="shared" si="110"/>
        <v>PY: Media Crit.</v>
      </c>
      <c r="T1435">
        <f t="shared" si="111"/>
        <v>1</v>
      </c>
      <c r="U1435">
        <f t="shared" si="112"/>
        <v>0</v>
      </c>
      <c r="V1435">
        <f t="shared" si="113"/>
        <v>0</v>
      </c>
      <c r="W1435">
        <f t="shared" si="114"/>
        <v>0</v>
      </c>
      <c r="X1435">
        <v>1</v>
      </c>
      <c r="Y1435" s="2">
        <v>45768</v>
      </c>
      <c r="Z1435" s="3" t="s">
        <v>70</v>
      </c>
      <c r="AA1435" t="s">
        <v>39</v>
      </c>
      <c r="AB1435" t="s">
        <v>49</v>
      </c>
      <c r="AC1435" s="5" t="s">
        <v>50</v>
      </c>
      <c r="AD1435" t="s">
        <v>184</v>
      </c>
    </row>
    <row r="1436" spans="2:30">
      <c r="B1436">
        <v>2</v>
      </c>
      <c r="C1436">
        <v>1020</v>
      </c>
      <c r="D1436" t="s">
        <v>181</v>
      </c>
      <c r="E1436">
        <v>14290362</v>
      </c>
      <c r="F1436" t="s">
        <v>1530</v>
      </c>
      <c r="G1436" t="s">
        <v>43</v>
      </c>
      <c r="H1436" t="s">
        <v>60</v>
      </c>
      <c r="I1436" t="s">
        <v>183</v>
      </c>
      <c r="J1436" t="s">
        <v>45</v>
      </c>
      <c r="K1436" t="s">
        <v>35</v>
      </c>
      <c r="L1436" t="s">
        <v>36</v>
      </c>
      <c r="M1436" t="s">
        <v>69</v>
      </c>
      <c r="N1436">
        <v>1</v>
      </c>
      <c r="O1436">
        <v>1</v>
      </c>
      <c r="P1436">
        <v>0</v>
      </c>
      <c r="Q1436">
        <v>1</v>
      </c>
      <c r="R1436" s="4">
        <v>9466.64</v>
      </c>
      <c r="S1436" t="str">
        <f t="shared" si="110"/>
        <v>PY: Media Crit.</v>
      </c>
      <c r="T1436">
        <f t="shared" si="111"/>
        <v>0</v>
      </c>
      <c r="U1436">
        <f t="shared" si="112"/>
        <v>0</v>
      </c>
      <c r="V1436">
        <f t="shared" si="113"/>
        <v>1</v>
      </c>
      <c r="W1436">
        <f t="shared" si="114"/>
        <v>0</v>
      </c>
      <c r="X1436">
        <v>1</v>
      </c>
      <c r="Y1436" s="2">
        <v>45768</v>
      </c>
      <c r="Z1436" s="3" t="s">
        <v>70</v>
      </c>
      <c r="AA1436" t="s">
        <v>39</v>
      </c>
      <c r="AB1436" t="s">
        <v>40</v>
      </c>
      <c r="AC1436" t="s">
        <v>40</v>
      </c>
      <c r="AD1436" t="s">
        <v>184</v>
      </c>
    </row>
    <row r="1437" spans="2:30">
      <c r="B1437">
        <v>2</v>
      </c>
      <c r="C1437">
        <v>1020</v>
      </c>
      <c r="D1437" t="s">
        <v>181</v>
      </c>
      <c r="E1437">
        <v>14291925</v>
      </c>
      <c r="F1437" t="s">
        <v>1531</v>
      </c>
      <c r="G1437" t="s">
        <v>43</v>
      </c>
      <c r="H1437" t="s">
        <v>60</v>
      </c>
      <c r="I1437" t="s">
        <v>183</v>
      </c>
      <c r="J1437" t="s">
        <v>45</v>
      </c>
      <c r="K1437" t="s">
        <v>35</v>
      </c>
      <c r="L1437" t="s">
        <v>36</v>
      </c>
      <c r="M1437" t="s">
        <v>88</v>
      </c>
      <c r="N1437">
        <v>100</v>
      </c>
      <c r="O1437">
        <v>51</v>
      </c>
      <c r="P1437">
        <v>30</v>
      </c>
      <c r="Q1437">
        <v>100</v>
      </c>
      <c r="R1437">
        <v>236.1</v>
      </c>
      <c r="S1437" t="str">
        <f t="shared" si="110"/>
        <v>PY: Media Crit.</v>
      </c>
      <c r="T1437">
        <f t="shared" si="111"/>
        <v>0</v>
      </c>
      <c r="U1437">
        <f t="shared" si="112"/>
        <v>0</v>
      </c>
      <c r="V1437">
        <f t="shared" si="113"/>
        <v>1</v>
      </c>
      <c r="W1437">
        <f t="shared" si="114"/>
        <v>0</v>
      </c>
      <c r="X1437">
        <v>1</v>
      </c>
      <c r="Y1437" s="2">
        <v>45768</v>
      </c>
      <c r="Z1437" s="3" t="s">
        <v>89</v>
      </c>
      <c r="AA1437" t="s">
        <v>39</v>
      </c>
      <c r="AB1437" t="s">
        <v>40</v>
      </c>
      <c r="AC1437" t="s">
        <v>40</v>
      </c>
      <c r="AD1437" t="s">
        <v>184</v>
      </c>
    </row>
    <row r="1438" spans="2:30">
      <c r="B1438">
        <v>2</v>
      </c>
      <c r="C1438">
        <v>1020</v>
      </c>
      <c r="D1438" t="s">
        <v>181</v>
      </c>
      <c r="E1438">
        <v>14291991</v>
      </c>
      <c r="F1438" t="s">
        <v>1532</v>
      </c>
      <c r="G1438" t="s">
        <v>1533</v>
      </c>
      <c r="H1438" t="s">
        <v>44</v>
      </c>
      <c r="I1438" t="s">
        <v>183</v>
      </c>
      <c r="J1438" t="s">
        <v>45</v>
      </c>
      <c r="K1438" t="s">
        <v>35</v>
      </c>
      <c r="L1438" t="s">
        <v>36</v>
      </c>
      <c r="M1438" t="s">
        <v>37</v>
      </c>
      <c r="N1438">
        <v>2</v>
      </c>
      <c r="O1438">
        <v>1</v>
      </c>
      <c r="P1438">
        <v>0</v>
      </c>
      <c r="Q1438">
        <v>0</v>
      </c>
      <c r="R1438">
        <v>0</v>
      </c>
      <c r="S1438" t="str">
        <f t="shared" si="110"/>
        <v>PX: Baja Crit.</v>
      </c>
      <c r="T1438">
        <f t="shared" si="111"/>
        <v>1</v>
      </c>
      <c r="U1438">
        <f t="shared" si="112"/>
        <v>0</v>
      </c>
      <c r="V1438">
        <f t="shared" si="113"/>
        <v>0</v>
      </c>
      <c r="W1438">
        <f t="shared" si="114"/>
        <v>0</v>
      </c>
      <c r="X1438">
        <v>1</v>
      </c>
      <c r="Y1438" s="2">
        <v>45768</v>
      </c>
      <c r="Z1438" s="3" t="s">
        <v>38</v>
      </c>
      <c r="AA1438" t="s">
        <v>39</v>
      </c>
      <c r="AB1438" t="s">
        <v>49</v>
      </c>
      <c r="AC1438" s="5" t="s">
        <v>50</v>
      </c>
      <c r="AD1438" t="s">
        <v>184</v>
      </c>
    </row>
    <row r="1439" spans="2:30">
      <c r="B1439">
        <v>2</v>
      </c>
      <c r="C1439">
        <v>1020</v>
      </c>
      <c r="D1439" t="s">
        <v>181</v>
      </c>
      <c r="E1439">
        <v>14293595</v>
      </c>
      <c r="F1439" t="s">
        <v>1534</v>
      </c>
      <c r="G1439" t="s">
        <v>43</v>
      </c>
      <c r="H1439" t="s">
        <v>44</v>
      </c>
      <c r="I1439" t="s">
        <v>183</v>
      </c>
      <c r="J1439" t="s">
        <v>45</v>
      </c>
      <c r="K1439" t="s">
        <v>35</v>
      </c>
      <c r="L1439" t="s">
        <v>36</v>
      </c>
      <c r="M1439" t="s">
        <v>117</v>
      </c>
      <c r="N1439">
        <v>4</v>
      </c>
      <c r="O1439">
        <v>3</v>
      </c>
      <c r="P1439">
        <v>1</v>
      </c>
      <c r="Q1439">
        <v>4</v>
      </c>
      <c r="R1439" s="4">
        <v>3478.51</v>
      </c>
      <c r="S1439" t="str">
        <f t="shared" si="110"/>
        <v>PY: Media Crit.</v>
      </c>
      <c r="T1439">
        <f t="shared" si="111"/>
        <v>0</v>
      </c>
      <c r="U1439">
        <f t="shared" si="112"/>
        <v>0</v>
      </c>
      <c r="V1439">
        <f t="shared" si="113"/>
        <v>1</v>
      </c>
      <c r="W1439">
        <f t="shared" si="114"/>
        <v>0</v>
      </c>
      <c r="X1439">
        <v>1</v>
      </c>
      <c r="Y1439" s="2">
        <v>45768</v>
      </c>
      <c r="Z1439" s="3" t="s">
        <v>118</v>
      </c>
      <c r="AA1439" t="s">
        <v>39</v>
      </c>
      <c r="AB1439" t="s">
        <v>40</v>
      </c>
      <c r="AC1439" t="s">
        <v>40</v>
      </c>
      <c r="AD1439" t="s">
        <v>184</v>
      </c>
    </row>
    <row r="1440" spans="2:30">
      <c r="B1440">
        <v>2</v>
      </c>
      <c r="C1440">
        <v>1020</v>
      </c>
      <c r="D1440" t="s">
        <v>181</v>
      </c>
      <c r="E1440">
        <v>14297821</v>
      </c>
      <c r="F1440" t="s">
        <v>1535</v>
      </c>
      <c r="G1440" t="s">
        <v>43</v>
      </c>
      <c r="H1440" t="s">
        <v>60</v>
      </c>
      <c r="I1440" t="s">
        <v>183</v>
      </c>
      <c r="J1440" t="s">
        <v>45</v>
      </c>
      <c r="K1440" t="s">
        <v>35</v>
      </c>
      <c r="L1440" t="s">
        <v>36</v>
      </c>
      <c r="M1440" t="s">
        <v>69</v>
      </c>
      <c r="N1440">
        <v>18</v>
      </c>
      <c r="O1440">
        <v>11</v>
      </c>
      <c r="P1440">
        <v>0</v>
      </c>
      <c r="Q1440">
        <v>0</v>
      </c>
      <c r="R1440">
        <v>0</v>
      </c>
      <c r="S1440" t="str">
        <f t="shared" si="110"/>
        <v>PY: Media Crit.</v>
      </c>
      <c r="T1440">
        <f t="shared" si="111"/>
        <v>1</v>
      </c>
      <c r="U1440">
        <f t="shared" si="112"/>
        <v>0</v>
      </c>
      <c r="V1440">
        <f t="shared" si="113"/>
        <v>0</v>
      </c>
      <c r="W1440">
        <f t="shared" si="114"/>
        <v>0</v>
      </c>
      <c r="X1440">
        <v>1</v>
      </c>
      <c r="Y1440" s="2">
        <v>45768</v>
      </c>
      <c r="Z1440" s="3" t="s">
        <v>70</v>
      </c>
      <c r="AA1440" t="s">
        <v>39</v>
      </c>
      <c r="AB1440" t="s">
        <v>49</v>
      </c>
      <c r="AC1440" s="5" t="s">
        <v>50</v>
      </c>
      <c r="AD1440" t="s">
        <v>184</v>
      </c>
    </row>
    <row r="1441" spans="2:30">
      <c r="B1441">
        <v>2</v>
      </c>
      <c r="C1441">
        <v>1020</v>
      </c>
      <c r="D1441" t="s">
        <v>388</v>
      </c>
      <c r="E1441">
        <v>14301901</v>
      </c>
      <c r="F1441" t="s">
        <v>1536</v>
      </c>
      <c r="G1441" t="s">
        <v>43</v>
      </c>
      <c r="H1441" t="s">
        <v>60</v>
      </c>
      <c r="I1441" t="s">
        <v>390</v>
      </c>
      <c r="J1441" t="s">
        <v>45</v>
      </c>
      <c r="K1441" t="s">
        <v>35</v>
      </c>
      <c r="L1441" t="s">
        <v>175</v>
      </c>
      <c r="M1441" t="s">
        <v>117</v>
      </c>
      <c r="N1441">
        <v>0</v>
      </c>
      <c r="O1441">
        <v>0</v>
      </c>
      <c r="P1441">
        <v>4</v>
      </c>
      <c r="Q1441">
        <v>0</v>
      </c>
      <c r="R1441">
        <v>0</v>
      </c>
      <c r="S1441" t="str">
        <f t="shared" si="110"/>
        <v>PY: Media Crit.</v>
      </c>
      <c r="T1441">
        <f t="shared" si="111"/>
        <v>1</v>
      </c>
      <c r="U1441">
        <f t="shared" si="112"/>
        <v>0</v>
      </c>
      <c r="V1441">
        <f t="shared" si="113"/>
        <v>0</v>
      </c>
      <c r="W1441">
        <f t="shared" si="114"/>
        <v>0</v>
      </c>
      <c r="X1441">
        <v>1</v>
      </c>
      <c r="Y1441" s="2">
        <v>45768</v>
      </c>
      <c r="Z1441" s="3" t="s">
        <v>118</v>
      </c>
      <c r="AA1441" t="s">
        <v>39</v>
      </c>
      <c r="AB1441" t="s">
        <v>49</v>
      </c>
      <c r="AC1441" s="5" t="s">
        <v>50</v>
      </c>
      <c r="AD1441" t="s">
        <v>391</v>
      </c>
    </row>
    <row r="1442" spans="2:30">
      <c r="B1442">
        <v>2</v>
      </c>
      <c r="C1442">
        <v>1020</v>
      </c>
      <c r="D1442" t="s">
        <v>388</v>
      </c>
      <c r="E1442">
        <v>14301905</v>
      </c>
      <c r="F1442" t="s">
        <v>1537</v>
      </c>
      <c r="G1442" t="s">
        <v>43</v>
      </c>
      <c r="H1442" t="s">
        <v>60</v>
      </c>
      <c r="I1442" t="s">
        <v>390</v>
      </c>
      <c r="J1442" t="s">
        <v>45</v>
      </c>
      <c r="K1442" t="s">
        <v>35</v>
      </c>
      <c r="L1442" t="s">
        <v>175</v>
      </c>
      <c r="M1442" t="s">
        <v>117</v>
      </c>
      <c r="N1442">
        <v>0</v>
      </c>
      <c r="O1442">
        <v>0</v>
      </c>
      <c r="P1442">
        <v>6</v>
      </c>
      <c r="Q1442">
        <v>0</v>
      </c>
      <c r="R1442">
        <v>0</v>
      </c>
      <c r="S1442" t="str">
        <f t="shared" si="110"/>
        <v>PY: Media Crit.</v>
      </c>
      <c r="T1442">
        <f t="shared" si="111"/>
        <v>1</v>
      </c>
      <c r="U1442">
        <f t="shared" si="112"/>
        <v>0</v>
      </c>
      <c r="V1442">
        <f t="shared" si="113"/>
        <v>0</v>
      </c>
      <c r="W1442">
        <f t="shared" si="114"/>
        <v>0</v>
      </c>
      <c r="X1442">
        <v>1</v>
      </c>
      <c r="Y1442" s="2">
        <v>45768</v>
      </c>
      <c r="Z1442" s="3" t="s">
        <v>118</v>
      </c>
      <c r="AA1442" t="s">
        <v>39</v>
      </c>
      <c r="AB1442" t="s">
        <v>40</v>
      </c>
      <c r="AC1442" t="s">
        <v>40</v>
      </c>
      <c r="AD1442" t="s">
        <v>391</v>
      </c>
    </row>
    <row r="1443" spans="2:30">
      <c r="B1443">
        <v>2</v>
      </c>
      <c r="C1443">
        <v>1020</v>
      </c>
      <c r="D1443" t="s">
        <v>181</v>
      </c>
      <c r="E1443">
        <v>14311791</v>
      </c>
      <c r="F1443" t="s">
        <v>1538</v>
      </c>
      <c r="G1443" t="s">
        <v>43</v>
      </c>
      <c r="H1443" t="s">
        <v>60</v>
      </c>
      <c r="I1443" t="s">
        <v>183</v>
      </c>
      <c r="J1443" t="s">
        <v>45</v>
      </c>
      <c r="K1443" t="s">
        <v>35</v>
      </c>
      <c r="L1443" t="s">
        <v>36</v>
      </c>
      <c r="M1443" t="s">
        <v>69</v>
      </c>
      <c r="N1443">
        <v>5</v>
      </c>
      <c r="O1443">
        <v>3</v>
      </c>
      <c r="P1443">
        <v>0</v>
      </c>
      <c r="Q1443">
        <v>0</v>
      </c>
      <c r="R1443">
        <v>0</v>
      </c>
      <c r="S1443" t="str">
        <f t="shared" si="110"/>
        <v>PY: Media Crit.</v>
      </c>
      <c r="T1443">
        <f t="shared" si="111"/>
        <v>1</v>
      </c>
      <c r="U1443">
        <f t="shared" si="112"/>
        <v>0</v>
      </c>
      <c r="V1443">
        <f t="shared" si="113"/>
        <v>0</v>
      </c>
      <c r="W1443">
        <f t="shared" si="114"/>
        <v>0</v>
      </c>
      <c r="X1443">
        <v>1</v>
      </c>
      <c r="Y1443" s="2">
        <v>45768</v>
      </c>
      <c r="Z1443" s="3" t="s">
        <v>70</v>
      </c>
      <c r="AA1443" t="s">
        <v>39</v>
      </c>
      <c r="AB1443" t="s">
        <v>76</v>
      </c>
      <c r="AC1443" s="5" t="s">
        <v>77</v>
      </c>
      <c r="AD1443" t="s">
        <v>184</v>
      </c>
    </row>
    <row r="1444" spans="2:30">
      <c r="B1444">
        <v>2</v>
      </c>
      <c r="C1444">
        <v>1020</v>
      </c>
      <c r="D1444" t="s">
        <v>181</v>
      </c>
      <c r="E1444">
        <v>14311792</v>
      </c>
      <c r="F1444" t="s">
        <v>1539</v>
      </c>
      <c r="G1444" t="s">
        <v>43</v>
      </c>
      <c r="H1444" t="s">
        <v>60</v>
      </c>
      <c r="I1444" t="s">
        <v>183</v>
      </c>
      <c r="J1444" t="s">
        <v>45</v>
      </c>
      <c r="K1444" t="s">
        <v>35</v>
      </c>
      <c r="L1444" t="s">
        <v>36</v>
      </c>
      <c r="M1444" t="s">
        <v>69</v>
      </c>
      <c r="N1444">
        <v>5</v>
      </c>
      <c r="O1444">
        <v>3</v>
      </c>
      <c r="P1444">
        <v>0</v>
      </c>
      <c r="Q1444">
        <v>0</v>
      </c>
      <c r="R1444">
        <v>0</v>
      </c>
      <c r="S1444" t="str">
        <f t="shared" si="110"/>
        <v>PY: Media Crit.</v>
      </c>
      <c r="T1444">
        <f t="shared" si="111"/>
        <v>1</v>
      </c>
      <c r="U1444">
        <f t="shared" si="112"/>
        <v>0</v>
      </c>
      <c r="V1444">
        <f t="shared" si="113"/>
        <v>0</v>
      </c>
      <c r="W1444">
        <f t="shared" si="114"/>
        <v>0</v>
      </c>
      <c r="X1444">
        <v>1</v>
      </c>
      <c r="Y1444" s="2">
        <v>45768</v>
      </c>
      <c r="Z1444" s="3" t="s">
        <v>70</v>
      </c>
      <c r="AA1444" t="s">
        <v>39</v>
      </c>
      <c r="AB1444" t="s">
        <v>76</v>
      </c>
      <c r="AC1444" s="5" t="s">
        <v>77</v>
      </c>
      <c r="AD1444" t="s">
        <v>184</v>
      </c>
    </row>
    <row r="1445" spans="2:30">
      <c r="B1445">
        <v>2</v>
      </c>
      <c r="C1445">
        <v>1020</v>
      </c>
      <c r="D1445" t="s">
        <v>181</v>
      </c>
      <c r="E1445">
        <v>14311793</v>
      </c>
      <c r="F1445" t="s">
        <v>1540</v>
      </c>
      <c r="G1445" t="s">
        <v>43</v>
      </c>
      <c r="H1445" t="s">
        <v>60</v>
      </c>
      <c r="I1445" t="s">
        <v>183</v>
      </c>
      <c r="J1445" t="s">
        <v>45</v>
      </c>
      <c r="K1445" t="s">
        <v>35</v>
      </c>
      <c r="L1445" t="s">
        <v>36</v>
      </c>
      <c r="M1445" t="s">
        <v>69</v>
      </c>
      <c r="N1445">
        <v>5</v>
      </c>
      <c r="O1445">
        <v>3</v>
      </c>
      <c r="P1445">
        <v>0</v>
      </c>
      <c r="Q1445">
        <v>0</v>
      </c>
      <c r="R1445">
        <v>0</v>
      </c>
      <c r="S1445" t="str">
        <f t="shared" si="110"/>
        <v>PY: Media Crit.</v>
      </c>
      <c r="T1445">
        <f t="shared" si="111"/>
        <v>1</v>
      </c>
      <c r="U1445">
        <f t="shared" si="112"/>
        <v>0</v>
      </c>
      <c r="V1445">
        <f t="shared" si="113"/>
        <v>0</v>
      </c>
      <c r="W1445">
        <f t="shared" si="114"/>
        <v>0</v>
      </c>
      <c r="X1445">
        <v>1</v>
      </c>
      <c r="Y1445" s="2">
        <v>45768</v>
      </c>
      <c r="Z1445" s="3" t="s">
        <v>70</v>
      </c>
      <c r="AA1445" t="s">
        <v>39</v>
      </c>
      <c r="AB1445" t="s">
        <v>76</v>
      </c>
      <c r="AC1445" s="5" t="s">
        <v>77</v>
      </c>
      <c r="AD1445" t="s">
        <v>184</v>
      </c>
    </row>
    <row r="1446" spans="2:30">
      <c r="B1446">
        <v>2</v>
      </c>
      <c r="C1446">
        <v>1020</v>
      </c>
      <c r="D1446" t="s">
        <v>181</v>
      </c>
      <c r="E1446">
        <v>14311794</v>
      </c>
      <c r="F1446" t="s">
        <v>1541</v>
      </c>
      <c r="G1446" t="s">
        <v>43</v>
      </c>
      <c r="H1446" t="s">
        <v>60</v>
      </c>
      <c r="I1446" t="s">
        <v>183</v>
      </c>
      <c r="J1446" t="s">
        <v>45</v>
      </c>
      <c r="K1446" t="s">
        <v>35</v>
      </c>
      <c r="L1446" t="s">
        <v>36</v>
      </c>
      <c r="M1446" t="s">
        <v>69</v>
      </c>
      <c r="N1446">
        <v>5</v>
      </c>
      <c r="O1446">
        <v>3</v>
      </c>
      <c r="P1446">
        <v>0</v>
      </c>
      <c r="Q1446">
        <v>0</v>
      </c>
      <c r="R1446">
        <v>0</v>
      </c>
      <c r="S1446" t="str">
        <f t="shared" si="110"/>
        <v>PY: Media Crit.</v>
      </c>
      <c r="T1446">
        <f t="shared" si="111"/>
        <v>1</v>
      </c>
      <c r="U1446">
        <f t="shared" si="112"/>
        <v>0</v>
      </c>
      <c r="V1446">
        <f t="shared" si="113"/>
        <v>0</v>
      </c>
      <c r="W1446">
        <f t="shared" si="114"/>
        <v>0</v>
      </c>
      <c r="X1446">
        <v>1</v>
      </c>
      <c r="Y1446" s="2">
        <v>45768</v>
      </c>
      <c r="Z1446" s="3" t="s">
        <v>70</v>
      </c>
      <c r="AA1446" t="s">
        <v>39</v>
      </c>
      <c r="AB1446" t="s">
        <v>76</v>
      </c>
      <c r="AC1446" s="5" t="s">
        <v>77</v>
      </c>
      <c r="AD1446" t="s">
        <v>184</v>
      </c>
    </row>
    <row r="1447" spans="2:30">
      <c r="B1447">
        <v>2</v>
      </c>
      <c r="C1447">
        <v>1020</v>
      </c>
      <c r="D1447" t="s">
        <v>181</v>
      </c>
      <c r="E1447">
        <v>14311795</v>
      </c>
      <c r="F1447" t="s">
        <v>1542</v>
      </c>
      <c r="G1447" t="s">
        <v>43</v>
      </c>
      <c r="H1447" t="s">
        <v>60</v>
      </c>
      <c r="I1447" t="s">
        <v>33</v>
      </c>
      <c r="J1447" t="s">
        <v>45</v>
      </c>
      <c r="K1447" t="s">
        <v>35</v>
      </c>
      <c r="L1447" t="s">
        <v>36</v>
      </c>
      <c r="M1447" t="s">
        <v>69</v>
      </c>
      <c r="N1447">
        <v>100</v>
      </c>
      <c r="O1447">
        <v>100</v>
      </c>
      <c r="P1447">
        <v>0</v>
      </c>
      <c r="Q1447">
        <v>0</v>
      </c>
      <c r="R1447">
        <v>0</v>
      </c>
      <c r="S1447" t="str">
        <f t="shared" si="110"/>
        <v>PY: Media Crit.</v>
      </c>
      <c r="T1447">
        <f t="shared" si="111"/>
        <v>1</v>
      </c>
      <c r="U1447">
        <f t="shared" si="112"/>
        <v>0</v>
      </c>
      <c r="V1447">
        <f t="shared" si="113"/>
        <v>0</v>
      </c>
      <c r="W1447">
        <f t="shared" si="114"/>
        <v>0</v>
      </c>
      <c r="X1447">
        <v>1</v>
      </c>
      <c r="Y1447" s="2">
        <v>45768</v>
      </c>
      <c r="Z1447" s="3" t="s">
        <v>70</v>
      </c>
      <c r="AA1447" t="s">
        <v>39</v>
      </c>
      <c r="AB1447" t="s">
        <v>49</v>
      </c>
      <c r="AC1447" s="5" t="s">
        <v>50</v>
      </c>
      <c r="AD1447" t="s">
        <v>391</v>
      </c>
    </row>
    <row r="1448" spans="2:30">
      <c r="B1448">
        <v>2</v>
      </c>
      <c r="C1448">
        <v>1020</v>
      </c>
      <c r="D1448" t="s">
        <v>181</v>
      </c>
      <c r="E1448">
        <v>14311796</v>
      </c>
      <c r="F1448" t="s">
        <v>1543</v>
      </c>
      <c r="G1448" t="s">
        <v>43</v>
      </c>
      <c r="H1448" t="s">
        <v>60</v>
      </c>
      <c r="I1448" t="s">
        <v>183</v>
      </c>
      <c r="J1448" t="s">
        <v>45</v>
      </c>
      <c r="K1448" t="s">
        <v>35</v>
      </c>
      <c r="L1448" t="s">
        <v>36</v>
      </c>
      <c r="M1448" t="s">
        <v>69</v>
      </c>
      <c r="N1448">
        <v>5</v>
      </c>
      <c r="O1448">
        <v>5</v>
      </c>
      <c r="P1448">
        <v>0</v>
      </c>
      <c r="Q1448">
        <v>0</v>
      </c>
      <c r="R1448">
        <v>0</v>
      </c>
      <c r="S1448" t="str">
        <f t="shared" si="110"/>
        <v>PY: Media Crit.</v>
      </c>
      <c r="T1448">
        <f t="shared" si="111"/>
        <v>1</v>
      </c>
      <c r="U1448">
        <f t="shared" si="112"/>
        <v>0</v>
      </c>
      <c r="V1448">
        <f t="shared" si="113"/>
        <v>0</v>
      </c>
      <c r="W1448">
        <f t="shared" si="114"/>
        <v>0</v>
      </c>
      <c r="X1448">
        <v>1</v>
      </c>
      <c r="Y1448" s="2">
        <v>45768</v>
      </c>
      <c r="Z1448" s="3" t="s">
        <v>70</v>
      </c>
      <c r="AA1448" t="s">
        <v>39</v>
      </c>
      <c r="AB1448" t="s">
        <v>76</v>
      </c>
      <c r="AC1448" s="5" t="s">
        <v>77</v>
      </c>
      <c r="AD1448" t="s">
        <v>184</v>
      </c>
    </row>
    <row r="1449" spans="2:30">
      <c r="B1449">
        <v>2</v>
      </c>
      <c r="C1449">
        <v>1020</v>
      </c>
      <c r="D1449" t="s">
        <v>181</v>
      </c>
      <c r="E1449">
        <v>14311797</v>
      </c>
      <c r="F1449" t="s">
        <v>1544</v>
      </c>
      <c r="G1449" t="s">
        <v>43</v>
      </c>
      <c r="H1449" t="s">
        <v>60</v>
      </c>
      <c r="I1449" t="s">
        <v>183</v>
      </c>
      <c r="J1449" t="s">
        <v>45</v>
      </c>
      <c r="K1449" t="s">
        <v>35</v>
      </c>
      <c r="L1449" t="s">
        <v>36</v>
      </c>
      <c r="M1449" t="s">
        <v>69</v>
      </c>
      <c r="N1449">
        <v>5</v>
      </c>
      <c r="O1449">
        <v>5</v>
      </c>
      <c r="P1449">
        <v>0</v>
      </c>
      <c r="Q1449">
        <v>0</v>
      </c>
      <c r="R1449">
        <v>0</v>
      </c>
      <c r="S1449" t="str">
        <f t="shared" si="110"/>
        <v>PY: Media Crit.</v>
      </c>
      <c r="T1449">
        <f t="shared" si="111"/>
        <v>1</v>
      </c>
      <c r="U1449">
        <f t="shared" si="112"/>
        <v>0</v>
      </c>
      <c r="V1449">
        <f t="shared" si="113"/>
        <v>0</v>
      </c>
      <c r="W1449">
        <f t="shared" si="114"/>
        <v>0</v>
      </c>
      <c r="X1449">
        <v>1</v>
      </c>
      <c r="Y1449" s="2">
        <v>45768</v>
      </c>
      <c r="Z1449" s="3" t="s">
        <v>70</v>
      </c>
      <c r="AA1449" t="s">
        <v>39</v>
      </c>
      <c r="AB1449" t="s">
        <v>76</v>
      </c>
      <c r="AC1449" s="5" t="s">
        <v>77</v>
      </c>
      <c r="AD1449" t="s">
        <v>184</v>
      </c>
    </row>
    <row r="1450" spans="2:30">
      <c r="B1450">
        <v>2</v>
      </c>
      <c r="C1450">
        <v>1020</v>
      </c>
      <c r="D1450" t="s">
        <v>181</v>
      </c>
      <c r="E1450">
        <v>14311799</v>
      </c>
      <c r="F1450" t="s">
        <v>1545</v>
      </c>
      <c r="G1450" t="s">
        <v>43</v>
      </c>
      <c r="H1450" t="s">
        <v>60</v>
      </c>
      <c r="I1450" t="s">
        <v>183</v>
      </c>
      <c r="J1450" t="s">
        <v>45</v>
      </c>
      <c r="K1450" t="s">
        <v>35</v>
      </c>
      <c r="L1450" t="s">
        <v>36</v>
      </c>
      <c r="M1450" t="s">
        <v>69</v>
      </c>
      <c r="N1450">
        <v>5</v>
      </c>
      <c r="O1450">
        <v>5</v>
      </c>
      <c r="P1450">
        <v>0</v>
      </c>
      <c r="Q1450">
        <v>5</v>
      </c>
      <c r="R1450">
        <v>13.27</v>
      </c>
      <c r="S1450" t="str">
        <f t="shared" si="110"/>
        <v>PY: Media Crit.</v>
      </c>
      <c r="T1450">
        <f t="shared" si="111"/>
        <v>0</v>
      </c>
      <c r="U1450">
        <f t="shared" si="112"/>
        <v>0</v>
      </c>
      <c r="V1450">
        <f t="shared" si="113"/>
        <v>1</v>
      </c>
      <c r="W1450">
        <f t="shared" si="114"/>
        <v>0</v>
      </c>
      <c r="X1450">
        <v>1</v>
      </c>
      <c r="Y1450" s="2">
        <v>45768</v>
      </c>
      <c r="Z1450" s="3" t="s">
        <v>70</v>
      </c>
      <c r="AA1450" t="s">
        <v>39</v>
      </c>
      <c r="AB1450" t="s">
        <v>40</v>
      </c>
      <c r="AC1450" t="s">
        <v>40</v>
      </c>
      <c r="AD1450" t="s">
        <v>184</v>
      </c>
    </row>
    <row r="1451" spans="2:30">
      <c r="B1451">
        <v>2</v>
      </c>
      <c r="C1451">
        <v>1020</v>
      </c>
      <c r="D1451" t="s">
        <v>181</v>
      </c>
      <c r="E1451">
        <v>14311800</v>
      </c>
      <c r="F1451" t="s">
        <v>1546</v>
      </c>
      <c r="G1451" t="s">
        <v>31</v>
      </c>
      <c r="H1451" t="s">
        <v>60</v>
      </c>
      <c r="I1451" t="s">
        <v>183</v>
      </c>
      <c r="J1451" t="s">
        <v>45</v>
      </c>
      <c r="K1451" t="s">
        <v>35</v>
      </c>
      <c r="L1451" t="s">
        <v>36</v>
      </c>
      <c r="M1451" t="s">
        <v>69</v>
      </c>
      <c r="N1451">
        <v>5</v>
      </c>
      <c r="O1451">
        <v>5</v>
      </c>
      <c r="P1451">
        <v>0</v>
      </c>
      <c r="Q1451">
        <v>5</v>
      </c>
      <c r="R1451">
        <v>144.26</v>
      </c>
      <c r="S1451" t="str">
        <f t="shared" si="110"/>
        <v>PX: Baja Crit.</v>
      </c>
      <c r="T1451">
        <f t="shared" si="111"/>
        <v>0</v>
      </c>
      <c r="U1451">
        <f t="shared" si="112"/>
        <v>0</v>
      </c>
      <c r="V1451">
        <f t="shared" si="113"/>
        <v>1</v>
      </c>
      <c r="W1451">
        <f t="shared" si="114"/>
        <v>0</v>
      </c>
      <c r="X1451">
        <v>1</v>
      </c>
      <c r="Y1451" s="2">
        <v>45768</v>
      </c>
      <c r="Z1451" s="3" t="s">
        <v>70</v>
      </c>
      <c r="AA1451" t="s">
        <v>39</v>
      </c>
      <c r="AB1451" t="s">
        <v>40</v>
      </c>
      <c r="AC1451" t="s">
        <v>40</v>
      </c>
      <c r="AD1451" t="s">
        <v>184</v>
      </c>
    </row>
    <row r="1452" spans="2:30">
      <c r="B1452">
        <v>2</v>
      </c>
      <c r="C1452">
        <v>1020</v>
      </c>
      <c r="D1452" t="s">
        <v>181</v>
      </c>
      <c r="E1452">
        <v>14311801</v>
      </c>
      <c r="F1452" t="s">
        <v>1547</v>
      </c>
      <c r="G1452" t="s">
        <v>43</v>
      </c>
      <c r="H1452" t="s">
        <v>60</v>
      </c>
      <c r="I1452" t="s">
        <v>183</v>
      </c>
      <c r="J1452" t="s">
        <v>45</v>
      </c>
      <c r="K1452" t="s">
        <v>35</v>
      </c>
      <c r="L1452" t="s">
        <v>36</v>
      </c>
      <c r="M1452" t="s">
        <v>69</v>
      </c>
      <c r="N1452">
        <v>5</v>
      </c>
      <c r="O1452">
        <v>5</v>
      </c>
      <c r="P1452">
        <v>0</v>
      </c>
      <c r="Q1452">
        <v>5</v>
      </c>
      <c r="R1452">
        <v>161.13999999999999</v>
      </c>
      <c r="S1452" t="str">
        <f t="shared" si="110"/>
        <v>PY: Media Crit.</v>
      </c>
      <c r="T1452">
        <f t="shared" si="111"/>
        <v>0</v>
      </c>
      <c r="U1452">
        <f t="shared" si="112"/>
        <v>0</v>
      </c>
      <c r="V1452">
        <f t="shared" si="113"/>
        <v>1</v>
      </c>
      <c r="W1452">
        <f t="shared" si="114"/>
        <v>0</v>
      </c>
      <c r="X1452">
        <v>1</v>
      </c>
      <c r="Y1452" s="2">
        <v>45768</v>
      </c>
      <c r="Z1452" s="3" t="s">
        <v>70</v>
      </c>
      <c r="AA1452" t="s">
        <v>39</v>
      </c>
      <c r="AB1452" t="s">
        <v>40</v>
      </c>
      <c r="AC1452" t="s">
        <v>40</v>
      </c>
      <c r="AD1452" t="s">
        <v>184</v>
      </c>
    </row>
    <row r="1453" spans="2:30">
      <c r="B1453">
        <v>2</v>
      </c>
      <c r="C1453">
        <v>1020</v>
      </c>
      <c r="D1453" t="s">
        <v>181</v>
      </c>
      <c r="E1453">
        <v>14311802</v>
      </c>
      <c r="F1453" t="s">
        <v>1548</v>
      </c>
      <c r="G1453" t="s">
        <v>43</v>
      </c>
      <c r="H1453" t="s">
        <v>44</v>
      </c>
      <c r="I1453" t="s">
        <v>183</v>
      </c>
      <c r="J1453" t="s">
        <v>45</v>
      </c>
      <c r="K1453" t="s">
        <v>35</v>
      </c>
      <c r="L1453" t="s">
        <v>36</v>
      </c>
      <c r="M1453" t="s">
        <v>69</v>
      </c>
      <c r="N1453">
        <v>5</v>
      </c>
      <c r="O1453">
        <v>5</v>
      </c>
      <c r="P1453">
        <v>0</v>
      </c>
      <c r="Q1453">
        <v>5</v>
      </c>
      <c r="R1453" s="4">
        <v>1796.17</v>
      </c>
      <c r="S1453" t="str">
        <f t="shared" si="110"/>
        <v>PY: Media Crit.</v>
      </c>
      <c r="T1453">
        <f t="shared" si="111"/>
        <v>0</v>
      </c>
      <c r="U1453">
        <f t="shared" si="112"/>
        <v>0</v>
      </c>
      <c r="V1453">
        <f t="shared" si="113"/>
        <v>1</v>
      </c>
      <c r="W1453">
        <f t="shared" si="114"/>
        <v>0</v>
      </c>
      <c r="X1453">
        <v>1</v>
      </c>
      <c r="Y1453" s="2">
        <v>45768</v>
      </c>
      <c r="Z1453" s="3" t="s">
        <v>70</v>
      </c>
      <c r="AA1453" t="s">
        <v>39</v>
      </c>
      <c r="AB1453" t="s">
        <v>40</v>
      </c>
      <c r="AC1453" t="s">
        <v>40</v>
      </c>
      <c r="AD1453" t="s">
        <v>184</v>
      </c>
    </row>
    <row r="1454" spans="2:30">
      <c r="B1454">
        <v>2</v>
      </c>
      <c r="C1454">
        <v>1020</v>
      </c>
      <c r="D1454" t="s">
        <v>181</v>
      </c>
      <c r="E1454">
        <v>14311803</v>
      </c>
      <c r="F1454" t="s">
        <v>1549</v>
      </c>
      <c r="G1454" t="s">
        <v>43</v>
      </c>
      <c r="H1454" t="s">
        <v>60</v>
      </c>
      <c r="I1454" t="s">
        <v>183</v>
      </c>
      <c r="J1454" t="s">
        <v>45</v>
      </c>
      <c r="K1454" t="s">
        <v>35</v>
      </c>
      <c r="L1454" t="s">
        <v>36</v>
      </c>
      <c r="M1454" t="s">
        <v>69</v>
      </c>
      <c r="N1454">
        <v>5</v>
      </c>
      <c r="O1454">
        <v>5</v>
      </c>
      <c r="P1454">
        <v>0</v>
      </c>
      <c r="Q1454">
        <v>5</v>
      </c>
      <c r="R1454" s="4">
        <v>4524.8999999999996</v>
      </c>
      <c r="S1454" t="str">
        <f t="shared" si="110"/>
        <v>PY: Media Crit.</v>
      </c>
      <c r="T1454">
        <f t="shared" si="111"/>
        <v>0</v>
      </c>
      <c r="U1454">
        <f t="shared" si="112"/>
        <v>0</v>
      </c>
      <c r="V1454">
        <f t="shared" si="113"/>
        <v>1</v>
      </c>
      <c r="W1454">
        <f t="shared" si="114"/>
        <v>0</v>
      </c>
      <c r="X1454">
        <v>1</v>
      </c>
      <c r="Y1454" s="2">
        <v>45768</v>
      </c>
      <c r="Z1454" s="3" t="s">
        <v>70</v>
      </c>
      <c r="AA1454" t="s">
        <v>39</v>
      </c>
      <c r="AB1454" t="s">
        <v>40</v>
      </c>
      <c r="AC1454" t="s">
        <v>40</v>
      </c>
      <c r="AD1454" t="s">
        <v>184</v>
      </c>
    </row>
    <row r="1455" spans="2:30">
      <c r="B1455">
        <v>2</v>
      </c>
      <c r="C1455">
        <v>1020</v>
      </c>
      <c r="D1455" t="s">
        <v>181</v>
      </c>
      <c r="E1455">
        <v>14311804</v>
      </c>
      <c r="F1455" t="s">
        <v>1550</v>
      </c>
      <c r="G1455" t="s">
        <v>43</v>
      </c>
      <c r="H1455" t="s">
        <v>60</v>
      </c>
      <c r="I1455" t="s">
        <v>183</v>
      </c>
      <c r="J1455" t="s">
        <v>45</v>
      </c>
      <c r="K1455" t="s">
        <v>35</v>
      </c>
      <c r="L1455" t="s">
        <v>36</v>
      </c>
      <c r="M1455" t="s">
        <v>69</v>
      </c>
      <c r="N1455">
        <v>5</v>
      </c>
      <c r="O1455">
        <v>5</v>
      </c>
      <c r="P1455">
        <v>0</v>
      </c>
      <c r="Q1455">
        <v>5</v>
      </c>
      <c r="R1455" s="4">
        <v>4504.7</v>
      </c>
      <c r="S1455" t="str">
        <f t="shared" si="110"/>
        <v>PY: Media Crit.</v>
      </c>
      <c r="T1455">
        <f t="shared" si="111"/>
        <v>0</v>
      </c>
      <c r="U1455">
        <f t="shared" si="112"/>
        <v>0</v>
      </c>
      <c r="V1455">
        <f t="shared" si="113"/>
        <v>1</v>
      </c>
      <c r="W1455">
        <f t="shared" si="114"/>
        <v>0</v>
      </c>
      <c r="X1455">
        <v>1</v>
      </c>
      <c r="Y1455" s="2">
        <v>45768</v>
      </c>
      <c r="Z1455" s="3" t="s">
        <v>70</v>
      </c>
      <c r="AA1455" t="s">
        <v>39</v>
      </c>
      <c r="AB1455" t="s">
        <v>40</v>
      </c>
      <c r="AC1455" t="s">
        <v>40</v>
      </c>
      <c r="AD1455" t="s">
        <v>184</v>
      </c>
    </row>
    <row r="1456" spans="2:30">
      <c r="B1456">
        <v>2</v>
      </c>
      <c r="C1456">
        <v>1020</v>
      </c>
      <c r="D1456" t="s">
        <v>181</v>
      </c>
      <c r="E1456">
        <v>14317681</v>
      </c>
      <c r="F1456" t="s">
        <v>1551</v>
      </c>
      <c r="G1456" t="s">
        <v>52</v>
      </c>
      <c r="H1456" t="s">
        <v>60</v>
      </c>
      <c r="I1456" t="s">
        <v>183</v>
      </c>
      <c r="J1456" t="s">
        <v>45</v>
      </c>
      <c r="K1456" t="s">
        <v>35</v>
      </c>
      <c r="L1456" t="s">
        <v>36</v>
      </c>
      <c r="M1456" t="s">
        <v>117</v>
      </c>
      <c r="N1456">
        <v>4</v>
      </c>
      <c r="O1456">
        <v>2</v>
      </c>
      <c r="P1456">
        <v>0</v>
      </c>
      <c r="Q1456">
        <v>4</v>
      </c>
      <c r="R1456" s="4">
        <v>1523.23</v>
      </c>
      <c r="S1456" t="str">
        <f t="shared" si="110"/>
        <v>PZ: Alta Crit.</v>
      </c>
      <c r="T1456">
        <f t="shared" si="111"/>
        <v>0</v>
      </c>
      <c r="U1456">
        <f t="shared" si="112"/>
        <v>0</v>
      </c>
      <c r="V1456">
        <f t="shared" si="113"/>
        <v>1</v>
      </c>
      <c r="W1456">
        <f t="shared" si="114"/>
        <v>0</v>
      </c>
      <c r="X1456">
        <v>1</v>
      </c>
      <c r="Y1456" s="2">
        <v>45768</v>
      </c>
      <c r="Z1456" s="3" t="s">
        <v>118</v>
      </c>
      <c r="AA1456" t="s">
        <v>39</v>
      </c>
      <c r="AB1456" t="s">
        <v>40</v>
      </c>
      <c r="AC1456" t="s">
        <v>40</v>
      </c>
      <c r="AD1456" t="s">
        <v>184</v>
      </c>
    </row>
    <row r="1457" spans="2:30">
      <c r="B1457">
        <v>2</v>
      </c>
      <c r="C1457">
        <v>1020</v>
      </c>
      <c r="D1457" t="s">
        <v>181</v>
      </c>
      <c r="E1457">
        <v>14317693</v>
      </c>
      <c r="F1457" t="s">
        <v>1552</v>
      </c>
      <c r="G1457" t="s">
        <v>43</v>
      </c>
      <c r="H1457" t="s">
        <v>60</v>
      </c>
      <c r="I1457" t="s">
        <v>183</v>
      </c>
      <c r="J1457" t="s">
        <v>45</v>
      </c>
      <c r="K1457" t="s">
        <v>35</v>
      </c>
      <c r="L1457" t="s">
        <v>36</v>
      </c>
      <c r="M1457" t="s">
        <v>117</v>
      </c>
      <c r="N1457">
        <v>10</v>
      </c>
      <c r="O1457">
        <v>6</v>
      </c>
      <c r="P1457">
        <v>0</v>
      </c>
      <c r="Q1457">
        <v>10</v>
      </c>
      <c r="R1457" s="4">
        <v>5234.42</v>
      </c>
      <c r="S1457" t="str">
        <f t="shared" si="110"/>
        <v>PY: Media Crit.</v>
      </c>
      <c r="T1457">
        <f t="shared" si="111"/>
        <v>0</v>
      </c>
      <c r="U1457">
        <f t="shared" si="112"/>
        <v>0</v>
      </c>
      <c r="V1457">
        <f t="shared" si="113"/>
        <v>1</v>
      </c>
      <c r="W1457">
        <f t="shared" si="114"/>
        <v>0</v>
      </c>
      <c r="X1457">
        <v>1</v>
      </c>
      <c r="Y1457" s="2">
        <v>45768</v>
      </c>
      <c r="Z1457" s="3" t="s">
        <v>118</v>
      </c>
      <c r="AA1457" t="s">
        <v>39</v>
      </c>
      <c r="AB1457" t="s">
        <v>40</v>
      </c>
      <c r="AC1457" t="s">
        <v>40</v>
      </c>
      <c r="AD1457" t="s">
        <v>184</v>
      </c>
    </row>
    <row r="1458" spans="2:30">
      <c r="B1458">
        <v>2</v>
      </c>
      <c r="C1458">
        <v>1020</v>
      </c>
      <c r="D1458" t="s">
        <v>181</v>
      </c>
      <c r="E1458">
        <v>14317707</v>
      </c>
      <c r="F1458" t="s">
        <v>1553</v>
      </c>
      <c r="G1458" t="s">
        <v>43</v>
      </c>
      <c r="H1458" t="s">
        <v>60</v>
      </c>
      <c r="I1458" t="s">
        <v>183</v>
      </c>
      <c r="J1458" t="s">
        <v>45</v>
      </c>
      <c r="K1458" t="s">
        <v>35</v>
      </c>
      <c r="L1458" t="s">
        <v>36</v>
      </c>
      <c r="M1458" t="s">
        <v>117</v>
      </c>
      <c r="N1458">
        <v>20</v>
      </c>
      <c r="O1458">
        <v>10</v>
      </c>
      <c r="P1458">
        <v>0</v>
      </c>
      <c r="Q1458">
        <v>20</v>
      </c>
      <c r="R1458" s="4">
        <v>1416.17</v>
      </c>
      <c r="S1458" t="str">
        <f t="shared" si="110"/>
        <v>PY: Media Crit.</v>
      </c>
      <c r="T1458">
        <f t="shared" si="111"/>
        <v>0</v>
      </c>
      <c r="U1458">
        <f t="shared" si="112"/>
        <v>0</v>
      </c>
      <c r="V1458">
        <f t="shared" si="113"/>
        <v>1</v>
      </c>
      <c r="W1458">
        <f t="shared" si="114"/>
        <v>0</v>
      </c>
      <c r="X1458">
        <v>1</v>
      </c>
      <c r="Y1458" s="2">
        <v>45768</v>
      </c>
      <c r="Z1458" s="3" t="s">
        <v>118</v>
      </c>
      <c r="AA1458" t="s">
        <v>39</v>
      </c>
      <c r="AB1458" t="s">
        <v>40</v>
      </c>
      <c r="AC1458" t="s">
        <v>40</v>
      </c>
      <c r="AD1458" t="s">
        <v>184</v>
      </c>
    </row>
    <row r="1459" spans="2:30">
      <c r="B1459">
        <v>2</v>
      </c>
      <c r="C1459">
        <v>1020</v>
      </c>
      <c r="D1459" t="s">
        <v>388</v>
      </c>
      <c r="E1459">
        <v>14317715</v>
      </c>
      <c r="F1459" t="s">
        <v>1554</v>
      </c>
      <c r="G1459" t="s">
        <v>43</v>
      </c>
      <c r="H1459" t="s">
        <v>60</v>
      </c>
      <c r="I1459" t="s">
        <v>390</v>
      </c>
      <c r="J1459" t="s">
        <v>45</v>
      </c>
      <c r="K1459" t="s">
        <v>35</v>
      </c>
      <c r="L1459" t="s">
        <v>175</v>
      </c>
      <c r="M1459" t="s">
        <v>117</v>
      </c>
      <c r="N1459">
        <v>0</v>
      </c>
      <c r="O1459">
        <v>0</v>
      </c>
      <c r="P1459">
        <v>14</v>
      </c>
      <c r="Q1459">
        <v>0</v>
      </c>
      <c r="R1459">
        <v>0</v>
      </c>
      <c r="S1459" t="str">
        <f t="shared" si="110"/>
        <v>PY: Media Crit.</v>
      </c>
      <c r="T1459">
        <f t="shared" si="111"/>
        <v>1</v>
      </c>
      <c r="U1459">
        <f t="shared" si="112"/>
        <v>0</v>
      </c>
      <c r="V1459">
        <f t="shared" si="113"/>
        <v>0</v>
      </c>
      <c r="W1459">
        <f t="shared" si="114"/>
        <v>0</v>
      </c>
      <c r="X1459">
        <v>1</v>
      </c>
      <c r="Y1459" s="2">
        <v>45768</v>
      </c>
      <c r="Z1459" s="3" t="s">
        <v>118</v>
      </c>
      <c r="AA1459" t="s">
        <v>39</v>
      </c>
      <c r="AB1459" t="s">
        <v>49</v>
      </c>
      <c r="AC1459" s="5" t="s">
        <v>50</v>
      </c>
      <c r="AD1459" t="s">
        <v>391</v>
      </c>
    </row>
    <row r="1460" spans="2:30">
      <c r="B1460">
        <v>2</v>
      </c>
      <c r="C1460">
        <v>1020</v>
      </c>
      <c r="D1460" t="s">
        <v>181</v>
      </c>
      <c r="E1460">
        <v>14317731</v>
      </c>
      <c r="F1460" t="s">
        <v>1555</v>
      </c>
      <c r="G1460" t="s">
        <v>43</v>
      </c>
      <c r="H1460" t="s">
        <v>60</v>
      </c>
      <c r="I1460" t="s">
        <v>183</v>
      </c>
      <c r="J1460" t="s">
        <v>45</v>
      </c>
      <c r="K1460" t="s">
        <v>35</v>
      </c>
      <c r="L1460" t="s">
        <v>36</v>
      </c>
      <c r="M1460" t="s">
        <v>117</v>
      </c>
      <c r="N1460">
        <v>4</v>
      </c>
      <c r="O1460">
        <v>2</v>
      </c>
      <c r="P1460">
        <v>0</v>
      </c>
      <c r="Q1460">
        <v>4</v>
      </c>
      <c r="R1460">
        <v>600</v>
      </c>
      <c r="S1460" t="str">
        <f t="shared" si="110"/>
        <v>PY: Media Crit.</v>
      </c>
      <c r="T1460">
        <f t="shared" si="111"/>
        <v>0</v>
      </c>
      <c r="U1460">
        <f t="shared" si="112"/>
        <v>0</v>
      </c>
      <c r="V1460">
        <f t="shared" si="113"/>
        <v>1</v>
      </c>
      <c r="W1460">
        <f t="shared" si="114"/>
        <v>0</v>
      </c>
      <c r="X1460">
        <v>1</v>
      </c>
      <c r="Y1460" s="2">
        <v>45768</v>
      </c>
      <c r="Z1460" s="3" t="s">
        <v>118</v>
      </c>
      <c r="AA1460" t="s">
        <v>39</v>
      </c>
      <c r="AB1460" t="s">
        <v>40</v>
      </c>
      <c r="AC1460" t="s">
        <v>40</v>
      </c>
      <c r="AD1460" t="s">
        <v>184</v>
      </c>
    </row>
    <row r="1461" spans="2:30">
      <c r="B1461">
        <v>2</v>
      </c>
      <c r="C1461">
        <v>1020</v>
      </c>
      <c r="D1461" t="s">
        <v>181</v>
      </c>
      <c r="E1461">
        <v>14318221</v>
      </c>
      <c r="F1461" t="s">
        <v>1556</v>
      </c>
      <c r="G1461" t="s">
        <v>52</v>
      </c>
      <c r="H1461" t="s">
        <v>60</v>
      </c>
      <c r="I1461" t="s">
        <v>183</v>
      </c>
      <c r="J1461" t="s">
        <v>45</v>
      </c>
      <c r="K1461" t="s">
        <v>35</v>
      </c>
      <c r="L1461" t="s">
        <v>36</v>
      </c>
      <c r="M1461" t="s">
        <v>117</v>
      </c>
      <c r="N1461">
        <v>24</v>
      </c>
      <c r="O1461">
        <v>10</v>
      </c>
      <c r="P1461">
        <v>0</v>
      </c>
      <c r="Q1461">
        <v>35</v>
      </c>
      <c r="R1461" s="4">
        <v>114068.15</v>
      </c>
      <c r="S1461" t="str">
        <f t="shared" si="110"/>
        <v>PZ: Alta Crit.</v>
      </c>
      <c r="T1461">
        <f t="shared" si="111"/>
        <v>0</v>
      </c>
      <c r="U1461">
        <f t="shared" si="112"/>
        <v>0</v>
      </c>
      <c r="V1461">
        <f t="shared" si="113"/>
        <v>0</v>
      </c>
      <c r="W1461">
        <f t="shared" si="114"/>
        <v>1</v>
      </c>
      <c r="X1461">
        <v>1</v>
      </c>
      <c r="Y1461" s="2">
        <v>45768</v>
      </c>
      <c r="Z1461" s="3" t="s">
        <v>118</v>
      </c>
      <c r="AA1461" t="s">
        <v>39</v>
      </c>
      <c r="AB1461" t="s">
        <v>40</v>
      </c>
      <c r="AC1461" t="s">
        <v>40</v>
      </c>
      <c r="AD1461" t="s">
        <v>184</v>
      </c>
    </row>
    <row r="1462" spans="2:30">
      <c r="B1462">
        <v>2</v>
      </c>
      <c r="C1462">
        <v>1020</v>
      </c>
      <c r="D1462" t="s">
        <v>181</v>
      </c>
      <c r="E1462">
        <v>14319321</v>
      </c>
      <c r="F1462" t="s">
        <v>1557</v>
      </c>
      <c r="G1462" t="s">
        <v>43</v>
      </c>
      <c r="H1462" t="s">
        <v>60</v>
      </c>
      <c r="I1462" t="s">
        <v>183</v>
      </c>
      <c r="J1462" t="s">
        <v>45</v>
      </c>
      <c r="K1462" t="s">
        <v>35</v>
      </c>
      <c r="L1462" t="s">
        <v>36</v>
      </c>
      <c r="M1462" t="s">
        <v>69</v>
      </c>
      <c r="N1462">
        <v>1</v>
      </c>
      <c r="O1462">
        <v>1</v>
      </c>
      <c r="P1462">
        <v>0</v>
      </c>
      <c r="Q1462">
        <v>1</v>
      </c>
      <c r="R1462" s="4">
        <v>5659.73</v>
      </c>
      <c r="S1462" t="str">
        <f t="shared" si="110"/>
        <v>PY: Media Crit.</v>
      </c>
      <c r="T1462">
        <f t="shared" si="111"/>
        <v>0</v>
      </c>
      <c r="U1462">
        <f t="shared" si="112"/>
        <v>0</v>
      </c>
      <c r="V1462">
        <f t="shared" si="113"/>
        <v>1</v>
      </c>
      <c r="W1462">
        <f t="shared" si="114"/>
        <v>0</v>
      </c>
      <c r="X1462">
        <v>1</v>
      </c>
      <c r="Y1462" s="2">
        <v>45768</v>
      </c>
      <c r="Z1462" s="3" t="s">
        <v>70</v>
      </c>
      <c r="AA1462" t="s">
        <v>39</v>
      </c>
      <c r="AB1462" t="s">
        <v>40</v>
      </c>
      <c r="AC1462" t="s">
        <v>40</v>
      </c>
      <c r="AD1462" t="s">
        <v>184</v>
      </c>
    </row>
    <row r="1463" spans="2:30">
      <c r="B1463">
        <v>2</v>
      </c>
      <c r="C1463">
        <v>1020</v>
      </c>
      <c r="D1463" t="s">
        <v>388</v>
      </c>
      <c r="E1463">
        <v>14323484</v>
      </c>
      <c r="F1463" t="s">
        <v>1558</v>
      </c>
      <c r="G1463" t="s">
        <v>31</v>
      </c>
      <c r="H1463" t="s">
        <v>44</v>
      </c>
      <c r="I1463" t="s">
        <v>390</v>
      </c>
      <c r="J1463" t="s">
        <v>45</v>
      </c>
      <c r="K1463" t="s">
        <v>35</v>
      </c>
      <c r="L1463" t="s">
        <v>175</v>
      </c>
      <c r="M1463" t="s">
        <v>46</v>
      </c>
      <c r="N1463">
        <v>0</v>
      </c>
      <c r="O1463">
        <v>0</v>
      </c>
      <c r="P1463">
        <v>4</v>
      </c>
      <c r="Q1463">
        <v>4</v>
      </c>
      <c r="R1463" s="4">
        <v>8308.1</v>
      </c>
      <c r="S1463" t="str">
        <f t="shared" si="110"/>
        <v>PX: Baja Crit.</v>
      </c>
      <c r="T1463">
        <f t="shared" si="111"/>
        <v>0</v>
      </c>
      <c r="U1463">
        <f t="shared" si="112"/>
        <v>1</v>
      </c>
      <c r="V1463">
        <f t="shared" si="113"/>
        <v>0</v>
      </c>
      <c r="W1463">
        <f t="shared" si="114"/>
        <v>1</v>
      </c>
      <c r="X1463">
        <v>1</v>
      </c>
      <c r="Y1463" s="2">
        <v>45768</v>
      </c>
      <c r="Z1463" s="3" t="s">
        <v>47</v>
      </c>
      <c r="AA1463" t="s">
        <v>39</v>
      </c>
      <c r="AB1463" t="s">
        <v>40</v>
      </c>
      <c r="AC1463" t="s">
        <v>40</v>
      </c>
      <c r="AD1463" t="s">
        <v>391</v>
      </c>
    </row>
    <row r="1464" spans="2:30">
      <c r="B1464">
        <v>2</v>
      </c>
      <c r="C1464">
        <v>1020</v>
      </c>
      <c r="D1464" t="s">
        <v>181</v>
      </c>
      <c r="E1464">
        <v>14325446</v>
      </c>
      <c r="F1464" t="s">
        <v>1559</v>
      </c>
      <c r="G1464" t="s">
        <v>43</v>
      </c>
      <c r="H1464" t="s">
        <v>60</v>
      </c>
      <c r="I1464" t="s">
        <v>183</v>
      </c>
      <c r="J1464" t="s">
        <v>45</v>
      </c>
      <c r="K1464" t="s">
        <v>35</v>
      </c>
      <c r="L1464" t="s">
        <v>36</v>
      </c>
      <c r="M1464" t="s">
        <v>46</v>
      </c>
      <c r="N1464">
        <v>2</v>
      </c>
      <c r="O1464">
        <v>1</v>
      </c>
      <c r="P1464">
        <v>0</v>
      </c>
      <c r="Q1464">
        <v>2</v>
      </c>
      <c r="R1464">
        <v>722.88</v>
      </c>
      <c r="S1464" t="str">
        <f t="shared" si="110"/>
        <v>PY: Media Crit.</v>
      </c>
      <c r="T1464">
        <f t="shared" si="111"/>
        <v>0</v>
      </c>
      <c r="U1464">
        <f t="shared" si="112"/>
        <v>0</v>
      </c>
      <c r="V1464">
        <f t="shared" si="113"/>
        <v>1</v>
      </c>
      <c r="W1464">
        <f t="shared" si="114"/>
        <v>0</v>
      </c>
      <c r="X1464">
        <v>1</v>
      </c>
      <c r="Y1464" s="2">
        <v>45768</v>
      </c>
      <c r="Z1464" s="3" t="s">
        <v>47</v>
      </c>
      <c r="AA1464" t="s">
        <v>39</v>
      </c>
      <c r="AB1464" t="s">
        <v>40</v>
      </c>
      <c r="AC1464" t="s">
        <v>40</v>
      </c>
      <c r="AD1464" t="s">
        <v>184</v>
      </c>
    </row>
    <row r="1465" spans="2:30">
      <c r="B1465">
        <v>2</v>
      </c>
      <c r="C1465">
        <v>1020</v>
      </c>
      <c r="D1465" t="s">
        <v>181</v>
      </c>
      <c r="E1465">
        <v>14325857</v>
      </c>
      <c r="F1465" t="s">
        <v>1560</v>
      </c>
      <c r="G1465" t="s">
        <v>43</v>
      </c>
      <c r="H1465" t="s">
        <v>60</v>
      </c>
      <c r="I1465" t="s">
        <v>183</v>
      </c>
      <c r="J1465" t="s">
        <v>45</v>
      </c>
      <c r="K1465" t="s">
        <v>35</v>
      </c>
      <c r="L1465" t="s">
        <v>36</v>
      </c>
      <c r="M1465" t="s">
        <v>46</v>
      </c>
      <c r="N1465">
        <v>6</v>
      </c>
      <c r="O1465">
        <v>4</v>
      </c>
      <c r="P1465">
        <v>2</v>
      </c>
      <c r="Q1465">
        <v>2</v>
      </c>
      <c r="R1465" s="4">
        <v>4255.43</v>
      </c>
      <c r="S1465" t="str">
        <f t="shared" si="110"/>
        <v>PY: Media Crit.</v>
      </c>
      <c r="T1465">
        <f t="shared" si="111"/>
        <v>0</v>
      </c>
      <c r="U1465">
        <f t="shared" si="112"/>
        <v>1</v>
      </c>
      <c r="V1465">
        <f t="shared" si="113"/>
        <v>0</v>
      </c>
      <c r="W1465">
        <f t="shared" si="114"/>
        <v>0</v>
      </c>
      <c r="X1465">
        <v>1</v>
      </c>
      <c r="Y1465" s="2">
        <v>45768</v>
      </c>
      <c r="Z1465" s="3" t="s">
        <v>47</v>
      </c>
      <c r="AA1465" t="s">
        <v>39</v>
      </c>
      <c r="AB1465" t="s">
        <v>49</v>
      </c>
      <c r="AC1465" s="5" t="s">
        <v>50</v>
      </c>
      <c r="AD1465" t="s">
        <v>184</v>
      </c>
    </row>
    <row r="1466" spans="2:30">
      <c r="B1466">
        <v>2</v>
      </c>
      <c r="C1466">
        <v>1020</v>
      </c>
      <c r="D1466" t="s">
        <v>181</v>
      </c>
      <c r="E1466">
        <v>14331232</v>
      </c>
      <c r="F1466" t="s">
        <v>1561</v>
      </c>
      <c r="G1466" t="s">
        <v>43</v>
      </c>
      <c r="H1466" t="s">
        <v>44</v>
      </c>
      <c r="I1466" t="s">
        <v>183</v>
      </c>
      <c r="J1466" t="s">
        <v>45</v>
      </c>
      <c r="K1466" t="s">
        <v>65</v>
      </c>
      <c r="L1466" t="s">
        <v>36</v>
      </c>
      <c r="M1466" t="s">
        <v>37</v>
      </c>
      <c r="N1466">
        <v>365</v>
      </c>
      <c r="O1466">
        <v>250</v>
      </c>
      <c r="P1466">
        <v>200</v>
      </c>
      <c r="Q1466">
        <v>300</v>
      </c>
      <c r="R1466" s="4">
        <v>2963.07</v>
      </c>
      <c r="S1466" t="str">
        <f t="shared" si="110"/>
        <v>PY: Media Crit.</v>
      </c>
      <c r="T1466">
        <f t="shared" si="111"/>
        <v>0</v>
      </c>
      <c r="U1466">
        <f t="shared" si="112"/>
        <v>0</v>
      </c>
      <c r="V1466">
        <f t="shared" si="113"/>
        <v>1</v>
      </c>
      <c r="W1466">
        <f t="shared" si="114"/>
        <v>0</v>
      </c>
      <c r="X1466">
        <v>1</v>
      </c>
      <c r="Y1466" s="2">
        <v>45768</v>
      </c>
      <c r="Z1466" s="3" t="s">
        <v>38</v>
      </c>
      <c r="AA1466" t="s">
        <v>39</v>
      </c>
      <c r="AB1466" t="s">
        <v>40</v>
      </c>
      <c r="AC1466" t="s">
        <v>40</v>
      </c>
      <c r="AD1466" t="s">
        <v>184</v>
      </c>
    </row>
    <row r="1467" spans="2:30">
      <c r="B1467">
        <v>2</v>
      </c>
      <c r="C1467">
        <v>1020</v>
      </c>
      <c r="D1467" t="s">
        <v>181</v>
      </c>
      <c r="E1467">
        <v>14335048</v>
      </c>
      <c r="F1467" t="s">
        <v>1562</v>
      </c>
      <c r="G1467" t="s">
        <v>43</v>
      </c>
      <c r="H1467" t="s">
        <v>60</v>
      </c>
      <c r="I1467" t="s">
        <v>183</v>
      </c>
      <c r="J1467" t="s">
        <v>45</v>
      </c>
      <c r="K1467" t="s">
        <v>35</v>
      </c>
      <c r="L1467" t="s">
        <v>36</v>
      </c>
      <c r="M1467" t="s">
        <v>117</v>
      </c>
      <c r="N1467">
        <v>80</v>
      </c>
      <c r="O1467">
        <v>60</v>
      </c>
      <c r="P1467">
        <v>0</v>
      </c>
      <c r="Q1467">
        <v>20</v>
      </c>
      <c r="R1467" s="4">
        <v>1337.27</v>
      </c>
      <c r="S1467" t="str">
        <f t="shared" si="110"/>
        <v>PY: Media Crit.</v>
      </c>
      <c r="T1467">
        <f t="shared" si="111"/>
        <v>0</v>
      </c>
      <c r="U1467">
        <f t="shared" si="112"/>
        <v>0</v>
      </c>
      <c r="V1467">
        <f t="shared" si="113"/>
        <v>1</v>
      </c>
      <c r="W1467">
        <f t="shared" si="114"/>
        <v>0</v>
      </c>
      <c r="X1467">
        <v>1</v>
      </c>
      <c r="Y1467" s="2">
        <v>45768</v>
      </c>
      <c r="Z1467" s="3" t="s">
        <v>118</v>
      </c>
      <c r="AA1467" t="s">
        <v>39</v>
      </c>
      <c r="AB1467" t="s">
        <v>49</v>
      </c>
      <c r="AC1467" s="5" t="s">
        <v>50</v>
      </c>
      <c r="AD1467" t="s">
        <v>184</v>
      </c>
    </row>
    <row r="1468" spans="2:30">
      <c r="B1468">
        <v>2</v>
      </c>
      <c r="C1468">
        <v>1020</v>
      </c>
      <c r="D1468" t="s">
        <v>384</v>
      </c>
      <c r="E1468">
        <v>14336893</v>
      </c>
      <c r="F1468" t="s">
        <v>1563</v>
      </c>
      <c r="G1468" t="s">
        <v>43</v>
      </c>
      <c r="H1468" t="s">
        <v>44</v>
      </c>
      <c r="I1468" t="s">
        <v>386</v>
      </c>
      <c r="J1468" t="s">
        <v>45</v>
      </c>
      <c r="K1468" t="s">
        <v>80</v>
      </c>
      <c r="L1468" t="s">
        <v>175</v>
      </c>
      <c r="M1468" t="s">
        <v>37</v>
      </c>
      <c r="N1468">
        <v>0</v>
      </c>
      <c r="O1468">
        <v>0</v>
      </c>
      <c r="P1468">
        <v>0</v>
      </c>
      <c r="Q1468">
        <v>0</v>
      </c>
      <c r="R1468" s="4">
        <v>4751.57</v>
      </c>
      <c r="S1468" t="str">
        <f t="shared" si="110"/>
        <v>PY: Media Crit.</v>
      </c>
      <c r="T1468">
        <f t="shared" si="111"/>
        <v>1</v>
      </c>
      <c r="U1468">
        <f t="shared" si="112"/>
        <v>0</v>
      </c>
      <c r="V1468">
        <f t="shared" si="113"/>
        <v>0</v>
      </c>
      <c r="W1468">
        <f t="shared" si="114"/>
        <v>0</v>
      </c>
      <c r="X1468">
        <v>1</v>
      </c>
      <c r="Y1468" s="2">
        <v>45768</v>
      </c>
      <c r="Z1468" s="3" t="s">
        <v>38</v>
      </c>
      <c r="AA1468" t="s">
        <v>39</v>
      </c>
      <c r="AB1468" t="s">
        <v>76</v>
      </c>
      <c r="AC1468" s="5" t="s">
        <v>77</v>
      </c>
      <c r="AD1468" t="s">
        <v>387</v>
      </c>
    </row>
    <row r="1469" spans="2:30">
      <c r="B1469" s="6">
        <v>2</v>
      </c>
      <c r="C1469" s="6">
        <v>1020</v>
      </c>
      <c r="D1469" s="6" t="s">
        <v>181</v>
      </c>
      <c r="E1469" s="6">
        <v>14338129</v>
      </c>
      <c r="F1469" s="6" t="s">
        <v>1564</v>
      </c>
      <c r="G1469" s="6" t="s">
        <v>52</v>
      </c>
      <c r="H1469" s="6" t="s">
        <v>44</v>
      </c>
      <c r="I1469" s="6" t="s">
        <v>183</v>
      </c>
      <c r="J1469" s="6" t="s">
        <v>45</v>
      </c>
      <c r="K1469" s="6" t="s">
        <v>106</v>
      </c>
      <c r="L1469" s="6" t="s">
        <v>36</v>
      </c>
      <c r="M1469" s="6" t="s">
        <v>46</v>
      </c>
      <c r="N1469" s="6">
        <v>140</v>
      </c>
      <c r="O1469" s="6">
        <v>70</v>
      </c>
      <c r="P1469" s="6">
        <v>0</v>
      </c>
      <c r="Q1469" s="6">
        <v>140</v>
      </c>
      <c r="R1469" s="9">
        <v>8549.6</v>
      </c>
      <c r="S1469" s="6" t="str">
        <f t="shared" si="110"/>
        <v>PZ: Alta Crit.</v>
      </c>
      <c r="T1469" s="6">
        <f t="shared" si="111"/>
        <v>0</v>
      </c>
      <c r="U1469" s="6">
        <f t="shared" si="112"/>
        <v>0</v>
      </c>
      <c r="V1469" s="6">
        <f t="shared" si="113"/>
        <v>1</v>
      </c>
      <c r="W1469" s="6">
        <f t="shared" si="114"/>
        <v>0</v>
      </c>
      <c r="X1469" s="6">
        <v>1</v>
      </c>
      <c r="Y1469" s="10">
        <v>45768</v>
      </c>
      <c r="Z1469" s="11" t="s">
        <v>47</v>
      </c>
      <c r="AA1469" s="6" t="s">
        <v>39</v>
      </c>
      <c r="AB1469" s="6" t="s">
        <v>76</v>
      </c>
      <c r="AC1469" s="12" t="s">
        <v>77</v>
      </c>
      <c r="AD1469" s="6" t="s">
        <v>184</v>
      </c>
    </row>
    <row r="1470" spans="2:30">
      <c r="B1470">
        <v>2</v>
      </c>
      <c r="C1470">
        <v>1020</v>
      </c>
      <c r="D1470" t="s">
        <v>384</v>
      </c>
      <c r="E1470">
        <v>14338789</v>
      </c>
      <c r="F1470" t="s">
        <v>1565</v>
      </c>
      <c r="G1470" t="s">
        <v>52</v>
      </c>
      <c r="H1470" t="s">
        <v>32</v>
      </c>
      <c r="I1470" t="s">
        <v>386</v>
      </c>
      <c r="J1470" t="s">
        <v>45</v>
      </c>
      <c r="K1470" t="s">
        <v>80</v>
      </c>
      <c r="L1470" t="s">
        <v>175</v>
      </c>
      <c r="M1470" t="s">
        <v>37</v>
      </c>
      <c r="N1470">
        <v>0</v>
      </c>
      <c r="O1470">
        <v>0</v>
      </c>
      <c r="P1470">
        <v>0</v>
      </c>
      <c r="Q1470">
        <v>0</v>
      </c>
      <c r="R1470">
        <v>40.14</v>
      </c>
      <c r="S1470" t="str">
        <f t="shared" si="110"/>
        <v>PZ: Alta Crit.</v>
      </c>
      <c r="T1470">
        <f t="shared" si="111"/>
        <v>1</v>
      </c>
      <c r="U1470">
        <f t="shared" si="112"/>
        <v>0</v>
      </c>
      <c r="V1470">
        <f t="shared" si="113"/>
        <v>0</v>
      </c>
      <c r="W1470">
        <f t="shared" si="114"/>
        <v>0</v>
      </c>
      <c r="X1470">
        <v>1</v>
      </c>
      <c r="Y1470" s="2">
        <v>45768</v>
      </c>
      <c r="Z1470" s="3" t="s">
        <v>38</v>
      </c>
      <c r="AA1470" t="s">
        <v>39</v>
      </c>
      <c r="AB1470" t="s">
        <v>76</v>
      </c>
      <c r="AC1470" s="5" t="s">
        <v>77</v>
      </c>
      <c r="AD1470" t="s">
        <v>387</v>
      </c>
    </row>
    <row r="1471" spans="2:30">
      <c r="B1471">
        <v>2</v>
      </c>
      <c r="C1471">
        <v>1020</v>
      </c>
      <c r="D1471" t="s">
        <v>388</v>
      </c>
      <c r="E1471">
        <v>14345019</v>
      </c>
      <c r="F1471" t="s">
        <v>1566</v>
      </c>
      <c r="G1471" t="s">
        <v>43</v>
      </c>
      <c r="H1471" t="s">
        <v>44</v>
      </c>
      <c r="I1471" t="s">
        <v>390</v>
      </c>
      <c r="J1471" t="s">
        <v>45</v>
      </c>
      <c r="K1471" t="s">
        <v>35</v>
      </c>
      <c r="L1471" t="s">
        <v>175</v>
      </c>
      <c r="M1471" t="s">
        <v>117</v>
      </c>
      <c r="N1471">
        <v>0</v>
      </c>
      <c r="O1471">
        <v>0</v>
      </c>
      <c r="P1471">
        <v>2</v>
      </c>
      <c r="Q1471">
        <v>0</v>
      </c>
      <c r="R1471">
        <v>0</v>
      </c>
      <c r="S1471" t="str">
        <f t="shared" si="110"/>
        <v>PY: Media Crit.</v>
      </c>
      <c r="T1471">
        <f t="shared" si="111"/>
        <v>1</v>
      </c>
      <c r="U1471">
        <f t="shared" si="112"/>
        <v>0</v>
      </c>
      <c r="V1471">
        <f t="shared" si="113"/>
        <v>0</v>
      </c>
      <c r="W1471">
        <f t="shared" si="114"/>
        <v>0</v>
      </c>
      <c r="X1471">
        <v>1</v>
      </c>
      <c r="Y1471" s="2">
        <v>45768</v>
      </c>
      <c r="Z1471" s="3" t="s">
        <v>118</v>
      </c>
      <c r="AA1471" t="s">
        <v>39</v>
      </c>
      <c r="AB1471" t="s">
        <v>76</v>
      </c>
      <c r="AC1471" s="5" t="s">
        <v>77</v>
      </c>
      <c r="AD1471" t="s">
        <v>391</v>
      </c>
    </row>
    <row r="1472" spans="2:30">
      <c r="B1472">
        <v>2</v>
      </c>
      <c r="C1472">
        <v>1020</v>
      </c>
      <c r="D1472" t="s">
        <v>388</v>
      </c>
      <c r="E1472">
        <v>14345022</v>
      </c>
      <c r="F1472" t="s">
        <v>1567</v>
      </c>
      <c r="G1472" t="s">
        <v>43</v>
      </c>
      <c r="H1472" t="s">
        <v>44</v>
      </c>
      <c r="I1472" t="s">
        <v>390</v>
      </c>
      <c r="J1472" t="s">
        <v>45</v>
      </c>
      <c r="K1472" t="s">
        <v>35</v>
      </c>
      <c r="L1472" t="s">
        <v>175</v>
      </c>
      <c r="M1472" t="s">
        <v>117</v>
      </c>
      <c r="N1472">
        <v>0</v>
      </c>
      <c r="O1472">
        <v>0</v>
      </c>
      <c r="P1472">
        <v>2</v>
      </c>
      <c r="Q1472">
        <v>0</v>
      </c>
      <c r="R1472">
        <v>0</v>
      </c>
      <c r="S1472" t="str">
        <f t="shared" si="110"/>
        <v>PY: Media Crit.</v>
      </c>
      <c r="T1472">
        <f t="shared" si="111"/>
        <v>1</v>
      </c>
      <c r="U1472">
        <f t="shared" si="112"/>
        <v>0</v>
      </c>
      <c r="V1472">
        <f t="shared" si="113"/>
        <v>0</v>
      </c>
      <c r="W1472">
        <f t="shared" si="114"/>
        <v>0</v>
      </c>
      <c r="X1472">
        <v>1</v>
      </c>
      <c r="Y1472" s="2">
        <v>45768</v>
      </c>
      <c r="Z1472" s="3" t="s">
        <v>118</v>
      </c>
      <c r="AA1472" t="s">
        <v>39</v>
      </c>
      <c r="AB1472" t="s">
        <v>40</v>
      </c>
      <c r="AC1472" t="s">
        <v>40</v>
      </c>
      <c r="AD1472" t="s">
        <v>391</v>
      </c>
    </row>
    <row r="1473" spans="2:30">
      <c r="B1473">
        <v>1</v>
      </c>
      <c r="C1473">
        <v>1020</v>
      </c>
      <c r="D1473" t="s">
        <v>181</v>
      </c>
      <c r="E1473">
        <v>10001013</v>
      </c>
      <c r="F1473" t="s">
        <v>1568</v>
      </c>
      <c r="G1473" t="s">
        <v>31</v>
      </c>
      <c r="H1473" t="s">
        <v>32</v>
      </c>
      <c r="I1473" t="s">
        <v>183</v>
      </c>
      <c r="J1473" t="s">
        <v>45</v>
      </c>
      <c r="K1473" t="s">
        <v>35</v>
      </c>
      <c r="L1473" t="s">
        <v>36</v>
      </c>
      <c r="M1473" t="s">
        <v>69</v>
      </c>
      <c r="N1473">
        <v>11</v>
      </c>
      <c r="O1473">
        <v>5</v>
      </c>
      <c r="P1473">
        <v>2</v>
      </c>
      <c r="Q1473">
        <v>11</v>
      </c>
      <c r="R1473">
        <v>995.78</v>
      </c>
      <c r="S1473" t="str">
        <f t="shared" si="110"/>
        <v>PX: Baja Crit.</v>
      </c>
      <c r="T1473">
        <f t="shared" si="111"/>
        <v>0</v>
      </c>
      <c r="U1473">
        <f t="shared" si="112"/>
        <v>0</v>
      </c>
      <c r="V1473">
        <f t="shared" si="113"/>
        <v>1</v>
      </c>
      <c r="W1473">
        <f t="shared" si="114"/>
        <v>0</v>
      </c>
      <c r="X1473">
        <v>1</v>
      </c>
      <c r="Y1473" s="2">
        <v>45768</v>
      </c>
      <c r="Z1473" s="3" t="s">
        <v>70</v>
      </c>
      <c r="AA1473" t="s">
        <v>39</v>
      </c>
      <c r="AB1473" t="s">
        <v>40</v>
      </c>
      <c r="AC1473" t="s">
        <v>40</v>
      </c>
      <c r="AD1473" t="s">
        <v>184</v>
      </c>
    </row>
    <row r="1474" spans="2:30">
      <c r="B1474">
        <v>1</v>
      </c>
      <c r="C1474">
        <v>1020</v>
      </c>
      <c r="D1474" t="s">
        <v>693</v>
      </c>
      <c r="E1474">
        <v>10003415</v>
      </c>
      <c r="F1474" t="s">
        <v>1569</v>
      </c>
      <c r="G1474" t="s">
        <v>43</v>
      </c>
      <c r="H1474" t="s">
        <v>32</v>
      </c>
      <c r="I1474" t="s">
        <v>695</v>
      </c>
      <c r="J1474" t="s">
        <v>45</v>
      </c>
      <c r="K1474" t="s">
        <v>35</v>
      </c>
      <c r="L1474" t="s">
        <v>175</v>
      </c>
      <c r="M1474" t="s">
        <v>46</v>
      </c>
      <c r="N1474">
        <v>0</v>
      </c>
      <c r="O1474">
        <v>0</v>
      </c>
      <c r="P1474">
        <v>0</v>
      </c>
      <c r="Q1474">
        <v>0</v>
      </c>
      <c r="R1474">
        <v>0</v>
      </c>
      <c r="S1474" t="str">
        <f t="shared" ref="S1474:S1537" si="115">+IF(G1474="PZ", "PZ: Alta Crit.",IF(G1474="PY","PY: Media Crit.", "PX: Baja Crit."))</f>
        <v>PY: Media Crit.</v>
      </c>
      <c r="T1474">
        <f t="shared" ref="T1474:T1537" si="116">+IF(Q1474=0,1,0)</f>
        <v>1</v>
      </c>
      <c r="U1474">
        <f t="shared" ref="U1474:U1537" si="117">+IF(AND(Q1474&lt;=P1474,Q1474&gt;0),1,0)</f>
        <v>0</v>
      </c>
      <c r="V1474">
        <f t="shared" ref="V1474:V1537" si="118">+IF(AND(Q1474&gt;P1474,Q1474&lt;=N1474),1,0)</f>
        <v>0</v>
      </c>
      <c r="W1474">
        <f t="shared" ref="W1474:W1537" si="119">+IF(Q1474&gt;N1474,1,0)</f>
        <v>0</v>
      </c>
      <c r="X1474">
        <v>1</v>
      </c>
      <c r="Y1474" s="2">
        <v>45768</v>
      </c>
      <c r="Z1474" s="3" t="s">
        <v>47</v>
      </c>
      <c r="AA1474" t="s">
        <v>39</v>
      </c>
      <c r="AB1474" t="s">
        <v>40</v>
      </c>
      <c r="AC1474" t="s">
        <v>40</v>
      </c>
      <c r="AD1474" t="s">
        <v>696</v>
      </c>
    </row>
    <row r="1475" spans="2:30">
      <c r="B1475">
        <v>1</v>
      </c>
      <c r="C1475">
        <v>1020</v>
      </c>
      <c r="D1475" t="s">
        <v>693</v>
      </c>
      <c r="E1475">
        <v>10004115</v>
      </c>
      <c r="F1475" t="s">
        <v>1570</v>
      </c>
      <c r="G1475" t="s">
        <v>43</v>
      </c>
      <c r="H1475" t="s">
        <v>32</v>
      </c>
      <c r="I1475" t="s">
        <v>695</v>
      </c>
      <c r="J1475" t="s">
        <v>45</v>
      </c>
      <c r="K1475" t="s">
        <v>35</v>
      </c>
      <c r="L1475" t="s">
        <v>175</v>
      </c>
      <c r="M1475" t="s">
        <v>46</v>
      </c>
      <c r="N1475">
        <v>0</v>
      </c>
      <c r="O1475">
        <v>0</v>
      </c>
      <c r="P1475">
        <v>0</v>
      </c>
      <c r="Q1475">
        <v>9</v>
      </c>
      <c r="R1475">
        <v>0</v>
      </c>
      <c r="S1475" t="str">
        <f t="shared" si="115"/>
        <v>PY: Media Crit.</v>
      </c>
      <c r="T1475">
        <f t="shared" si="116"/>
        <v>0</v>
      </c>
      <c r="U1475">
        <f t="shared" si="117"/>
        <v>0</v>
      </c>
      <c r="V1475">
        <f t="shared" si="118"/>
        <v>0</v>
      </c>
      <c r="W1475">
        <f t="shared" si="119"/>
        <v>1</v>
      </c>
      <c r="X1475">
        <v>1</v>
      </c>
      <c r="Y1475" s="2">
        <v>45768</v>
      </c>
      <c r="Z1475" s="3" t="s">
        <v>47</v>
      </c>
      <c r="AA1475" t="s">
        <v>39</v>
      </c>
      <c r="AB1475" t="s">
        <v>40</v>
      </c>
      <c r="AC1475" t="s">
        <v>40</v>
      </c>
      <c r="AD1475" t="s">
        <v>696</v>
      </c>
    </row>
    <row r="1476" spans="2:30">
      <c r="B1476">
        <v>1</v>
      </c>
      <c r="C1476">
        <v>1020</v>
      </c>
      <c r="D1476" t="s">
        <v>388</v>
      </c>
      <c r="E1476">
        <v>10004926</v>
      </c>
      <c r="F1476" t="s">
        <v>1571</v>
      </c>
      <c r="G1476" t="s">
        <v>43</v>
      </c>
      <c r="H1476" t="s">
        <v>60</v>
      </c>
      <c r="I1476" t="s">
        <v>390</v>
      </c>
      <c r="J1476" t="s">
        <v>45</v>
      </c>
      <c r="K1476" t="s">
        <v>35</v>
      </c>
      <c r="L1476" t="s">
        <v>175</v>
      </c>
      <c r="M1476" t="s">
        <v>69</v>
      </c>
      <c r="N1476">
        <v>0</v>
      </c>
      <c r="O1476">
        <v>0</v>
      </c>
      <c r="P1476">
        <v>9</v>
      </c>
      <c r="Q1476">
        <v>0</v>
      </c>
      <c r="R1476">
        <v>0</v>
      </c>
      <c r="S1476" t="str">
        <f t="shared" si="115"/>
        <v>PY: Media Crit.</v>
      </c>
      <c r="T1476">
        <f t="shared" si="116"/>
        <v>1</v>
      </c>
      <c r="U1476">
        <f t="shared" si="117"/>
        <v>0</v>
      </c>
      <c r="V1476">
        <f t="shared" si="118"/>
        <v>0</v>
      </c>
      <c r="W1476">
        <f t="shared" si="119"/>
        <v>0</v>
      </c>
      <c r="X1476">
        <v>1</v>
      </c>
      <c r="Y1476" s="2">
        <v>45768</v>
      </c>
      <c r="Z1476" s="3" t="s">
        <v>70</v>
      </c>
      <c r="AA1476" t="s">
        <v>39</v>
      </c>
      <c r="AB1476" t="s">
        <v>40</v>
      </c>
      <c r="AC1476" t="s">
        <v>40</v>
      </c>
      <c r="AD1476" t="s">
        <v>391</v>
      </c>
    </row>
    <row r="1477" spans="2:30">
      <c r="B1477">
        <v>1</v>
      </c>
      <c r="C1477">
        <v>1020</v>
      </c>
      <c r="D1477" t="s">
        <v>388</v>
      </c>
      <c r="E1477">
        <v>10018883</v>
      </c>
      <c r="F1477" t="s">
        <v>1572</v>
      </c>
      <c r="G1477" t="s">
        <v>31</v>
      </c>
      <c r="H1477" t="s">
        <v>32</v>
      </c>
      <c r="I1477" t="s">
        <v>390</v>
      </c>
      <c r="J1477" t="s">
        <v>45</v>
      </c>
      <c r="K1477" t="s">
        <v>35</v>
      </c>
      <c r="L1477" t="s">
        <v>175</v>
      </c>
      <c r="M1477" t="s">
        <v>69</v>
      </c>
      <c r="N1477">
        <v>0</v>
      </c>
      <c r="O1477">
        <v>0</v>
      </c>
      <c r="P1477">
        <v>1</v>
      </c>
      <c r="Q1477">
        <v>1</v>
      </c>
      <c r="R1477" s="4">
        <v>1094.02</v>
      </c>
      <c r="S1477" t="str">
        <f t="shared" si="115"/>
        <v>PX: Baja Crit.</v>
      </c>
      <c r="T1477">
        <f t="shared" si="116"/>
        <v>0</v>
      </c>
      <c r="U1477">
        <f t="shared" si="117"/>
        <v>1</v>
      </c>
      <c r="V1477">
        <f t="shared" si="118"/>
        <v>0</v>
      </c>
      <c r="W1477">
        <f t="shared" si="119"/>
        <v>1</v>
      </c>
      <c r="X1477">
        <v>1</v>
      </c>
      <c r="Y1477" s="2">
        <v>45768</v>
      </c>
      <c r="Z1477" s="3" t="s">
        <v>70</v>
      </c>
      <c r="AA1477" t="s">
        <v>39</v>
      </c>
      <c r="AB1477" t="s">
        <v>40</v>
      </c>
      <c r="AC1477" t="s">
        <v>40</v>
      </c>
      <c r="AD1477" t="s">
        <v>391</v>
      </c>
    </row>
    <row r="1478" spans="2:30">
      <c r="B1478">
        <v>1</v>
      </c>
      <c r="C1478">
        <v>1020</v>
      </c>
      <c r="D1478" t="s">
        <v>384</v>
      </c>
      <c r="E1478">
        <v>10021511</v>
      </c>
      <c r="F1478" t="s">
        <v>1573</v>
      </c>
      <c r="G1478" t="s">
        <v>52</v>
      </c>
      <c r="H1478" t="s">
        <v>32</v>
      </c>
      <c r="I1478" t="s">
        <v>386</v>
      </c>
      <c r="J1478" t="s">
        <v>45</v>
      </c>
      <c r="K1478" t="s">
        <v>35</v>
      </c>
      <c r="L1478" t="s">
        <v>175</v>
      </c>
      <c r="M1478" t="s">
        <v>46</v>
      </c>
      <c r="N1478">
        <v>0</v>
      </c>
      <c r="O1478">
        <v>0</v>
      </c>
      <c r="P1478">
        <v>0</v>
      </c>
      <c r="Q1478">
        <v>16</v>
      </c>
      <c r="R1478">
        <v>0</v>
      </c>
      <c r="S1478" t="str">
        <f t="shared" si="115"/>
        <v>PZ: Alta Crit.</v>
      </c>
      <c r="T1478">
        <f t="shared" si="116"/>
        <v>0</v>
      </c>
      <c r="U1478">
        <f t="shared" si="117"/>
        <v>0</v>
      </c>
      <c r="V1478">
        <f t="shared" si="118"/>
        <v>0</v>
      </c>
      <c r="W1478">
        <f t="shared" si="119"/>
        <v>1</v>
      </c>
      <c r="X1478">
        <v>1</v>
      </c>
      <c r="Y1478" s="2">
        <v>45768</v>
      </c>
      <c r="Z1478" s="3" t="s">
        <v>47</v>
      </c>
      <c r="AA1478" t="s">
        <v>39</v>
      </c>
      <c r="AB1478" t="s">
        <v>40</v>
      </c>
      <c r="AC1478" t="s">
        <v>40</v>
      </c>
      <c r="AD1478" t="s">
        <v>387</v>
      </c>
    </row>
    <row r="1479" spans="2:30">
      <c r="B1479">
        <v>1</v>
      </c>
      <c r="C1479">
        <v>1020</v>
      </c>
      <c r="D1479" t="s">
        <v>693</v>
      </c>
      <c r="E1479">
        <v>10022129</v>
      </c>
      <c r="F1479" t="s">
        <v>1574</v>
      </c>
      <c r="G1479" t="s">
        <v>43</v>
      </c>
      <c r="H1479" t="s">
        <v>32</v>
      </c>
      <c r="I1479" t="s">
        <v>695</v>
      </c>
      <c r="J1479" t="s">
        <v>45</v>
      </c>
      <c r="K1479" t="s">
        <v>35</v>
      </c>
      <c r="L1479" t="s">
        <v>175</v>
      </c>
      <c r="M1479" t="s">
        <v>46</v>
      </c>
      <c r="N1479">
        <v>0</v>
      </c>
      <c r="O1479">
        <v>0</v>
      </c>
      <c r="P1479">
        <v>0</v>
      </c>
      <c r="Q1479">
        <v>0</v>
      </c>
      <c r="R1479">
        <v>0</v>
      </c>
      <c r="S1479" t="str">
        <f t="shared" si="115"/>
        <v>PY: Media Crit.</v>
      </c>
      <c r="T1479">
        <f t="shared" si="116"/>
        <v>1</v>
      </c>
      <c r="U1479">
        <f t="shared" si="117"/>
        <v>0</v>
      </c>
      <c r="V1479">
        <f t="shared" si="118"/>
        <v>0</v>
      </c>
      <c r="W1479">
        <f t="shared" si="119"/>
        <v>0</v>
      </c>
      <c r="X1479">
        <v>1</v>
      </c>
      <c r="Y1479" s="2">
        <v>45768</v>
      </c>
      <c r="Z1479" s="3" t="s">
        <v>47</v>
      </c>
      <c r="AA1479" t="s">
        <v>39</v>
      </c>
      <c r="AB1479" t="s">
        <v>40</v>
      </c>
      <c r="AC1479" t="s">
        <v>40</v>
      </c>
      <c r="AD1479" t="s">
        <v>696</v>
      </c>
    </row>
    <row r="1480" spans="2:30">
      <c r="B1480">
        <v>1</v>
      </c>
      <c r="C1480">
        <v>1020</v>
      </c>
      <c r="D1480" t="s">
        <v>388</v>
      </c>
      <c r="E1480">
        <v>10029784</v>
      </c>
      <c r="F1480" t="s">
        <v>1575</v>
      </c>
      <c r="G1480" t="s">
        <v>31</v>
      </c>
      <c r="H1480" t="s">
        <v>32</v>
      </c>
      <c r="I1480" t="s">
        <v>390</v>
      </c>
      <c r="J1480" t="s">
        <v>45</v>
      </c>
      <c r="K1480" t="s">
        <v>35</v>
      </c>
      <c r="L1480" t="s">
        <v>175</v>
      </c>
      <c r="M1480" t="s">
        <v>69</v>
      </c>
      <c r="N1480">
        <v>0</v>
      </c>
      <c r="O1480">
        <v>0</v>
      </c>
      <c r="P1480">
        <v>1</v>
      </c>
      <c r="Q1480">
        <v>1</v>
      </c>
      <c r="R1480" s="4">
        <v>2861.22</v>
      </c>
      <c r="S1480" t="str">
        <f t="shared" si="115"/>
        <v>PX: Baja Crit.</v>
      </c>
      <c r="T1480">
        <f t="shared" si="116"/>
        <v>0</v>
      </c>
      <c r="U1480">
        <f t="shared" si="117"/>
        <v>1</v>
      </c>
      <c r="V1480">
        <f t="shared" si="118"/>
        <v>0</v>
      </c>
      <c r="W1480">
        <f t="shared" si="119"/>
        <v>1</v>
      </c>
      <c r="X1480">
        <v>1</v>
      </c>
      <c r="Y1480" s="2">
        <v>45768</v>
      </c>
      <c r="Z1480" s="3" t="s">
        <v>70</v>
      </c>
      <c r="AA1480" t="s">
        <v>39</v>
      </c>
      <c r="AB1480" t="s">
        <v>40</v>
      </c>
      <c r="AC1480" t="s">
        <v>40</v>
      </c>
      <c r="AD1480" t="s">
        <v>391</v>
      </c>
    </row>
    <row r="1481" spans="2:30">
      <c r="B1481">
        <v>1</v>
      </c>
      <c r="C1481">
        <v>1020</v>
      </c>
      <c r="D1481" t="s">
        <v>181</v>
      </c>
      <c r="E1481">
        <v>10030375</v>
      </c>
      <c r="F1481" t="s">
        <v>1576</v>
      </c>
      <c r="G1481" t="s">
        <v>43</v>
      </c>
      <c r="H1481" t="s">
        <v>32</v>
      </c>
      <c r="I1481" t="s">
        <v>183</v>
      </c>
      <c r="J1481" t="s">
        <v>45</v>
      </c>
      <c r="K1481" t="s">
        <v>35</v>
      </c>
      <c r="L1481" t="s">
        <v>36</v>
      </c>
      <c r="M1481" t="s">
        <v>69</v>
      </c>
      <c r="N1481">
        <v>2</v>
      </c>
      <c r="O1481">
        <v>2</v>
      </c>
      <c r="P1481">
        <v>1</v>
      </c>
      <c r="Q1481">
        <v>2</v>
      </c>
      <c r="R1481">
        <v>807.97</v>
      </c>
      <c r="S1481" t="str">
        <f t="shared" si="115"/>
        <v>PY: Media Crit.</v>
      </c>
      <c r="T1481">
        <f t="shared" si="116"/>
        <v>0</v>
      </c>
      <c r="U1481">
        <f t="shared" si="117"/>
        <v>0</v>
      </c>
      <c r="V1481">
        <f t="shared" si="118"/>
        <v>1</v>
      </c>
      <c r="W1481">
        <f t="shared" si="119"/>
        <v>0</v>
      </c>
      <c r="X1481">
        <v>1</v>
      </c>
      <c r="Y1481" s="2">
        <v>45768</v>
      </c>
      <c r="Z1481" s="3" t="s">
        <v>70</v>
      </c>
      <c r="AA1481" t="s">
        <v>39</v>
      </c>
      <c r="AB1481" t="s">
        <v>40</v>
      </c>
      <c r="AC1481" t="s">
        <v>40</v>
      </c>
      <c r="AD1481" t="s">
        <v>184</v>
      </c>
    </row>
    <row r="1482" spans="2:30">
      <c r="B1482">
        <v>1</v>
      </c>
      <c r="C1482">
        <v>1020</v>
      </c>
      <c r="D1482" t="s">
        <v>181</v>
      </c>
      <c r="E1482">
        <v>10040509</v>
      </c>
      <c r="F1482" t="s">
        <v>1577</v>
      </c>
      <c r="G1482" t="s">
        <v>31</v>
      </c>
      <c r="H1482" t="s">
        <v>32</v>
      </c>
      <c r="I1482" t="s">
        <v>183</v>
      </c>
      <c r="J1482" t="s">
        <v>45</v>
      </c>
      <c r="K1482" t="s">
        <v>1578</v>
      </c>
      <c r="L1482" t="s">
        <v>36</v>
      </c>
      <c r="M1482" t="s">
        <v>88</v>
      </c>
      <c r="N1482">
        <v>200</v>
      </c>
      <c r="O1482">
        <v>101</v>
      </c>
      <c r="P1482">
        <v>50</v>
      </c>
      <c r="Q1482">
        <v>220</v>
      </c>
      <c r="R1482">
        <v>231.93</v>
      </c>
      <c r="S1482" t="str">
        <f t="shared" si="115"/>
        <v>PX: Baja Crit.</v>
      </c>
      <c r="T1482">
        <f t="shared" si="116"/>
        <v>0</v>
      </c>
      <c r="U1482">
        <f t="shared" si="117"/>
        <v>0</v>
      </c>
      <c r="V1482">
        <f t="shared" si="118"/>
        <v>0</v>
      </c>
      <c r="W1482">
        <f t="shared" si="119"/>
        <v>1</v>
      </c>
      <c r="X1482">
        <v>1</v>
      </c>
      <c r="Y1482" s="2">
        <v>45768</v>
      </c>
      <c r="Z1482" s="3" t="s">
        <v>89</v>
      </c>
      <c r="AA1482" t="s">
        <v>39</v>
      </c>
      <c r="AB1482" t="s">
        <v>40</v>
      </c>
      <c r="AC1482" t="s">
        <v>40</v>
      </c>
      <c r="AD1482" t="s">
        <v>184</v>
      </c>
    </row>
    <row r="1483" spans="2:30">
      <c r="B1483">
        <v>1</v>
      </c>
      <c r="C1483">
        <v>1020</v>
      </c>
      <c r="D1483" t="s">
        <v>181</v>
      </c>
      <c r="E1483">
        <v>10040548</v>
      </c>
      <c r="F1483" t="s">
        <v>1579</v>
      </c>
      <c r="G1483" t="s">
        <v>52</v>
      </c>
      <c r="H1483" t="s">
        <v>32</v>
      </c>
      <c r="I1483" t="s">
        <v>183</v>
      </c>
      <c r="J1483" t="s">
        <v>45</v>
      </c>
      <c r="K1483" t="s">
        <v>35</v>
      </c>
      <c r="L1483" t="s">
        <v>36</v>
      </c>
      <c r="M1483" t="s">
        <v>46</v>
      </c>
      <c r="N1483">
        <v>12</v>
      </c>
      <c r="O1483">
        <v>6</v>
      </c>
      <c r="P1483">
        <v>0</v>
      </c>
      <c r="Q1483">
        <v>12</v>
      </c>
      <c r="R1483" s="4">
        <v>4551.41</v>
      </c>
      <c r="S1483" t="str">
        <f t="shared" si="115"/>
        <v>PZ: Alta Crit.</v>
      </c>
      <c r="T1483">
        <f t="shared" si="116"/>
        <v>0</v>
      </c>
      <c r="U1483">
        <f t="shared" si="117"/>
        <v>0</v>
      </c>
      <c r="V1483">
        <f t="shared" si="118"/>
        <v>1</v>
      </c>
      <c r="W1483">
        <f t="shared" si="119"/>
        <v>0</v>
      </c>
      <c r="X1483">
        <v>1</v>
      </c>
      <c r="Y1483" s="2">
        <v>45768</v>
      </c>
      <c r="Z1483" s="3" t="s">
        <v>47</v>
      </c>
      <c r="AA1483" t="s">
        <v>39</v>
      </c>
      <c r="AB1483" t="s">
        <v>40</v>
      </c>
      <c r="AC1483" t="s">
        <v>40</v>
      </c>
      <c r="AD1483" t="s">
        <v>184</v>
      </c>
    </row>
    <row r="1484" spans="2:30">
      <c r="B1484">
        <v>1</v>
      </c>
      <c r="C1484">
        <v>1020</v>
      </c>
      <c r="D1484" t="s">
        <v>388</v>
      </c>
      <c r="E1484">
        <v>10040593</v>
      </c>
      <c r="F1484" t="s">
        <v>1580</v>
      </c>
      <c r="G1484" t="s">
        <v>52</v>
      </c>
      <c r="H1484" t="s">
        <v>32</v>
      </c>
      <c r="I1484" t="s">
        <v>390</v>
      </c>
      <c r="J1484" t="s">
        <v>45</v>
      </c>
      <c r="K1484" t="s">
        <v>35</v>
      </c>
      <c r="L1484" t="s">
        <v>175</v>
      </c>
      <c r="M1484" t="s">
        <v>46</v>
      </c>
      <c r="N1484">
        <v>0</v>
      </c>
      <c r="O1484">
        <v>0</v>
      </c>
      <c r="P1484">
        <v>1</v>
      </c>
      <c r="Q1484">
        <v>1</v>
      </c>
      <c r="R1484" s="4">
        <v>54829.08</v>
      </c>
      <c r="S1484" t="str">
        <f t="shared" si="115"/>
        <v>PZ: Alta Crit.</v>
      </c>
      <c r="T1484">
        <f t="shared" si="116"/>
        <v>0</v>
      </c>
      <c r="U1484">
        <f t="shared" si="117"/>
        <v>1</v>
      </c>
      <c r="V1484">
        <f t="shared" si="118"/>
        <v>0</v>
      </c>
      <c r="W1484">
        <f t="shared" si="119"/>
        <v>1</v>
      </c>
      <c r="X1484">
        <v>1</v>
      </c>
      <c r="Y1484" s="2">
        <v>45768</v>
      </c>
      <c r="Z1484" s="3" t="s">
        <v>47</v>
      </c>
      <c r="AA1484" t="s">
        <v>39</v>
      </c>
      <c r="AB1484" t="s">
        <v>40</v>
      </c>
      <c r="AC1484" t="s">
        <v>40</v>
      </c>
      <c r="AD1484" t="s">
        <v>391</v>
      </c>
    </row>
    <row r="1485" spans="2:30">
      <c r="B1485">
        <v>1</v>
      </c>
      <c r="C1485">
        <v>1020</v>
      </c>
      <c r="D1485" t="s">
        <v>181</v>
      </c>
      <c r="E1485">
        <v>10040603</v>
      </c>
      <c r="F1485" t="s">
        <v>1581</v>
      </c>
      <c r="G1485" t="s">
        <v>43</v>
      </c>
      <c r="H1485" t="s">
        <v>32</v>
      </c>
      <c r="I1485" t="s">
        <v>183</v>
      </c>
      <c r="J1485" t="s">
        <v>45</v>
      </c>
      <c r="K1485" t="s">
        <v>35</v>
      </c>
      <c r="L1485" t="s">
        <v>36</v>
      </c>
      <c r="M1485" t="s">
        <v>117</v>
      </c>
      <c r="N1485">
        <v>1</v>
      </c>
      <c r="O1485">
        <v>1</v>
      </c>
      <c r="P1485">
        <v>1</v>
      </c>
      <c r="Q1485">
        <v>1</v>
      </c>
      <c r="R1485">
        <v>637.66</v>
      </c>
      <c r="S1485" t="str">
        <f t="shared" si="115"/>
        <v>PY: Media Crit.</v>
      </c>
      <c r="T1485">
        <f t="shared" si="116"/>
        <v>0</v>
      </c>
      <c r="U1485">
        <f t="shared" si="117"/>
        <v>1</v>
      </c>
      <c r="V1485">
        <f t="shared" si="118"/>
        <v>0</v>
      </c>
      <c r="W1485">
        <f t="shared" si="119"/>
        <v>0</v>
      </c>
      <c r="X1485">
        <v>1</v>
      </c>
      <c r="Y1485" s="2">
        <v>45768</v>
      </c>
      <c r="Z1485" s="3" t="s">
        <v>118</v>
      </c>
      <c r="AA1485" t="s">
        <v>39</v>
      </c>
      <c r="AB1485" t="s">
        <v>40</v>
      </c>
      <c r="AC1485" t="s">
        <v>40</v>
      </c>
      <c r="AD1485" t="s">
        <v>184</v>
      </c>
    </row>
    <row r="1486" spans="2:30">
      <c r="B1486">
        <v>1</v>
      </c>
      <c r="C1486">
        <v>1020</v>
      </c>
      <c r="D1486" t="s">
        <v>181</v>
      </c>
      <c r="E1486">
        <v>10040692</v>
      </c>
      <c r="F1486" t="s">
        <v>1582</v>
      </c>
      <c r="G1486" t="s">
        <v>52</v>
      </c>
      <c r="H1486" t="s">
        <v>32</v>
      </c>
      <c r="I1486" t="s">
        <v>183</v>
      </c>
      <c r="J1486" t="s">
        <v>45</v>
      </c>
      <c r="K1486" t="s">
        <v>35</v>
      </c>
      <c r="L1486" t="s">
        <v>36</v>
      </c>
      <c r="M1486" t="s">
        <v>117</v>
      </c>
      <c r="N1486">
        <v>10</v>
      </c>
      <c r="O1486">
        <v>6</v>
      </c>
      <c r="P1486">
        <v>1</v>
      </c>
      <c r="Q1486">
        <v>10</v>
      </c>
      <c r="R1486" s="4">
        <v>1189</v>
      </c>
      <c r="S1486" t="str">
        <f t="shared" si="115"/>
        <v>PZ: Alta Crit.</v>
      </c>
      <c r="T1486">
        <f t="shared" si="116"/>
        <v>0</v>
      </c>
      <c r="U1486">
        <f t="shared" si="117"/>
        <v>0</v>
      </c>
      <c r="V1486">
        <f t="shared" si="118"/>
        <v>1</v>
      </c>
      <c r="W1486">
        <f t="shared" si="119"/>
        <v>0</v>
      </c>
      <c r="X1486">
        <v>1</v>
      </c>
      <c r="Y1486" s="2">
        <v>45768</v>
      </c>
      <c r="Z1486" s="3" t="s">
        <v>118</v>
      </c>
      <c r="AA1486" t="s">
        <v>39</v>
      </c>
      <c r="AB1486" t="s">
        <v>40</v>
      </c>
      <c r="AC1486" t="s">
        <v>40</v>
      </c>
      <c r="AD1486" t="s">
        <v>184</v>
      </c>
    </row>
    <row r="1487" spans="2:30">
      <c r="B1487">
        <v>1</v>
      </c>
      <c r="C1487">
        <v>1020</v>
      </c>
      <c r="D1487" t="s">
        <v>181</v>
      </c>
      <c r="E1487">
        <v>10040713</v>
      </c>
      <c r="F1487" t="s">
        <v>1583</v>
      </c>
      <c r="G1487" t="s">
        <v>43</v>
      </c>
      <c r="H1487" t="s">
        <v>44</v>
      </c>
      <c r="I1487" t="s">
        <v>183</v>
      </c>
      <c r="J1487" t="s">
        <v>45</v>
      </c>
      <c r="K1487" t="s">
        <v>35</v>
      </c>
      <c r="L1487" t="s">
        <v>36</v>
      </c>
      <c r="M1487" t="s">
        <v>117</v>
      </c>
      <c r="N1487">
        <v>6</v>
      </c>
      <c r="O1487">
        <v>4</v>
      </c>
      <c r="P1487">
        <v>0</v>
      </c>
      <c r="Q1487">
        <v>6</v>
      </c>
      <c r="R1487" s="4">
        <v>1053.8499999999999</v>
      </c>
      <c r="S1487" t="str">
        <f t="shared" si="115"/>
        <v>PY: Media Crit.</v>
      </c>
      <c r="T1487">
        <f t="shared" si="116"/>
        <v>0</v>
      </c>
      <c r="U1487">
        <f t="shared" si="117"/>
        <v>0</v>
      </c>
      <c r="V1487">
        <f t="shared" si="118"/>
        <v>1</v>
      </c>
      <c r="W1487">
        <f t="shared" si="119"/>
        <v>0</v>
      </c>
      <c r="X1487">
        <v>1</v>
      </c>
      <c r="Y1487" s="2">
        <v>45768</v>
      </c>
      <c r="Z1487" s="3" t="s">
        <v>118</v>
      </c>
      <c r="AA1487" t="s">
        <v>39</v>
      </c>
      <c r="AB1487" t="s">
        <v>40</v>
      </c>
      <c r="AC1487" t="s">
        <v>40</v>
      </c>
      <c r="AD1487" t="s">
        <v>184</v>
      </c>
    </row>
    <row r="1488" spans="2:30">
      <c r="B1488">
        <v>1</v>
      </c>
      <c r="C1488">
        <v>1020</v>
      </c>
      <c r="D1488" t="s">
        <v>181</v>
      </c>
      <c r="E1488">
        <v>10040839</v>
      </c>
      <c r="F1488" t="s">
        <v>1584</v>
      </c>
      <c r="G1488" t="s">
        <v>43</v>
      </c>
      <c r="H1488" t="s">
        <v>32</v>
      </c>
      <c r="I1488" t="s">
        <v>183</v>
      </c>
      <c r="J1488" t="s">
        <v>45</v>
      </c>
      <c r="K1488" t="s">
        <v>35</v>
      </c>
      <c r="L1488" t="s">
        <v>36</v>
      </c>
      <c r="M1488" t="s">
        <v>55</v>
      </c>
      <c r="N1488">
        <v>50</v>
      </c>
      <c r="O1488">
        <v>31</v>
      </c>
      <c r="P1488">
        <v>10</v>
      </c>
      <c r="Q1488">
        <v>50</v>
      </c>
      <c r="R1488">
        <v>3.76</v>
      </c>
      <c r="S1488" t="str">
        <f t="shared" si="115"/>
        <v>PY: Media Crit.</v>
      </c>
      <c r="T1488">
        <f t="shared" si="116"/>
        <v>0</v>
      </c>
      <c r="U1488">
        <f t="shared" si="117"/>
        <v>0</v>
      </c>
      <c r="V1488">
        <f t="shared" si="118"/>
        <v>1</v>
      </c>
      <c r="W1488">
        <f t="shared" si="119"/>
        <v>0</v>
      </c>
      <c r="X1488">
        <v>1</v>
      </c>
      <c r="Y1488" s="2">
        <v>45768</v>
      </c>
      <c r="Z1488" s="3" t="s">
        <v>56</v>
      </c>
      <c r="AA1488" t="s">
        <v>39</v>
      </c>
      <c r="AB1488" t="s">
        <v>40</v>
      </c>
      <c r="AC1488" t="s">
        <v>40</v>
      </c>
      <c r="AD1488" t="s">
        <v>184</v>
      </c>
    </row>
    <row r="1489" spans="2:30">
      <c r="B1489">
        <v>1</v>
      </c>
      <c r="C1489">
        <v>1020</v>
      </c>
      <c r="D1489" t="s">
        <v>181</v>
      </c>
      <c r="E1489">
        <v>10040980</v>
      </c>
      <c r="F1489" t="s">
        <v>1585</v>
      </c>
      <c r="G1489" t="s">
        <v>43</v>
      </c>
      <c r="H1489" t="s">
        <v>44</v>
      </c>
      <c r="I1489" t="s">
        <v>183</v>
      </c>
      <c r="J1489" t="s">
        <v>45</v>
      </c>
      <c r="K1489" t="s">
        <v>35</v>
      </c>
      <c r="L1489" t="s">
        <v>36</v>
      </c>
      <c r="M1489" t="s">
        <v>69</v>
      </c>
      <c r="N1489">
        <v>5</v>
      </c>
      <c r="O1489">
        <v>3</v>
      </c>
      <c r="P1489">
        <v>0</v>
      </c>
      <c r="Q1489">
        <v>5</v>
      </c>
      <c r="R1489" s="4">
        <v>1027.22</v>
      </c>
      <c r="S1489" t="str">
        <f t="shared" si="115"/>
        <v>PY: Media Crit.</v>
      </c>
      <c r="T1489">
        <f t="shared" si="116"/>
        <v>0</v>
      </c>
      <c r="U1489">
        <f t="shared" si="117"/>
        <v>0</v>
      </c>
      <c r="V1489">
        <f t="shared" si="118"/>
        <v>1</v>
      </c>
      <c r="W1489">
        <f t="shared" si="119"/>
        <v>0</v>
      </c>
      <c r="X1489">
        <v>1</v>
      </c>
      <c r="Y1489" s="2">
        <v>45768</v>
      </c>
      <c r="Z1489" s="3" t="s">
        <v>70</v>
      </c>
      <c r="AA1489" t="s">
        <v>39</v>
      </c>
      <c r="AB1489" t="s">
        <v>40</v>
      </c>
      <c r="AC1489" t="s">
        <v>40</v>
      </c>
      <c r="AD1489" t="s">
        <v>184</v>
      </c>
    </row>
    <row r="1490" spans="2:30">
      <c r="B1490">
        <v>1</v>
      </c>
      <c r="C1490">
        <v>1020</v>
      </c>
      <c r="D1490" t="s">
        <v>181</v>
      </c>
      <c r="E1490">
        <v>10040983</v>
      </c>
      <c r="F1490" t="s">
        <v>1586</v>
      </c>
      <c r="G1490" t="s">
        <v>43</v>
      </c>
      <c r="H1490" t="s">
        <v>32</v>
      </c>
      <c r="I1490" t="s">
        <v>183</v>
      </c>
      <c r="J1490" t="s">
        <v>45</v>
      </c>
      <c r="K1490" t="s">
        <v>35</v>
      </c>
      <c r="L1490" t="s">
        <v>36</v>
      </c>
      <c r="M1490" t="s">
        <v>69</v>
      </c>
      <c r="N1490">
        <v>3</v>
      </c>
      <c r="O1490">
        <v>3</v>
      </c>
      <c r="P1490">
        <v>0</v>
      </c>
      <c r="Q1490">
        <v>0</v>
      </c>
      <c r="R1490">
        <v>0</v>
      </c>
      <c r="S1490" t="str">
        <f t="shared" si="115"/>
        <v>PY: Media Crit.</v>
      </c>
      <c r="T1490">
        <f t="shared" si="116"/>
        <v>1</v>
      </c>
      <c r="U1490">
        <f t="shared" si="117"/>
        <v>0</v>
      </c>
      <c r="V1490">
        <f t="shared" si="118"/>
        <v>0</v>
      </c>
      <c r="W1490">
        <f t="shared" si="119"/>
        <v>0</v>
      </c>
      <c r="X1490">
        <v>1</v>
      </c>
      <c r="Y1490" s="2">
        <v>45768</v>
      </c>
      <c r="Z1490" s="3" t="s">
        <v>70</v>
      </c>
      <c r="AA1490" t="s">
        <v>39</v>
      </c>
      <c r="AB1490" t="s">
        <v>76</v>
      </c>
      <c r="AC1490" s="5" t="s">
        <v>77</v>
      </c>
      <c r="AD1490" t="s">
        <v>184</v>
      </c>
    </row>
    <row r="1491" spans="2:30">
      <c r="B1491">
        <v>1</v>
      </c>
      <c r="C1491">
        <v>1020</v>
      </c>
      <c r="D1491" t="s">
        <v>384</v>
      </c>
      <c r="E1491">
        <v>10040987</v>
      </c>
      <c r="F1491" t="s">
        <v>1587</v>
      </c>
      <c r="G1491" t="s">
        <v>31</v>
      </c>
      <c r="H1491" t="s">
        <v>32</v>
      </c>
      <c r="I1491" t="s">
        <v>386</v>
      </c>
      <c r="J1491" t="s">
        <v>45</v>
      </c>
      <c r="K1491" t="s">
        <v>35</v>
      </c>
      <c r="L1491" t="s">
        <v>175</v>
      </c>
      <c r="M1491" t="s">
        <v>69</v>
      </c>
      <c r="N1491">
        <v>0</v>
      </c>
      <c r="O1491">
        <v>0</v>
      </c>
      <c r="P1491">
        <v>0</v>
      </c>
      <c r="Q1491">
        <v>0</v>
      </c>
      <c r="R1491">
        <v>0</v>
      </c>
      <c r="S1491" t="str">
        <f t="shared" si="115"/>
        <v>PX: Baja Crit.</v>
      </c>
      <c r="T1491">
        <f t="shared" si="116"/>
        <v>1</v>
      </c>
      <c r="U1491">
        <f t="shared" si="117"/>
        <v>0</v>
      </c>
      <c r="V1491">
        <f t="shared" si="118"/>
        <v>0</v>
      </c>
      <c r="W1491">
        <f t="shared" si="119"/>
        <v>0</v>
      </c>
      <c r="X1491">
        <v>1</v>
      </c>
      <c r="Y1491" s="2">
        <v>45768</v>
      </c>
      <c r="Z1491" s="3" t="s">
        <v>70</v>
      </c>
      <c r="AA1491" t="s">
        <v>39</v>
      </c>
      <c r="AB1491" t="s">
        <v>40</v>
      </c>
      <c r="AC1491" t="s">
        <v>40</v>
      </c>
      <c r="AD1491" t="s">
        <v>387</v>
      </c>
    </row>
    <row r="1492" spans="2:30">
      <c r="B1492">
        <v>1</v>
      </c>
      <c r="C1492">
        <v>1020</v>
      </c>
      <c r="D1492" t="s">
        <v>384</v>
      </c>
      <c r="E1492">
        <v>10041028</v>
      </c>
      <c r="F1492" t="s">
        <v>1588</v>
      </c>
      <c r="G1492" t="s">
        <v>43</v>
      </c>
      <c r="H1492" t="s">
        <v>60</v>
      </c>
      <c r="I1492" t="s">
        <v>386</v>
      </c>
      <c r="J1492" t="s">
        <v>45</v>
      </c>
      <c r="K1492" t="s">
        <v>35</v>
      </c>
      <c r="L1492" t="s">
        <v>175</v>
      </c>
      <c r="M1492" t="s">
        <v>69</v>
      </c>
      <c r="N1492">
        <v>4</v>
      </c>
      <c r="O1492">
        <v>0</v>
      </c>
      <c r="P1492">
        <v>0</v>
      </c>
      <c r="Q1492">
        <v>0</v>
      </c>
      <c r="R1492">
        <v>0</v>
      </c>
      <c r="S1492" t="str">
        <f t="shared" si="115"/>
        <v>PY: Media Crit.</v>
      </c>
      <c r="T1492">
        <f t="shared" si="116"/>
        <v>1</v>
      </c>
      <c r="U1492">
        <f t="shared" si="117"/>
        <v>0</v>
      </c>
      <c r="V1492">
        <f t="shared" si="118"/>
        <v>0</v>
      </c>
      <c r="W1492">
        <f t="shared" si="119"/>
        <v>0</v>
      </c>
      <c r="X1492">
        <v>1</v>
      </c>
      <c r="Y1492" s="2">
        <v>45768</v>
      </c>
      <c r="Z1492" s="3" t="s">
        <v>70</v>
      </c>
      <c r="AA1492" t="s">
        <v>39</v>
      </c>
      <c r="AB1492" t="s">
        <v>40</v>
      </c>
      <c r="AC1492" t="s">
        <v>40</v>
      </c>
      <c r="AD1492" t="s">
        <v>387</v>
      </c>
    </row>
    <row r="1493" spans="2:30">
      <c r="B1493">
        <v>1</v>
      </c>
      <c r="C1493">
        <v>1020</v>
      </c>
      <c r="D1493" t="s">
        <v>181</v>
      </c>
      <c r="E1493">
        <v>10041354</v>
      </c>
      <c r="F1493" t="s">
        <v>1589</v>
      </c>
      <c r="G1493" t="s">
        <v>43</v>
      </c>
      <c r="H1493" t="s">
        <v>32</v>
      </c>
      <c r="I1493" t="s">
        <v>183</v>
      </c>
      <c r="J1493" t="s">
        <v>45</v>
      </c>
      <c r="K1493" t="s">
        <v>35</v>
      </c>
      <c r="L1493" t="s">
        <v>36</v>
      </c>
      <c r="M1493" t="s">
        <v>46</v>
      </c>
      <c r="N1493">
        <v>2</v>
      </c>
      <c r="O1493">
        <v>1</v>
      </c>
      <c r="P1493">
        <v>0</v>
      </c>
      <c r="Q1493">
        <v>4</v>
      </c>
      <c r="R1493">
        <v>169.65</v>
      </c>
      <c r="S1493" t="str">
        <f t="shared" si="115"/>
        <v>PY: Media Crit.</v>
      </c>
      <c r="T1493">
        <f t="shared" si="116"/>
        <v>0</v>
      </c>
      <c r="U1493">
        <f t="shared" si="117"/>
        <v>0</v>
      </c>
      <c r="V1493">
        <f t="shared" si="118"/>
        <v>0</v>
      </c>
      <c r="W1493">
        <f t="shared" si="119"/>
        <v>1</v>
      </c>
      <c r="X1493">
        <v>1</v>
      </c>
      <c r="Y1493" s="2">
        <v>45768</v>
      </c>
      <c r="Z1493" s="3" t="s">
        <v>47</v>
      </c>
      <c r="AA1493" t="s">
        <v>39</v>
      </c>
      <c r="AB1493" t="s">
        <v>40</v>
      </c>
      <c r="AC1493" t="s">
        <v>40</v>
      </c>
      <c r="AD1493" t="s">
        <v>184</v>
      </c>
    </row>
    <row r="1494" spans="2:30">
      <c r="B1494">
        <v>1</v>
      </c>
      <c r="C1494">
        <v>1020</v>
      </c>
      <c r="D1494" t="s">
        <v>384</v>
      </c>
      <c r="E1494">
        <v>10041408</v>
      </c>
      <c r="F1494" t="s">
        <v>1590</v>
      </c>
      <c r="G1494" t="s">
        <v>31</v>
      </c>
      <c r="H1494" t="s">
        <v>32</v>
      </c>
      <c r="I1494" t="s">
        <v>386</v>
      </c>
      <c r="J1494" t="s">
        <v>45</v>
      </c>
      <c r="K1494" t="s">
        <v>35</v>
      </c>
      <c r="L1494" t="s">
        <v>175</v>
      </c>
      <c r="M1494" t="s">
        <v>46</v>
      </c>
      <c r="N1494">
        <v>0</v>
      </c>
      <c r="O1494">
        <v>0</v>
      </c>
      <c r="P1494">
        <v>0</v>
      </c>
      <c r="Q1494">
        <v>4</v>
      </c>
      <c r="R1494">
        <v>109.29</v>
      </c>
      <c r="S1494" t="str">
        <f t="shared" si="115"/>
        <v>PX: Baja Crit.</v>
      </c>
      <c r="T1494">
        <f t="shared" si="116"/>
        <v>0</v>
      </c>
      <c r="U1494">
        <f t="shared" si="117"/>
        <v>0</v>
      </c>
      <c r="V1494">
        <f t="shared" si="118"/>
        <v>0</v>
      </c>
      <c r="W1494">
        <f t="shared" si="119"/>
        <v>1</v>
      </c>
      <c r="X1494">
        <v>1</v>
      </c>
      <c r="Y1494" s="2">
        <v>45768</v>
      </c>
      <c r="Z1494" s="3" t="s">
        <v>47</v>
      </c>
      <c r="AA1494" t="s">
        <v>39</v>
      </c>
      <c r="AB1494" t="s">
        <v>40</v>
      </c>
      <c r="AC1494" t="s">
        <v>40</v>
      </c>
      <c r="AD1494" t="s">
        <v>387</v>
      </c>
    </row>
    <row r="1495" spans="2:30">
      <c r="B1495">
        <v>1</v>
      </c>
      <c r="C1495">
        <v>1020</v>
      </c>
      <c r="D1495" t="s">
        <v>388</v>
      </c>
      <c r="E1495">
        <v>10041543</v>
      </c>
      <c r="F1495" t="s">
        <v>1591</v>
      </c>
      <c r="G1495" t="s">
        <v>52</v>
      </c>
      <c r="H1495" t="s">
        <v>32</v>
      </c>
      <c r="I1495" t="s">
        <v>390</v>
      </c>
      <c r="J1495" t="s">
        <v>45</v>
      </c>
      <c r="K1495" t="s">
        <v>35</v>
      </c>
      <c r="L1495" t="s">
        <v>175</v>
      </c>
      <c r="M1495" t="s">
        <v>69</v>
      </c>
      <c r="N1495">
        <v>0</v>
      </c>
      <c r="O1495">
        <v>0</v>
      </c>
      <c r="P1495">
        <v>4</v>
      </c>
      <c r="Q1495">
        <v>4</v>
      </c>
      <c r="R1495" s="4">
        <v>33607.42</v>
      </c>
      <c r="S1495" t="str">
        <f t="shared" si="115"/>
        <v>PZ: Alta Crit.</v>
      </c>
      <c r="T1495">
        <f t="shared" si="116"/>
        <v>0</v>
      </c>
      <c r="U1495">
        <f t="shared" si="117"/>
        <v>1</v>
      </c>
      <c r="V1495">
        <f t="shared" si="118"/>
        <v>0</v>
      </c>
      <c r="W1495">
        <f t="shared" si="119"/>
        <v>1</v>
      </c>
      <c r="X1495">
        <v>1</v>
      </c>
      <c r="Y1495" s="2">
        <v>45768</v>
      </c>
      <c r="Z1495" s="3" t="s">
        <v>70</v>
      </c>
      <c r="AA1495" t="s">
        <v>39</v>
      </c>
      <c r="AB1495" t="s">
        <v>40</v>
      </c>
      <c r="AC1495" t="s">
        <v>40</v>
      </c>
      <c r="AD1495" t="s">
        <v>391</v>
      </c>
    </row>
    <row r="1496" spans="2:30">
      <c r="B1496">
        <v>1</v>
      </c>
      <c r="C1496">
        <v>1020</v>
      </c>
      <c r="D1496" t="s">
        <v>388</v>
      </c>
      <c r="E1496">
        <v>10041554</v>
      </c>
      <c r="F1496" t="s">
        <v>1592</v>
      </c>
      <c r="G1496" t="s">
        <v>52</v>
      </c>
      <c r="H1496" t="s">
        <v>32</v>
      </c>
      <c r="I1496" t="s">
        <v>390</v>
      </c>
      <c r="J1496" t="s">
        <v>45</v>
      </c>
      <c r="K1496" t="s">
        <v>35</v>
      </c>
      <c r="L1496" t="s">
        <v>175</v>
      </c>
      <c r="M1496" t="s">
        <v>69</v>
      </c>
      <c r="N1496">
        <v>0</v>
      </c>
      <c r="O1496">
        <v>0</v>
      </c>
      <c r="P1496">
        <v>2</v>
      </c>
      <c r="Q1496">
        <v>2</v>
      </c>
      <c r="R1496" s="4">
        <v>8597.8799999999992</v>
      </c>
      <c r="S1496" t="str">
        <f t="shared" si="115"/>
        <v>PZ: Alta Crit.</v>
      </c>
      <c r="T1496">
        <f t="shared" si="116"/>
        <v>0</v>
      </c>
      <c r="U1496">
        <f t="shared" si="117"/>
        <v>1</v>
      </c>
      <c r="V1496">
        <f t="shared" si="118"/>
        <v>0</v>
      </c>
      <c r="W1496">
        <f t="shared" si="119"/>
        <v>1</v>
      </c>
      <c r="X1496">
        <v>1</v>
      </c>
      <c r="Y1496" s="2">
        <v>45768</v>
      </c>
      <c r="Z1496" s="3" t="s">
        <v>70</v>
      </c>
      <c r="AA1496" t="s">
        <v>39</v>
      </c>
      <c r="AB1496" t="s">
        <v>40</v>
      </c>
      <c r="AC1496" t="s">
        <v>40</v>
      </c>
      <c r="AD1496" t="s">
        <v>391</v>
      </c>
    </row>
    <row r="1497" spans="2:30">
      <c r="B1497">
        <v>1</v>
      </c>
      <c r="C1497">
        <v>1020</v>
      </c>
      <c r="D1497" t="s">
        <v>181</v>
      </c>
      <c r="E1497">
        <v>10041786</v>
      </c>
      <c r="F1497" t="s">
        <v>1593</v>
      </c>
      <c r="G1497" t="s">
        <v>43</v>
      </c>
      <c r="H1497" t="s">
        <v>32</v>
      </c>
      <c r="I1497" t="s">
        <v>183</v>
      </c>
      <c r="J1497" t="s">
        <v>45</v>
      </c>
      <c r="K1497" t="s">
        <v>35</v>
      </c>
      <c r="L1497" t="s">
        <v>36</v>
      </c>
      <c r="M1497" t="s">
        <v>69</v>
      </c>
      <c r="N1497">
        <v>5</v>
      </c>
      <c r="O1497">
        <v>3</v>
      </c>
      <c r="P1497">
        <v>3</v>
      </c>
      <c r="Q1497">
        <v>4</v>
      </c>
      <c r="R1497" s="4">
        <v>1729.78</v>
      </c>
      <c r="S1497" t="str">
        <f t="shared" si="115"/>
        <v>PY: Media Crit.</v>
      </c>
      <c r="T1497">
        <f t="shared" si="116"/>
        <v>0</v>
      </c>
      <c r="U1497">
        <f t="shared" si="117"/>
        <v>0</v>
      </c>
      <c r="V1497">
        <f t="shared" si="118"/>
        <v>1</v>
      </c>
      <c r="W1497">
        <f t="shared" si="119"/>
        <v>0</v>
      </c>
      <c r="X1497">
        <v>1</v>
      </c>
      <c r="Y1497" s="2">
        <v>45768</v>
      </c>
      <c r="Z1497" s="3" t="s">
        <v>70</v>
      </c>
      <c r="AA1497" t="s">
        <v>39</v>
      </c>
      <c r="AB1497" t="s">
        <v>40</v>
      </c>
      <c r="AC1497" t="s">
        <v>40</v>
      </c>
      <c r="AD1497" t="s">
        <v>184</v>
      </c>
    </row>
    <row r="1498" spans="2:30">
      <c r="B1498">
        <v>1</v>
      </c>
      <c r="C1498">
        <v>1020</v>
      </c>
      <c r="D1498" t="s">
        <v>693</v>
      </c>
      <c r="E1498">
        <v>10041851</v>
      </c>
      <c r="F1498" t="s">
        <v>1594</v>
      </c>
      <c r="G1498" t="s">
        <v>43</v>
      </c>
      <c r="H1498" t="s">
        <v>32</v>
      </c>
      <c r="I1498" t="s">
        <v>695</v>
      </c>
      <c r="J1498" t="s">
        <v>45</v>
      </c>
      <c r="K1498" t="s">
        <v>35</v>
      </c>
      <c r="L1498" t="s">
        <v>175</v>
      </c>
      <c r="M1498" t="s">
        <v>37</v>
      </c>
      <c r="N1498">
        <v>0</v>
      </c>
      <c r="O1498">
        <v>0</v>
      </c>
      <c r="P1498">
        <v>5</v>
      </c>
      <c r="Q1498">
        <v>1</v>
      </c>
      <c r="R1498">
        <v>0</v>
      </c>
      <c r="S1498" t="str">
        <f t="shared" si="115"/>
        <v>PY: Media Crit.</v>
      </c>
      <c r="T1498">
        <f t="shared" si="116"/>
        <v>0</v>
      </c>
      <c r="U1498">
        <f t="shared" si="117"/>
        <v>1</v>
      </c>
      <c r="V1498">
        <f t="shared" si="118"/>
        <v>0</v>
      </c>
      <c r="W1498">
        <f t="shared" si="119"/>
        <v>1</v>
      </c>
      <c r="X1498">
        <v>1</v>
      </c>
      <c r="Y1498" s="2">
        <v>45768</v>
      </c>
      <c r="Z1498" s="3" t="s">
        <v>38</v>
      </c>
      <c r="AA1498" t="s">
        <v>39</v>
      </c>
      <c r="AB1498" t="s">
        <v>40</v>
      </c>
      <c r="AC1498" t="s">
        <v>40</v>
      </c>
      <c r="AD1498" t="s">
        <v>696</v>
      </c>
    </row>
    <row r="1499" spans="2:30">
      <c r="B1499">
        <v>1</v>
      </c>
      <c r="C1499">
        <v>1020</v>
      </c>
      <c r="D1499" t="s">
        <v>181</v>
      </c>
      <c r="E1499">
        <v>10041977</v>
      </c>
      <c r="F1499" t="s">
        <v>1595</v>
      </c>
      <c r="G1499" t="s">
        <v>43</v>
      </c>
      <c r="H1499" t="s">
        <v>32</v>
      </c>
      <c r="I1499" t="s">
        <v>183</v>
      </c>
      <c r="J1499" t="s">
        <v>45</v>
      </c>
      <c r="K1499" t="s">
        <v>35</v>
      </c>
      <c r="L1499" t="s">
        <v>36</v>
      </c>
      <c r="M1499" t="s">
        <v>117</v>
      </c>
      <c r="N1499">
        <v>2</v>
      </c>
      <c r="O1499">
        <v>2</v>
      </c>
      <c r="P1499">
        <v>2</v>
      </c>
      <c r="Q1499">
        <v>2</v>
      </c>
      <c r="R1499" s="4">
        <v>1666.86</v>
      </c>
      <c r="S1499" t="str">
        <f t="shared" si="115"/>
        <v>PY: Media Crit.</v>
      </c>
      <c r="T1499">
        <f t="shared" si="116"/>
        <v>0</v>
      </c>
      <c r="U1499">
        <f t="shared" si="117"/>
        <v>1</v>
      </c>
      <c r="V1499">
        <f t="shared" si="118"/>
        <v>0</v>
      </c>
      <c r="W1499">
        <f t="shared" si="119"/>
        <v>0</v>
      </c>
      <c r="X1499">
        <v>1</v>
      </c>
      <c r="Y1499" s="2">
        <v>45768</v>
      </c>
      <c r="Z1499" s="3" t="s">
        <v>118</v>
      </c>
      <c r="AA1499" t="s">
        <v>39</v>
      </c>
      <c r="AB1499" t="s">
        <v>40</v>
      </c>
      <c r="AC1499" t="s">
        <v>40</v>
      </c>
      <c r="AD1499" t="s">
        <v>184</v>
      </c>
    </row>
    <row r="1500" spans="2:30">
      <c r="B1500">
        <v>1</v>
      </c>
      <c r="C1500">
        <v>1020</v>
      </c>
      <c r="D1500" t="s">
        <v>181</v>
      </c>
      <c r="E1500">
        <v>10042092</v>
      </c>
      <c r="F1500" t="s">
        <v>1596</v>
      </c>
      <c r="G1500" t="s">
        <v>52</v>
      </c>
      <c r="H1500" t="s">
        <v>32</v>
      </c>
      <c r="I1500" t="s">
        <v>183</v>
      </c>
      <c r="J1500" t="s">
        <v>45</v>
      </c>
      <c r="K1500" t="s">
        <v>35</v>
      </c>
      <c r="L1500" t="s">
        <v>36</v>
      </c>
      <c r="M1500" t="s">
        <v>117</v>
      </c>
      <c r="N1500">
        <v>1</v>
      </c>
      <c r="O1500">
        <v>1</v>
      </c>
      <c r="P1500">
        <v>1</v>
      </c>
      <c r="Q1500">
        <v>1</v>
      </c>
      <c r="R1500" s="4">
        <v>13058.91</v>
      </c>
      <c r="S1500" t="str">
        <f t="shared" si="115"/>
        <v>PZ: Alta Crit.</v>
      </c>
      <c r="T1500">
        <f t="shared" si="116"/>
        <v>0</v>
      </c>
      <c r="U1500">
        <f t="shared" si="117"/>
        <v>1</v>
      </c>
      <c r="V1500">
        <f t="shared" si="118"/>
        <v>0</v>
      </c>
      <c r="W1500">
        <f t="shared" si="119"/>
        <v>0</v>
      </c>
      <c r="X1500">
        <v>1</v>
      </c>
      <c r="Y1500" s="2">
        <v>45768</v>
      </c>
      <c r="Z1500" s="3" t="s">
        <v>118</v>
      </c>
      <c r="AA1500" t="s">
        <v>39</v>
      </c>
      <c r="AB1500" t="s">
        <v>40</v>
      </c>
      <c r="AC1500" t="s">
        <v>40</v>
      </c>
      <c r="AD1500" t="s">
        <v>184</v>
      </c>
    </row>
    <row r="1501" spans="2:30">
      <c r="B1501">
        <v>1</v>
      </c>
      <c r="C1501">
        <v>1020</v>
      </c>
      <c r="D1501" t="s">
        <v>181</v>
      </c>
      <c r="E1501">
        <v>10042142</v>
      </c>
      <c r="F1501" t="s">
        <v>1597</v>
      </c>
      <c r="G1501" t="s">
        <v>31</v>
      </c>
      <c r="H1501" t="s">
        <v>32</v>
      </c>
      <c r="I1501" t="s">
        <v>183</v>
      </c>
      <c r="J1501" t="s">
        <v>45</v>
      </c>
      <c r="K1501" t="s">
        <v>35</v>
      </c>
      <c r="L1501" t="s">
        <v>36</v>
      </c>
      <c r="M1501" t="s">
        <v>117</v>
      </c>
      <c r="N1501">
        <v>5</v>
      </c>
      <c r="O1501">
        <v>4</v>
      </c>
      <c r="P1501">
        <v>2</v>
      </c>
      <c r="Q1501">
        <v>5</v>
      </c>
      <c r="R1501">
        <v>525.66999999999996</v>
      </c>
      <c r="S1501" t="str">
        <f t="shared" si="115"/>
        <v>PX: Baja Crit.</v>
      </c>
      <c r="T1501">
        <f t="shared" si="116"/>
        <v>0</v>
      </c>
      <c r="U1501">
        <f t="shared" si="117"/>
        <v>0</v>
      </c>
      <c r="V1501">
        <f t="shared" si="118"/>
        <v>1</v>
      </c>
      <c r="W1501">
        <f t="shared" si="119"/>
        <v>0</v>
      </c>
      <c r="X1501">
        <v>1</v>
      </c>
      <c r="Y1501" s="2">
        <v>45768</v>
      </c>
      <c r="Z1501" s="3" t="s">
        <v>118</v>
      </c>
      <c r="AA1501" t="s">
        <v>39</v>
      </c>
      <c r="AB1501" t="s">
        <v>40</v>
      </c>
      <c r="AC1501" t="s">
        <v>40</v>
      </c>
      <c r="AD1501" t="s">
        <v>184</v>
      </c>
    </row>
    <row r="1502" spans="2:30">
      <c r="B1502">
        <v>1</v>
      </c>
      <c r="C1502">
        <v>1020</v>
      </c>
      <c r="D1502" t="s">
        <v>181</v>
      </c>
      <c r="E1502">
        <v>10042143</v>
      </c>
      <c r="F1502" t="s">
        <v>1598</v>
      </c>
      <c r="G1502" t="s">
        <v>31</v>
      </c>
      <c r="H1502" t="s">
        <v>32</v>
      </c>
      <c r="I1502" t="s">
        <v>183</v>
      </c>
      <c r="J1502" t="s">
        <v>45</v>
      </c>
      <c r="K1502" t="s">
        <v>35</v>
      </c>
      <c r="L1502" t="s">
        <v>36</v>
      </c>
      <c r="M1502" t="s">
        <v>117</v>
      </c>
      <c r="N1502">
        <v>5</v>
      </c>
      <c r="O1502">
        <v>4</v>
      </c>
      <c r="P1502">
        <v>2</v>
      </c>
      <c r="Q1502">
        <v>5</v>
      </c>
      <c r="R1502">
        <v>565.30999999999995</v>
      </c>
      <c r="S1502" t="str">
        <f t="shared" si="115"/>
        <v>PX: Baja Crit.</v>
      </c>
      <c r="T1502">
        <f t="shared" si="116"/>
        <v>0</v>
      </c>
      <c r="U1502">
        <f t="shared" si="117"/>
        <v>0</v>
      </c>
      <c r="V1502">
        <f t="shared" si="118"/>
        <v>1</v>
      </c>
      <c r="W1502">
        <f t="shared" si="119"/>
        <v>0</v>
      </c>
      <c r="X1502">
        <v>1</v>
      </c>
      <c r="Y1502" s="2">
        <v>45768</v>
      </c>
      <c r="Z1502" s="3" t="s">
        <v>118</v>
      </c>
      <c r="AA1502" t="s">
        <v>39</v>
      </c>
      <c r="AB1502" t="s">
        <v>40</v>
      </c>
      <c r="AC1502" t="s">
        <v>40</v>
      </c>
      <c r="AD1502" t="s">
        <v>184</v>
      </c>
    </row>
    <row r="1503" spans="2:30">
      <c r="B1503">
        <v>1</v>
      </c>
      <c r="C1503">
        <v>1020</v>
      </c>
      <c r="D1503" t="s">
        <v>181</v>
      </c>
      <c r="E1503">
        <v>10042151</v>
      </c>
      <c r="F1503" t="s">
        <v>1599</v>
      </c>
      <c r="G1503" t="s">
        <v>31</v>
      </c>
      <c r="H1503" t="s">
        <v>32</v>
      </c>
      <c r="I1503" t="s">
        <v>183</v>
      </c>
      <c r="J1503" t="s">
        <v>45</v>
      </c>
      <c r="K1503" t="s">
        <v>35</v>
      </c>
      <c r="L1503" t="s">
        <v>36</v>
      </c>
      <c r="M1503" t="s">
        <v>117</v>
      </c>
      <c r="N1503">
        <v>6</v>
      </c>
      <c r="O1503">
        <v>5</v>
      </c>
      <c r="P1503">
        <v>2</v>
      </c>
      <c r="Q1503">
        <v>16</v>
      </c>
      <c r="R1503" s="4">
        <v>3101.98</v>
      </c>
      <c r="S1503" t="str">
        <f t="shared" si="115"/>
        <v>PX: Baja Crit.</v>
      </c>
      <c r="T1503">
        <f t="shared" si="116"/>
        <v>0</v>
      </c>
      <c r="U1503">
        <f t="shared" si="117"/>
        <v>0</v>
      </c>
      <c r="V1503">
        <f t="shared" si="118"/>
        <v>0</v>
      </c>
      <c r="W1503">
        <f t="shared" si="119"/>
        <v>1</v>
      </c>
      <c r="X1503">
        <v>1</v>
      </c>
      <c r="Y1503" s="2">
        <v>45768</v>
      </c>
      <c r="Z1503" s="3" t="s">
        <v>118</v>
      </c>
      <c r="AA1503" t="s">
        <v>39</v>
      </c>
      <c r="AB1503" t="s">
        <v>40</v>
      </c>
      <c r="AC1503" t="s">
        <v>40</v>
      </c>
      <c r="AD1503" t="s">
        <v>184</v>
      </c>
    </row>
    <row r="1504" spans="2:30">
      <c r="B1504">
        <v>1</v>
      </c>
      <c r="C1504">
        <v>1020</v>
      </c>
      <c r="D1504" t="s">
        <v>181</v>
      </c>
      <c r="E1504">
        <v>10042160</v>
      </c>
      <c r="F1504" t="s">
        <v>1600</v>
      </c>
      <c r="G1504" t="s">
        <v>43</v>
      </c>
      <c r="H1504" t="s">
        <v>60</v>
      </c>
      <c r="I1504" t="s">
        <v>183</v>
      </c>
      <c r="J1504" t="s">
        <v>34</v>
      </c>
      <c r="K1504" t="s">
        <v>35</v>
      </c>
      <c r="L1504" t="s">
        <v>36</v>
      </c>
      <c r="M1504" t="s">
        <v>117</v>
      </c>
      <c r="N1504">
        <v>12</v>
      </c>
      <c r="O1504">
        <v>8</v>
      </c>
      <c r="P1504">
        <v>4</v>
      </c>
      <c r="Q1504">
        <v>0</v>
      </c>
      <c r="R1504">
        <v>0</v>
      </c>
      <c r="S1504" t="str">
        <f t="shared" si="115"/>
        <v>PY: Media Crit.</v>
      </c>
      <c r="T1504">
        <f t="shared" si="116"/>
        <v>1</v>
      </c>
      <c r="U1504">
        <f t="shared" si="117"/>
        <v>0</v>
      </c>
      <c r="V1504">
        <f t="shared" si="118"/>
        <v>0</v>
      </c>
      <c r="W1504">
        <f t="shared" si="119"/>
        <v>0</v>
      </c>
      <c r="X1504">
        <v>1</v>
      </c>
      <c r="Y1504" s="2">
        <v>45768</v>
      </c>
      <c r="Z1504" s="3" t="s">
        <v>118</v>
      </c>
      <c r="AA1504" t="s">
        <v>39</v>
      </c>
      <c r="AB1504" t="s">
        <v>49</v>
      </c>
      <c r="AC1504" s="5" t="s">
        <v>50</v>
      </c>
      <c r="AD1504" t="s">
        <v>184</v>
      </c>
    </row>
    <row r="1505" spans="2:30">
      <c r="B1505">
        <v>1</v>
      </c>
      <c r="C1505">
        <v>1020</v>
      </c>
      <c r="D1505" t="s">
        <v>388</v>
      </c>
      <c r="E1505">
        <v>10042338</v>
      </c>
      <c r="F1505" t="s">
        <v>1601</v>
      </c>
      <c r="G1505" t="s">
        <v>43</v>
      </c>
      <c r="H1505" t="s">
        <v>44</v>
      </c>
      <c r="I1505" t="s">
        <v>390</v>
      </c>
      <c r="J1505" t="s">
        <v>45</v>
      </c>
      <c r="K1505" t="s">
        <v>35</v>
      </c>
      <c r="L1505" t="s">
        <v>175</v>
      </c>
      <c r="M1505" t="s">
        <v>117</v>
      </c>
      <c r="N1505">
        <v>0</v>
      </c>
      <c r="O1505">
        <v>0</v>
      </c>
      <c r="P1505">
        <v>2</v>
      </c>
      <c r="Q1505">
        <v>2</v>
      </c>
      <c r="R1505">
        <v>777.35</v>
      </c>
      <c r="S1505" t="str">
        <f t="shared" si="115"/>
        <v>PY: Media Crit.</v>
      </c>
      <c r="T1505">
        <f t="shared" si="116"/>
        <v>0</v>
      </c>
      <c r="U1505">
        <f t="shared" si="117"/>
        <v>1</v>
      </c>
      <c r="V1505">
        <f t="shared" si="118"/>
        <v>0</v>
      </c>
      <c r="W1505">
        <f t="shared" si="119"/>
        <v>1</v>
      </c>
      <c r="X1505">
        <v>1</v>
      </c>
      <c r="Y1505" s="2">
        <v>45768</v>
      </c>
      <c r="Z1505" s="3" t="s">
        <v>118</v>
      </c>
      <c r="AA1505" t="s">
        <v>39</v>
      </c>
      <c r="AB1505" t="s">
        <v>40</v>
      </c>
      <c r="AC1505" t="s">
        <v>40</v>
      </c>
      <c r="AD1505" t="s">
        <v>391</v>
      </c>
    </row>
    <row r="1506" spans="2:30">
      <c r="B1506">
        <v>1</v>
      </c>
      <c r="C1506">
        <v>1020</v>
      </c>
      <c r="D1506" t="s">
        <v>388</v>
      </c>
      <c r="E1506">
        <v>10042339</v>
      </c>
      <c r="F1506" t="s">
        <v>1602</v>
      </c>
      <c r="G1506" t="s">
        <v>43</v>
      </c>
      <c r="H1506" t="s">
        <v>32</v>
      </c>
      <c r="I1506" t="s">
        <v>390</v>
      </c>
      <c r="J1506" t="s">
        <v>45</v>
      </c>
      <c r="K1506" t="s">
        <v>35</v>
      </c>
      <c r="L1506" t="s">
        <v>175</v>
      </c>
      <c r="M1506" t="s">
        <v>117</v>
      </c>
      <c r="N1506">
        <v>0</v>
      </c>
      <c r="O1506">
        <v>0</v>
      </c>
      <c r="P1506">
        <v>2</v>
      </c>
      <c r="Q1506">
        <v>2</v>
      </c>
      <c r="R1506">
        <v>781.26</v>
      </c>
      <c r="S1506" t="str">
        <f t="shared" si="115"/>
        <v>PY: Media Crit.</v>
      </c>
      <c r="T1506">
        <f t="shared" si="116"/>
        <v>0</v>
      </c>
      <c r="U1506">
        <f t="shared" si="117"/>
        <v>1</v>
      </c>
      <c r="V1506">
        <f t="shared" si="118"/>
        <v>0</v>
      </c>
      <c r="W1506">
        <f t="shared" si="119"/>
        <v>1</v>
      </c>
      <c r="X1506">
        <v>1</v>
      </c>
      <c r="Y1506" s="2">
        <v>45768</v>
      </c>
      <c r="Z1506" s="3" t="s">
        <v>118</v>
      </c>
      <c r="AA1506" t="s">
        <v>39</v>
      </c>
      <c r="AB1506" t="s">
        <v>40</v>
      </c>
      <c r="AC1506" t="s">
        <v>40</v>
      </c>
      <c r="AD1506" t="s">
        <v>391</v>
      </c>
    </row>
    <row r="1507" spans="2:30">
      <c r="B1507">
        <v>1</v>
      </c>
      <c r="C1507">
        <v>1020</v>
      </c>
      <c r="D1507" t="s">
        <v>388</v>
      </c>
      <c r="E1507">
        <v>10042600</v>
      </c>
      <c r="F1507" t="s">
        <v>1603</v>
      </c>
      <c r="G1507" t="s">
        <v>52</v>
      </c>
      <c r="H1507" t="s">
        <v>32</v>
      </c>
      <c r="I1507" t="s">
        <v>390</v>
      </c>
      <c r="J1507" t="s">
        <v>45</v>
      </c>
      <c r="K1507" t="s">
        <v>260</v>
      </c>
      <c r="L1507" t="s">
        <v>175</v>
      </c>
      <c r="M1507" t="s">
        <v>117</v>
      </c>
      <c r="N1507">
        <v>0</v>
      </c>
      <c r="O1507">
        <v>0</v>
      </c>
      <c r="P1507">
        <v>1</v>
      </c>
      <c r="Q1507">
        <v>1</v>
      </c>
      <c r="R1507" s="4">
        <v>56246.61</v>
      </c>
      <c r="S1507" t="str">
        <f t="shared" si="115"/>
        <v>PZ: Alta Crit.</v>
      </c>
      <c r="T1507">
        <f t="shared" si="116"/>
        <v>0</v>
      </c>
      <c r="U1507">
        <f t="shared" si="117"/>
        <v>1</v>
      </c>
      <c r="V1507">
        <f t="shared" si="118"/>
        <v>0</v>
      </c>
      <c r="W1507">
        <f t="shared" si="119"/>
        <v>1</v>
      </c>
      <c r="X1507">
        <v>1</v>
      </c>
      <c r="Y1507" s="2">
        <v>45768</v>
      </c>
      <c r="Z1507" s="3" t="s">
        <v>118</v>
      </c>
      <c r="AA1507" t="s">
        <v>39</v>
      </c>
      <c r="AB1507" t="s">
        <v>40</v>
      </c>
      <c r="AC1507" t="s">
        <v>40</v>
      </c>
      <c r="AD1507" t="s">
        <v>391</v>
      </c>
    </row>
    <row r="1508" spans="2:30">
      <c r="B1508">
        <v>1</v>
      </c>
      <c r="C1508">
        <v>1020</v>
      </c>
      <c r="D1508" t="s">
        <v>388</v>
      </c>
      <c r="E1508">
        <v>10042601</v>
      </c>
      <c r="F1508" t="s">
        <v>1603</v>
      </c>
      <c r="G1508" t="s">
        <v>52</v>
      </c>
      <c r="H1508" t="s">
        <v>32</v>
      </c>
      <c r="I1508" t="s">
        <v>390</v>
      </c>
      <c r="J1508" t="s">
        <v>45</v>
      </c>
      <c r="K1508" t="s">
        <v>260</v>
      </c>
      <c r="L1508" t="s">
        <v>175</v>
      </c>
      <c r="M1508" t="s">
        <v>117</v>
      </c>
      <c r="N1508">
        <v>0</v>
      </c>
      <c r="O1508">
        <v>0</v>
      </c>
      <c r="P1508">
        <v>1</v>
      </c>
      <c r="Q1508">
        <v>1</v>
      </c>
      <c r="R1508" s="4">
        <v>56246.61</v>
      </c>
      <c r="S1508" t="str">
        <f t="shared" si="115"/>
        <v>PZ: Alta Crit.</v>
      </c>
      <c r="T1508">
        <f t="shared" si="116"/>
        <v>0</v>
      </c>
      <c r="U1508">
        <f t="shared" si="117"/>
        <v>1</v>
      </c>
      <c r="V1508">
        <f t="shared" si="118"/>
        <v>0</v>
      </c>
      <c r="W1508">
        <f t="shared" si="119"/>
        <v>1</v>
      </c>
      <c r="X1508">
        <v>1</v>
      </c>
      <c r="Y1508" s="2">
        <v>45768</v>
      </c>
      <c r="Z1508" s="3" t="s">
        <v>118</v>
      </c>
      <c r="AA1508" t="s">
        <v>39</v>
      </c>
      <c r="AB1508" t="s">
        <v>40</v>
      </c>
      <c r="AC1508" t="s">
        <v>40</v>
      </c>
      <c r="AD1508" t="s">
        <v>391</v>
      </c>
    </row>
    <row r="1509" spans="2:30">
      <c r="B1509">
        <v>1</v>
      </c>
      <c r="C1509">
        <v>1020</v>
      </c>
      <c r="D1509" t="s">
        <v>388</v>
      </c>
      <c r="E1509">
        <v>10042620</v>
      </c>
      <c r="F1509" t="s">
        <v>1604</v>
      </c>
      <c r="G1509" t="s">
        <v>52</v>
      </c>
      <c r="H1509" t="s">
        <v>32</v>
      </c>
      <c r="I1509" t="s">
        <v>390</v>
      </c>
      <c r="J1509" t="s">
        <v>34</v>
      </c>
      <c r="K1509" t="s">
        <v>35</v>
      </c>
      <c r="L1509" t="s">
        <v>175</v>
      </c>
      <c r="M1509" t="s">
        <v>69</v>
      </c>
      <c r="N1509">
        <v>0</v>
      </c>
      <c r="O1509">
        <v>0</v>
      </c>
      <c r="P1509">
        <v>2</v>
      </c>
      <c r="Q1509">
        <v>2</v>
      </c>
      <c r="R1509" s="4">
        <v>55561.8</v>
      </c>
      <c r="S1509" t="str">
        <f t="shared" si="115"/>
        <v>PZ: Alta Crit.</v>
      </c>
      <c r="T1509">
        <f t="shared" si="116"/>
        <v>0</v>
      </c>
      <c r="U1509">
        <f t="shared" si="117"/>
        <v>1</v>
      </c>
      <c r="V1509">
        <f t="shared" si="118"/>
        <v>0</v>
      </c>
      <c r="W1509">
        <f t="shared" si="119"/>
        <v>1</v>
      </c>
      <c r="X1509">
        <v>1</v>
      </c>
      <c r="Y1509" s="2">
        <v>45768</v>
      </c>
      <c r="Z1509" s="3" t="s">
        <v>70</v>
      </c>
      <c r="AA1509" t="s">
        <v>39</v>
      </c>
      <c r="AB1509" t="s">
        <v>40</v>
      </c>
      <c r="AC1509" t="s">
        <v>40</v>
      </c>
      <c r="AD1509" t="s">
        <v>391</v>
      </c>
    </row>
    <row r="1510" spans="2:30">
      <c r="B1510">
        <v>1</v>
      </c>
      <c r="C1510">
        <v>1020</v>
      </c>
      <c r="D1510" t="s">
        <v>181</v>
      </c>
      <c r="E1510">
        <v>10042844</v>
      </c>
      <c r="F1510" t="s">
        <v>1605</v>
      </c>
      <c r="G1510" t="s">
        <v>43</v>
      </c>
      <c r="H1510" t="s">
        <v>60</v>
      </c>
      <c r="I1510" t="s">
        <v>183</v>
      </c>
      <c r="J1510" t="s">
        <v>45</v>
      </c>
      <c r="K1510" t="s">
        <v>35</v>
      </c>
      <c r="L1510" t="s">
        <v>36</v>
      </c>
      <c r="M1510" t="s">
        <v>117</v>
      </c>
      <c r="N1510">
        <v>4</v>
      </c>
      <c r="O1510">
        <v>2</v>
      </c>
      <c r="P1510">
        <v>0</v>
      </c>
      <c r="Q1510">
        <v>4</v>
      </c>
      <c r="R1510" s="4">
        <v>2778.85</v>
      </c>
      <c r="S1510" t="str">
        <f t="shared" si="115"/>
        <v>PY: Media Crit.</v>
      </c>
      <c r="T1510">
        <f t="shared" si="116"/>
        <v>0</v>
      </c>
      <c r="U1510">
        <f t="shared" si="117"/>
        <v>0</v>
      </c>
      <c r="V1510">
        <f t="shared" si="118"/>
        <v>1</v>
      </c>
      <c r="W1510">
        <f t="shared" si="119"/>
        <v>0</v>
      </c>
      <c r="X1510">
        <v>1</v>
      </c>
      <c r="Y1510" s="2">
        <v>45768</v>
      </c>
      <c r="Z1510" s="3" t="s">
        <v>118</v>
      </c>
      <c r="AA1510" t="s">
        <v>39</v>
      </c>
      <c r="AB1510" t="s">
        <v>40</v>
      </c>
      <c r="AC1510" t="s">
        <v>40</v>
      </c>
      <c r="AD1510" t="s">
        <v>184</v>
      </c>
    </row>
    <row r="1511" spans="2:30">
      <c r="B1511">
        <v>1</v>
      </c>
      <c r="C1511">
        <v>1020</v>
      </c>
      <c r="D1511" t="s">
        <v>181</v>
      </c>
      <c r="E1511">
        <v>10042870</v>
      </c>
      <c r="F1511" t="s">
        <v>1606</v>
      </c>
      <c r="G1511" t="s">
        <v>52</v>
      </c>
      <c r="H1511" t="s">
        <v>32</v>
      </c>
      <c r="I1511" t="s">
        <v>183</v>
      </c>
      <c r="J1511" t="s">
        <v>45</v>
      </c>
      <c r="K1511" t="s">
        <v>35</v>
      </c>
      <c r="L1511" t="s">
        <v>36</v>
      </c>
      <c r="M1511" t="s">
        <v>117</v>
      </c>
      <c r="N1511">
        <v>4</v>
      </c>
      <c r="O1511">
        <v>3</v>
      </c>
      <c r="P1511">
        <v>2</v>
      </c>
      <c r="Q1511">
        <v>4</v>
      </c>
      <c r="R1511" s="4">
        <v>2935.72</v>
      </c>
      <c r="S1511" t="str">
        <f t="shared" si="115"/>
        <v>PZ: Alta Crit.</v>
      </c>
      <c r="T1511">
        <f t="shared" si="116"/>
        <v>0</v>
      </c>
      <c r="U1511">
        <f t="shared" si="117"/>
        <v>0</v>
      </c>
      <c r="V1511">
        <f t="shared" si="118"/>
        <v>1</v>
      </c>
      <c r="W1511">
        <f t="shared" si="119"/>
        <v>0</v>
      </c>
      <c r="X1511">
        <v>1</v>
      </c>
      <c r="Y1511" s="2">
        <v>45768</v>
      </c>
      <c r="Z1511" s="3" t="s">
        <v>118</v>
      </c>
      <c r="AA1511" t="s">
        <v>39</v>
      </c>
      <c r="AB1511" t="s">
        <v>40</v>
      </c>
      <c r="AC1511" t="s">
        <v>40</v>
      </c>
      <c r="AD1511" t="s">
        <v>184</v>
      </c>
    </row>
    <row r="1512" spans="2:30">
      <c r="B1512">
        <v>1</v>
      </c>
      <c r="C1512">
        <v>1020</v>
      </c>
      <c r="D1512" t="s">
        <v>181</v>
      </c>
      <c r="E1512">
        <v>10042958</v>
      </c>
      <c r="F1512" t="s">
        <v>1607</v>
      </c>
      <c r="G1512" t="s">
        <v>52</v>
      </c>
      <c r="H1512" t="s">
        <v>32</v>
      </c>
      <c r="I1512" t="s">
        <v>183</v>
      </c>
      <c r="J1512" t="s">
        <v>45</v>
      </c>
      <c r="K1512" t="s">
        <v>35</v>
      </c>
      <c r="L1512" t="s">
        <v>36</v>
      </c>
      <c r="M1512" t="s">
        <v>117</v>
      </c>
      <c r="N1512">
        <v>8</v>
      </c>
      <c r="O1512">
        <v>6</v>
      </c>
      <c r="P1512">
        <v>4</v>
      </c>
      <c r="Q1512">
        <v>8</v>
      </c>
      <c r="R1512" s="4">
        <v>1352.17</v>
      </c>
      <c r="S1512" t="str">
        <f t="shared" si="115"/>
        <v>PZ: Alta Crit.</v>
      </c>
      <c r="T1512">
        <f t="shared" si="116"/>
        <v>0</v>
      </c>
      <c r="U1512">
        <f t="shared" si="117"/>
        <v>0</v>
      </c>
      <c r="V1512">
        <f t="shared" si="118"/>
        <v>1</v>
      </c>
      <c r="W1512">
        <f t="shared" si="119"/>
        <v>0</v>
      </c>
      <c r="X1512">
        <v>1</v>
      </c>
      <c r="Y1512" s="2">
        <v>45768</v>
      </c>
      <c r="Z1512" s="3" t="s">
        <v>118</v>
      </c>
      <c r="AA1512" t="s">
        <v>39</v>
      </c>
      <c r="AB1512" t="s">
        <v>40</v>
      </c>
      <c r="AC1512" t="s">
        <v>40</v>
      </c>
      <c r="AD1512" t="s">
        <v>184</v>
      </c>
    </row>
    <row r="1513" spans="2:30">
      <c r="B1513">
        <v>1</v>
      </c>
      <c r="C1513">
        <v>1020</v>
      </c>
      <c r="D1513" t="s">
        <v>181</v>
      </c>
      <c r="E1513">
        <v>10043145</v>
      </c>
      <c r="F1513" t="s">
        <v>1608</v>
      </c>
      <c r="G1513" t="s">
        <v>52</v>
      </c>
      <c r="H1513" t="s">
        <v>32</v>
      </c>
      <c r="I1513" t="s">
        <v>183</v>
      </c>
      <c r="J1513" t="s">
        <v>45</v>
      </c>
      <c r="K1513" t="s">
        <v>35</v>
      </c>
      <c r="L1513" t="s">
        <v>36</v>
      </c>
      <c r="M1513" t="s">
        <v>117</v>
      </c>
      <c r="N1513">
        <v>4</v>
      </c>
      <c r="O1513">
        <v>3</v>
      </c>
      <c r="P1513">
        <v>1</v>
      </c>
      <c r="Q1513">
        <v>3</v>
      </c>
      <c r="R1513" s="4">
        <v>1073.73</v>
      </c>
      <c r="S1513" t="str">
        <f t="shared" si="115"/>
        <v>PZ: Alta Crit.</v>
      </c>
      <c r="T1513">
        <f t="shared" si="116"/>
        <v>0</v>
      </c>
      <c r="U1513">
        <f t="shared" si="117"/>
        <v>0</v>
      </c>
      <c r="V1513">
        <f t="shared" si="118"/>
        <v>1</v>
      </c>
      <c r="W1513">
        <f t="shared" si="119"/>
        <v>0</v>
      </c>
      <c r="X1513">
        <v>1</v>
      </c>
      <c r="Y1513" s="2">
        <v>45768</v>
      </c>
      <c r="Z1513" s="3" t="s">
        <v>118</v>
      </c>
      <c r="AA1513" t="s">
        <v>39</v>
      </c>
      <c r="AB1513" t="s">
        <v>40</v>
      </c>
      <c r="AC1513" t="s">
        <v>40</v>
      </c>
      <c r="AD1513" t="s">
        <v>184</v>
      </c>
    </row>
    <row r="1514" spans="2:30">
      <c r="B1514">
        <v>1</v>
      </c>
      <c r="C1514">
        <v>1020</v>
      </c>
      <c r="D1514" t="s">
        <v>693</v>
      </c>
      <c r="E1514">
        <v>10043355</v>
      </c>
      <c r="F1514" t="s">
        <v>1609</v>
      </c>
      <c r="G1514" t="s">
        <v>43</v>
      </c>
      <c r="H1514" t="s">
        <v>32</v>
      </c>
      <c r="I1514" t="s">
        <v>695</v>
      </c>
      <c r="J1514" t="s">
        <v>45</v>
      </c>
      <c r="K1514" t="s">
        <v>65</v>
      </c>
      <c r="L1514" t="s">
        <v>175</v>
      </c>
      <c r="M1514" t="s">
        <v>37</v>
      </c>
      <c r="N1514">
        <v>0</v>
      </c>
      <c r="O1514">
        <v>0</v>
      </c>
      <c r="P1514">
        <v>0</v>
      </c>
      <c r="Q1514">
        <v>0</v>
      </c>
      <c r="R1514">
        <v>0</v>
      </c>
      <c r="S1514" t="str">
        <f t="shared" si="115"/>
        <v>PY: Media Crit.</v>
      </c>
      <c r="T1514">
        <f t="shared" si="116"/>
        <v>1</v>
      </c>
      <c r="U1514">
        <f t="shared" si="117"/>
        <v>0</v>
      </c>
      <c r="V1514">
        <f t="shared" si="118"/>
        <v>0</v>
      </c>
      <c r="W1514">
        <f t="shared" si="119"/>
        <v>0</v>
      </c>
      <c r="X1514">
        <v>1</v>
      </c>
      <c r="Y1514" s="2">
        <v>45768</v>
      </c>
      <c r="Z1514" s="3" t="s">
        <v>38</v>
      </c>
      <c r="AA1514" t="s">
        <v>39</v>
      </c>
      <c r="AB1514" t="s">
        <v>40</v>
      </c>
      <c r="AC1514" t="s">
        <v>40</v>
      </c>
      <c r="AD1514" t="s">
        <v>696</v>
      </c>
    </row>
    <row r="1515" spans="2:30">
      <c r="B1515">
        <v>1</v>
      </c>
      <c r="C1515">
        <v>1020</v>
      </c>
      <c r="D1515" t="s">
        <v>181</v>
      </c>
      <c r="E1515">
        <v>10043372</v>
      </c>
      <c r="F1515" t="s">
        <v>1610</v>
      </c>
      <c r="G1515" t="s">
        <v>43</v>
      </c>
      <c r="H1515" t="s">
        <v>32</v>
      </c>
      <c r="I1515" t="s">
        <v>183</v>
      </c>
      <c r="J1515" t="s">
        <v>45</v>
      </c>
      <c r="K1515" t="s">
        <v>65</v>
      </c>
      <c r="L1515" t="s">
        <v>36</v>
      </c>
      <c r="M1515" t="s">
        <v>37</v>
      </c>
      <c r="N1515">
        <v>40</v>
      </c>
      <c r="O1515">
        <v>20</v>
      </c>
      <c r="P1515">
        <v>10</v>
      </c>
      <c r="Q1515">
        <v>40</v>
      </c>
      <c r="R1515">
        <v>752.4</v>
      </c>
      <c r="S1515" t="str">
        <f t="shared" si="115"/>
        <v>PY: Media Crit.</v>
      </c>
      <c r="T1515">
        <f t="shared" si="116"/>
        <v>0</v>
      </c>
      <c r="U1515">
        <f t="shared" si="117"/>
        <v>0</v>
      </c>
      <c r="V1515">
        <f t="shared" si="118"/>
        <v>1</v>
      </c>
      <c r="W1515">
        <f t="shared" si="119"/>
        <v>0</v>
      </c>
      <c r="X1515">
        <v>1</v>
      </c>
      <c r="Y1515" s="2">
        <v>45768</v>
      </c>
      <c r="Z1515" s="3" t="s">
        <v>38</v>
      </c>
      <c r="AA1515" t="s">
        <v>39</v>
      </c>
      <c r="AB1515" t="s">
        <v>40</v>
      </c>
      <c r="AC1515" t="s">
        <v>40</v>
      </c>
      <c r="AD1515" t="s">
        <v>184</v>
      </c>
    </row>
    <row r="1516" spans="2:30">
      <c r="B1516">
        <v>1</v>
      </c>
      <c r="C1516">
        <v>1020</v>
      </c>
      <c r="D1516" t="s">
        <v>384</v>
      </c>
      <c r="E1516">
        <v>10043384</v>
      </c>
      <c r="F1516" t="s">
        <v>1611</v>
      </c>
      <c r="G1516" t="s">
        <v>43</v>
      </c>
      <c r="H1516" t="s">
        <v>60</v>
      </c>
      <c r="I1516" t="s">
        <v>386</v>
      </c>
      <c r="J1516" t="s">
        <v>45</v>
      </c>
      <c r="K1516" t="s">
        <v>65</v>
      </c>
      <c r="L1516" t="s">
        <v>175</v>
      </c>
      <c r="M1516" t="s">
        <v>37</v>
      </c>
      <c r="N1516">
        <v>0</v>
      </c>
      <c r="O1516">
        <v>0</v>
      </c>
      <c r="P1516">
        <v>0</v>
      </c>
      <c r="Q1516">
        <v>0</v>
      </c>
      <c r="R1516">
        <v>0</v>
      </c>
      <c r="S1516" t="str">
        <f t="shared" si="115"/>
        <v>PY: Media Crit.</v>
      </c>
      <c r="T1516">
        <f t="shared" si="116"/>
        <v>1</v>
      </c>
      <c r="U1516">
        <f t="shared" si="117"/>
        <v>0</v>
      </c>
      <c r="V1516">
        <f t="shared" si="118"/>
        <v>0</v>
      </c>
      <c r="W1516">
        <f t="shared" si="119"/>
        <v>0</v>
      </c>
      <c r="X1516">
        <v>1</v>
      </c>
      <c r="Y1516" s="2">
        <v>45768</v>
      </c>
      <c r="Z1516" s="3" t="s">
        <v>38</v>
      </c>
      <c r="AA1516" t="s">
        <v>39</v>
      </c>
      <c r="AB1516" t="s">
        <v>40</v>
      </c>
      <c r="AC1516" t="s">
        <v>40</v>
      </c>
      <c r="AD1516" t="s">
        <v>387</v>
      </c>
    </row>
    <row r="1517" spans="2:30">
      <c r="B1517">
        <v>1</v>
      </c>
      <c r="C1517">
        <v>1020</v>
      </c>
      <c r="D1517" t="s">
        <v>693</v>
      </c>
      <c r="E1517">
        <v>10043436</v>
      </c>
      <c r="F1517" t="s">
        <v>1612</v>
      </c>
      <c r="G1517" t="s">
        <v>43</v>
      </c>
      <c r="H1517" t="s">
        <v>44</v>
      </c>
      <c r="I1517" t="s">
        <v>695</v>
      </c>
      <c r="J1517" t="s">
        <v>45</v>
      </c>
      <c r="K1517" t="s">
        <v>35</v>
      </c>
      <c r="L1517" t="s">
        <v>175</v>
      </c>
      <c r="M1517" t="s">
        <v>46</v>
      </c>
      <c r="N1517">
        <v>0</v>
      </c>
      <c r="O1517">
        <v>0</v>
      </c>
      <c r="P1517">
        <v>0</v>
      </c>
      <c r="Q1517">
        <v>39</v>
      </c>
      <c r="R1517">
        <v>0</v>
      </c>
      <c r="S1517" t="str">
        <f t="shared" si="115"/>
        <v>PY: Media Crit.</v>
      </c>
      <c r="T1517">
        <f t="shared" si="116"/>
        <v>0</v>
      </c>
      <c r="U1517">
        <f t="shared" si="117"/>
        <v>0</v>
      </c>
      <c r="V1517">
        <f t="shared" si="118"/>
        <v>0</v>
      </c>
      <c r="W1517">
        <f t="shared" si="119"/>
        <v>1</v>
      </c>
      <c r="X1517">
        <v>1</v>
      </c>
      <c r="Y1517" s="2">
        <v>45768</v>
      </c>
      <c r="Z1517" s="3" t="s">
        <v>47</v>
      </c>
      <c r="AA1517" t="s">
        <v>39</v>
      </c>
      <c r="AB1517" t="s">
        <v>40</v>
      </c>
      <c r="AC1517" t="s">
        <v>40</v>
      </c>
      <c r="AD1517" t="s">
        <v>696</v>
      </c>
    </row>
    <row r="1518" spans="2:30">
      <c r="B1518">
        <v>1</v>
      </c>
      <c r="C1518">
        <v>1020</v>
      </c>
      <c r="D1518" t="s">
        <v>181</v>
      </c>
      <c r="E1518">
        <v>10043447</v>
      </c>
      <c r="F1518" t="s">
        <v>1613</v>
      </c>
      <c r="G1518" t="s">
        <v>43</v>
      </c>
      <c r="H1518" t="s">
        <v>32</v>
      </c>
      <c r="I1518" t="s">
        <v>183</v>
      </c>
      <c r="J1518" t="s">
        <v>45</v>
      </c>
      <c r="K1518" t="s">
        <v>35</v>
      </c>
      <c r="L1518" t="s">
        <v>36</v>
      </c>
      <c r="M1518" t="s">
        <v>46</v>
      </c>
      <c r="N1518">
        <v>20</v>
      </c>
      <c r="O1518">
        <v>11</v>
      </c>
      <c r="P1518">
        <v>5</v>
      </c>
      <c r="Q1518">
        <v>20</v>
      </c>
      <c r="R1518">
        <v>778.06</v>
      </c>
      <c r="S1518" t="str">
        <f t="shared" si="115"/>
        <v>PY: Media Crit.</v>
      </c>
      <c r="T1518">
        <f t="shared" si="116"/>
        <v>0</v>
      </c>
      <c r="U1518">
        <f t="shared" si="117"/>
        <v>0</v>
      </c>
      <c r="V1518">
        <f t="shared" si="118"/>
        <v>1</v>
      </c>
      <c r="W1518">
        <f t="shared" si="119"/>
        <v>0</v>
      </c>
      <c r="X1518">
        <v>1</v>
      </c>
      <c r="Y1518" s="2">
        <v>45768</v>
      </c>
      <c r="Z1518" s="3" t="s">
        <v>47</v>
      </c>
      <c r="AA1518" t="s">
        <v>39</v>
      </c>
      <c r="AB1518" t="s">
        <v>40</v>
      </c>
      <c r="AC1518" t="s">
        <v>40</v>
      </c>
      <c r="AD1518" t="s">
        <v>184</v>
      </c>
    </row>
    <row r="1519" spans="2:30">
      <c r="B1519">
        <v>1</v>
      </c>
      <c r="C1519">
        <v>1020</v>
      </c>
      <c r="D1519" t="s">
        <v>384</v>
      </c>
      <c r="E1519">
        <v>10043455</v>
      </c>
      <c r="F1519" t="s">
        <v>1614</v>
      </c>
      <c r="G1519" t="s">
        <v>43</v>
      </c>
      <c r="H1519" t="s">
        <v>32</v>
      </c>
      <c r="I1519" t="s">
        <v>386</v>
      </c>
      <c r="J1519" t="s">
        <v>45</v>
      </c>
      <c r="K1519" t="s">
        <v>35</v>
      </c>
      <c r="L1519" t="s">
        <v>175</v>
      </c>
      <c r="M1519" t="s">
        <v>46</v>
      </c>
      <c r="N1519">
        <v>0</v>
      </c>
      <c r="O1519">
        <v>0</v>
      </c>
      <c r="P1519">
        <v>0</v>
      </c>
      <c r="Q1519">
        <v>0</v>
      </c>
      <c r="R1519">
        <v>0</v>
      </c>
      <c r="S1519" t="str">
        <f t="shared" si="115"/>
        <v>PY: Media Crit.</v>
      </c>
      <c r="T1519">
        <f t="shared" si="116"/>
        <v>1</v>
      </c>
      <c r="U1519">
        <f t="shared" si="117"/>
        <v>0</v>
      </c>
      <c r="V1519">
        <f t="shared" si="118"/>
        <v>0</v>
      </c>
      <c r="W1519">
        <f t="shared" si="119"/>
        <v>0</v>
      </c>
      <c r="X1519">
        <v>1</v>
      </c>
      <c r="Y1519" s="2">
        <v>45768</v>
      </c>
      <c r="Z1519" s="3" t="s">
        <v>47</v>
      </c>
      <c r="AA1519" t="s">
        <v>39</v>
      </c>
      <c r="AB1519" t="s">
        <v>40</v>
      </c>
      <c r="AC1519" t="s">
        <v>40</v>
      </c>
      <c r="AD1519" t="s">
        <v>387</v>
      </c>
    </row>
    <row r="1520" spans="2:30">
      <c r="B1520">
        <v>1</v>
      </c>
      <c r="C1520">
        <v>1020</v>
      </c>
      <c r="D1520" t="s">
        <v>384</v>
      </c>
      <c r="E1520">
        <v>10043698</v>
      </c>
      <c r="F1520" t="s">
        <v>1615</v>
      </c>
      <c r="G1520" t="s">
        <v>43</v>
      </c>
      <c r="H1520" t="s">
        <v>32</v>
      </c>
      <c r="I1520" t="s">
        <v>386</v>
      </c>
      <c r="J1520" t="s">
        <v>45</v>
      </c>
      <c r="K1520" t="s">
        <v>35</v>
      </c>
      <c r="L1520" t="s">
        <v>175</v>
      </c>
      <c r="M1520" t="s">
        <v>46</v>
      </c>
      <c r="N1520">
        <v>0</v>
      </c>
      <c r="O1520">
        <v>0</v>
      </c>
      <c r="P1520">
        <v>0</v>
      </c>
      <c r="Q1520">
        <v>0</v>
      </c>
      <c r="R1520">
        <v>0</v>
      </c>
      <c r="S1520" t="str">
        <f t="shared" si="115"/>
        <v>PY: Media Crit.</v>
      </c>
      <c r="T1520">
        <f t="shared" si="116"/>
        <v>1</v>
      </c>
      <c r="U1520">
        <f t="shared" si="117"/>
        <v>0</v>
      </c>
      <c r="V1520">
        <f t="shared" si="118"/>
        <v>0</v>
      </c>
      <c r="W1520">
        <f t="shared" si="119"/>
        <v>0</v>
      </c>
      <c r="X1520">
        <v>1</v>
      </c>
      <c r="Y1520" s="2">
        <v>45768</v>
      </c>
      <c r="Z1520" s="3" t="s">
        <v>47</v>
      </c>
      <c r="AA1520" t="s">
        <v>39</v>
      </c>
      <c r="AB1520" t="s">
        <v>40</v>
      </c>
      <c r="AC1520" t="s">
        <v>40</v>
      </c>
      <c r="AD1520" t="s">
        <v>387</v>
      </c>
    </row>
    <row r="1521" spans="2:30">
      <c r="B1521">
        <v>1</v>
      </c>
      <c r="C1521">
        <v>1020</v>
      </c>
      <c r="D1521" t="s">
        <v>693</v>
      </c>
      <c r="E1521">
        <v>10043979</v>
      </c>
      <c r="F1521" t="s">
        <v>1616</v>
      </c>
      <c r="G1521" t="s">
        <v>43</v>
      </c>
      <c r="H1521" t="s">
        <v>32</v>
      </c>
      <c r="I1521" t="s">
        <v>695</v>
      </c>
      <c r="J1521" t="s">
        <v>45</v>
      </c>
      <c r="K1521" t="s">
        <v>35</v>
      </c>
      <c r="L1521" t="s">
        <v>175</v>
      </c>
      <c r="M1521" t="s">
        <v>117</v>
      </c>
      <c r="N1521">
        <v>0</v>
      </c>
      <c r="O1521">
        <v>0</v>
      </c>
      <c r="P1521">
        <v>0</v>
      </c>
      <c r="Q1521">
        <v>0</v>
      </c>
      <c r="R1521">
        <v>0</v>
      </c>
      <c r="S1521" t="str">
        <f t="shared" si="115"/>
        <v>PY: Media Crit.</v>
      </c>
      <c r="T1521">
        <f t="shared" si="116"/>
        <v>1</v>
      </c>
      <c r="U1521">
        <f t="shared" si="117"/>
        <v>0</v>
      </c>
      <c r="V1521">
        <f t="shared" si="118"/>
        <v>0</v>
      </c>
      <c r="W1521">
        <f t="shared" si="119"/>
        <v>0</v>
      </c>
      <c r="X1521">
        <v>1</v>
      </c>
      <c r="Y1521" s="2">
        <v>45768</v>
      </c>
      <c r="Z1521" s="3" t="s">
        <v>118</v>
      </c>
      <c r="AA1521" t="s">
        <v>39</v>
      </c>
      <c r="AB1521" t="s">
        <v>40</v>
      </c>
      <c r="AC1521" t="s">
        <v>40</v>
      </c>
      <c r="AD1521" t="s">
        <v>696</v>
      </c>
    </row>
    <row r="1522" spans="2:30">
      <c r="B1522">
        <v>1</v>
      </c>
      <c r="C1522">
        <v>1020</v>
      </c>
      <c r="D1522" t="s">
        <v>384</v>
      </c>
      <c r="E1522">
        <v>10044009</v>
      </c>
      <c r="F1522" t="s">
        <v>1617</v>
      </c>
      <c r="G1522" t="s">
        <v>43</v>
      </c>
      <c r="H1522" t="s">
        <v>44</v>
      </c>
      <c r="I1522" t="s">
        <v>386</v>
      </c>
      <c r="J1522" t="s">
        <v>45</v>
      </c>
      <c r="K1522" t="s">
        <v>65</v>
      </c>
      <c r="L1522" t="s">
        <v>175</v>
      </c>
      <c r="M1522" t="s">
        <v>46</v>
      </c>
      <c r="N1522">
        <v>0</v>
      </c>
      <c r="O1522">
        <v>0</v>
      </c>
      <c r="P1522">
        <v>0</v>
      </c>
      <c r="Q1522">
        <v>0</v>
      </c>
      <c r="R1522">
        <v>0</v>
      </c>
      <c r="S1522" t="str">
        <f t="shared" si="115"/>
        <v>PY: Media Crit.</v>
      </c>
      <c r="T1522">
        <f t="shared" si="116"/>
        <v>1</v>
      </c>
      <c r="U1522">
        <f t="shared" si="117"/>
        <v>0</v>
      </c>
      <c r="V1522">
        <f t="shared" si="118"/>
        <v>0</v>
      </c>
      <c r="W1522">
        <f t="shared" si="119"/>
        <v>0</v>
      </c>
      <c r="X1522">
        <v>1</v>
      </c>
      <c r="Y1522" s="2">
        <v>45768</v>
      </c>
      <c r="Z1522" s="3" t="s">
        <v>47</v>
      </c>
      <c r="AA1522" t="s">
        <v>39</v>
      </c>
      <c r="AB1522" t="s">
        <v>76</v>
      </c>
      <c r="AC1522" s="5" t="s">
        <v>77</v>
      </c>
      <c r="AD1522" t="s">
        <v>387</v>
      </c>
    </row>
    <row r="1523" spans="2:30">
      <c r="B1523">
        <v>1</v>
      </c>
      <c r="C1523">
        <v>1020</v>
      </c>
      <c r="D1523" t="s">
        <v>388</v>
      </c>
      <c r="E1523">
        <v>10044061</v>
      </c>
      <c r="F1523" t="s">
        <v>1618</v>
      </c>
      <c r="G1523" t="s">
        <v>31</v>
      </c>
      <c r="H1523" t="s">
        <v>32</v>
      </c>
      <c r="I1523" t="s">
        <v>1002</v>
      </c>
      <c r="J1523" t="s">
        <v>45</v>
      </c>
      <c r="K1523" t="s">
        <v>35</v>
      </c>
      <c r="L1523" t="s">
        <v>175</v>
      </c>
      <c r="M1523" t="s">
        <v>117</v>
      </c>
      <c r="N1523">
        <v>0</v>
      </c>
      <c r="O1523">
        <v>0</v>
      </c>
      <c r="P1523">
        <v>1</v>
      </c>
      <c r="Q1523">
        <v>1</v>
      </c>
      <c r="R1523" s="4">
        <v>87537.23</v>
      </c>
      <c r="S1523" t="str">
        <f t="shared" si="115"/>
        <v>PX: Baja Crit.</v>
      </c>
      <c r="T1523">
        <f t="shared" si="116"/>
        <v>0</v>
      </c>
      <c r="U1523">
        <f t="shared" si="117"/>
        <v>1</v>
      </c>
      <c r="V1523">
        <f t="shared" si="118"/>
        <v>0</v>
      </c>
      <c r="W1523">
        <f t="shared" si="119"/>
        <v>1</v>
      </c>
      <c r="X1523">
        <v>1</v>
      </c>
      <c r="Y1523" s="2">
        <v>45768</v>
      </c>
      <c r="Z1523" s="3" t="s">
        <v>118</v>
      </c>
      <c r="AA1523" t="s">
        <v>39</v>
      </c>
      <c r="AB1523" t="s">
        <v>40</v>
      </c>
      <c r="AC1523" t="s">
        <v>40</v>
      </c>
      <c r="AD1523" t="s">
        <v>391</v>
      </c>
    </row>
    <row r="1524" spans="2:30">
      <c r="B1524">
        <v>1</v>
      </c>
      <c r="C1524">
        <v>1020</v>
      </c>
      <c r="D1524" t="s">
        <v>181</v>
      </c>
      <c r="E1524">
        <v>10044228</v>
      </c>
      <c r="F1524" t="s">
        <v>1619</v>
      </c>
      <c r="G1524" t="s">
        <v>43</v>
      </c>
      <c r="H1524" t="s">
        <v>32</v>
      </c>
      <c r="I1524" t="s">
        <v>183</v>
      </c>
      <c r="J1524" t="s">
        <v>45</v>
      </c>
      <c r="K1524" t="s">
        <v>62</v>
      </c>
      <c r="L1524" t="s">
        <v>36</v>
      </c>
      <c r="M1524" t="s">
        <v>46</v>
      </c>
      <c r="N1524">
        <v>60</v>
      </c>
      <c r="O1524">
        <v>41</v>
      </c>
      <c r="P1524">
        <v>0</v>
      </c>
      <c r="Q1524">
        <v>140</v>
      </c>
      <c r="R1524" s="4">
        <v>2380</v>
      </c>
      <c r="S1524" t="str">
        <f t="shared" si="115"/>
        <v>PY: Media Crit.</v>
      </c>
      <c r="T1524">
        <f t="shared" si="116"/>
        <v>0</v>
      </c>
      <c r="U1524">
        <f t="shared" si="117"/>
        <v>0</v>
      </c>
      <c r="V1524">
        <f t="shared" si="118"/>
        <v>0</v>
      </c>
      <c r="W1524">
        <f t="shared" si="119"/>
        <v>1</v>
      </c>
      <c r="X1524">
        <v>1</v>
      </c>
      <c r="Y1524" s="2">
        <v>45768</v>
      </c>
      <c r="Z1524" s="3" t="s">
        <v>47</v>
      </c>
      <c r="AA1524" t="s">
        <v>39</v>
      </c>
      <c r="AB1524" t="s">
        <v>40</v>
      </c>
      <c r="AC1524" t="s">
        <v>40</v>
      </c>
      <c r="AD1524" t="s">
        <v>184</v>
      </c>
    </row>
    <row r="1525" spans="2:30">
      <c r="B1525">
        <v>1</v>
      </c>
      <c r="C1525">
        <v>1020</v>
      </c>
      <c r="D1525" t="s">
        <v>181</v>
      </c>
      <c r="E1525">
        <v>10044273</v>
      </c>
      <c r="F1525" t="s">
        <v>1620</v>
      </c>
      <c r="G1525" t="s">
        <v>31</v>
      </c>
      <c r="H1525" t="s">
        <v>60</v>
      </c>
      <c r="I1525" t="s">
        <v>183</v>
      </c>
      <c r="J1525" t="s">
        <v>34</v>
      </c>
      <c r="K1525" t="s">
        <v>252</v>
      </c>
      <c r="L1525" t="s">
        <v>36</v>
      </c>
      <c r="M1525" t="s">
        <v>46</v>
      </c>
      <c r="N1525">
        <v>40</v>
      </c>
      <c r="O1525">
        <v>21</v>
      </c>
      <c r="P1525">
        <v>10</v>
      </c>
      <c r="Q1525">
        <v>50</v>
      </c>
      <c r="R1525" s="4">
        <v>3499.24</v>
      </c>
      <c r="S1525" t="str">
        <f t="shared" si="115"/>
        <v>PX: Baja Crit.</v>
      </c>
      <c r="T1525">
        <f t="shared" si="116"/>
        <v>0</v>
      </c>
      <c r="U1525">
        <f t="shared" si="117"/>
        <v>0</v>
      </c>
      <c r="V1525">
        <f t="shared" si="118"/>
        <v>0</v>
      </c>
      <c r="W1525">
        <f t="shared" si="119"/>
        <v>1</v>
      </c>
      <c r="X1525">
        <v>1</v>
      </c>
      <c r="Y1525" s="2">
        <v>45768</v>
      </c>
      <c r="Z1525" s="3" t="s">
        <v>47</v>
      </c>
      <c r="AA1525" t="s">
        <v>39</v>
      </c>
      <c r="AB1525" t="s">
        <v>40</v>
      </c>
      <c r="AC1525" t="s">
        <v>40</v>
      </c>
      <c r="AD1525" t="s">
        <v>184</v>
      </c>
    </row>
    <row r="1526" spans="2:30">
      <c r="B1526">
        <v>1</v>
      </c>
      <c r="C1526">
        <v>1020</v>
      </c>
      <c r="D1526" t="s">
        <v>693</v>
      </c>
      <c r="E1526">
        <v>10044308</v>
      </c>
      <c r="F1526" t="s">
        <v>1621</v>
      </c>
      <c r="G1526" t="s">
        <v>43</v>
      </c>
      <c r="H1526" t="s">
        <v>32</v>
      </c>
      <c r="I1526" t="s">
        <v>695</v>
      </c>
      <c r="J1526" t="s">
        <v>45</v>
      </c>
      <c r="K1526" t="s">
        <v>252</v>
      </c>
      <c r="L1526" t="s">
        <v>175</v>
      </c>
      <c r="M1526" t="s">
        <v>46</v>
      </c>
      <c r="N1526">
        <v>0</v>
      </c>
      <c r="O1526">
        <v>0</v>
      </c>
      <c r="P1526">
        <v>0</v>
      </c>
      <c r="Q1526">
        <v>0</v>
      </c>
      <c r="R1526">
        <v>0</v>
      </c>
      <c r="S1526" t="str">
        <f t="shared" si="115"/>
        <v>PY: Media Crit.</v>
      </c>
      <c r="T1526">
        <f t="shared" si="116"/>
        <v>1</v>
      </c>
      <c r="U1526">
        <f t="shared" si="117"/>
        <v>0</v>
      </c>
      <c r="V1526">
        <f t="shared" si="118"/>
        <v>0</v>
      </c>
      <c r="W1526">
        <f t="shared" si="119"/>
        <v>0</v>
      </c>
      <c r="X1526">
        <v>1</v>
      </c>
      <c r="Y1526" s="2">
        <v>45768</v>
      </c>
      <c r="Z1526" s="3" t="s">
        <v>47</v>
      </c>
      <c r="AA1526" t="s">
        <v>39</v>
      </c>
      <c r="AB1526" t="s">
        <v>40</v>
      </c>
      <c r="AC1526" t="s">
        <v>40</v>
      </c>
      <c r="AD1526" t="s">
        <v>696</v>
      </c>
    </row>
    <row r="1527" spans="2:30">
      <c r="B1527">
        <v>1</v>
      </c>
      <c r="C1527">
        <v>1020</v>
      </c>
      <c r="D1527" t="s">
        <v>384</v>
      </c>
      <c r="E1527">
        <v>10044333</v>
      </c>
      <c r="F1527" t="s">
        <v>1622</v>
      </c>
      <c r="G1527" t="s">
        <v>43</v>
      </c>
      <c r="H1527" t="s">
        <v>32</v>
      </c>
      <c r="I1527" t="s">
        <v>386</v>
      </c>
      <c r="J1527" t="s">
        <v>45</v>
      </c>
      <c r="K1527" t="s">
        <v>35</v>
      </c>
      <c r="L1527" t="s">
        <v>175</v>
      </c>
      <c r="M1527" t="s">
        <v>46</v>
      </c>
      <c r="N1527">
        <v>0</v>
      </c>
      <c r="O1527">
        <v>0</v>
      </c>
      <c r="P1527">
        <v>0</v>
      </c>
      <c r="Q1527">
        <v>0</v>
      </c>
      <c r="R1527">
        <v>0</v>
      </c>
      <c r="S1527" t="str">
        <f t="shared" si="115"/>
        <v>PY: Media Crit.</v>
      </c>
      <c r="T1527">
        <f t="shared" si="116"/>
        <v>1</v>
      </c>
      <c r="U1527">
        <f t="shared" si="117"/>
        <v>0</v>
      </c>
      <c r="V1527">
        <f t="shared" si="118"/>
        <v>0</v>
      </c>
      <c r="W1527">
        <f t="shared" si="119"/>
        <v>0</v>
      </c>
      <c r="X1527">
        <v>1</v>
      </c>
      <c r="Y1527" s="2">
        <v>45768</v>
      </c>
      <c r="Z1527" s="3" t="s">
        <v>47</v>
      </c>
      <c r="AA1527" t="s">
        <v>39</v>
      </c>
      <c r="AB1527" t="s">
        <v>40</v>
      </c>
      <c r="AC1527" t="s">
        <v>40</v>
      </c>
      <c r="AD1527" t="s">
        <v>387</v>
      </c>
    </row>
    <row r="1528" spans="2:30">
      <c r="B1528">
        <v>1</v>
      </c>
      <c r="C1528">
        <v>1020</v>
      </c>
      <c r="D1528" t="s">
        <v>388</v>
      </c>
      <c r="E1528">
        <v>10044350</v>
      </c>
      <c r="F1528" t="s">
        <v>1623</v>
      </c>
      <c r="G1528" t="s">
        <v>43</v>
      </c>
      <c r="H1528" t="s">
        <v>44</v>
      </c>
      <c r="I1528" t="s">
        <v>390</v>
      </c>
      <c r="J1528" t="s">
        <v>45</v>
      </c>
      <c r="K1528" t="s">
        <v>35</v>
      </c>
      <c r="L1528" t="s">
        <v>175</v>
      </c>
      <c r="M1528" t="s">
        <v>46</v>
      </c>
      <c r="N1528">
        <v>0</v>
      </c>
      <c r="O1528">
        <v>0</v>
      </c>
      <c r="P1528">
        <v>2</v>
      </c>
      <c r="Q1528">
        <v>2</v>
      </c>
      <c r="R1528" s="4">
        <v>6528.95</v>
      </c>
      <c r="S1528" t="str">
        <f t="shared" si="115"/>
        <v>PY: Media Crit.</v>
      </c>
      <c r="T1528">
        <f t="shared" si="116"/>
        <v>0</v>
      </c>
      <c r="U1528">
        <f t="shared" si="117"/>
        <v>1</v>
      </c>
      <c r="V1528">
        <f t="shared" si="118"/>
        <v>0</v>
      </c>
      <c r="W1528">
        <f t="shared" si="119"/>
        <v>1</v>
      </c>
      <c r="X1528">
        <v>1</v>
      </c>
      <c r="Y1528" s="2">
        <v>45768</v>
      </c>
      <c r="Z1528" s="3" t="s">
        <v>47</v>
      </c>
      <c r="AA1528" t="s">
        <v>39</v>
      </c>
      <c r="AB1528" t="s">
        <v>40</v>
      </c>
      <c r="AC1528" t="s">
        <v>40</v>
      </c>
      <c r="AD1528" t="s">
        <v>391</v>
      </c>
    </row>
    <row r="1529" spans="2:30">
      <c r="B1529">
        <v>1</v>
      </c>
      <c r="C1529">
        <v>1020</v>
      </c>
      <c r="D1529" t="s">
        <v>693</v>
      </c>
      <c r="E1529">
        <v>10044363</v>
      </c>
      <c r="F1529" t="s">
        <v>1624</v>
      </c>
      <c r="G1529" t="s">
        <v>43</v>
      </c>
      <c r="H1529" t="s">
        <v>32</v>
      </c>
      <c r="I1529" t="s">
        <v>695</v>
      </c>
      <c r="J1529" t="s">
        <v>45</v>
      </c>
      <c r="K1529" t="s">
        <v>35</v>
      </c>
      <c r="L1529" t="s">
        <v>175</v>
      </c>
      <c r="M1529" t="s">
        <v>46</v>
      </c>
      <c r="N1529">
        <v>0</v>
      </c>
      <c r="O1529">
        <v>0</v>
      </c>
      <c r="P1529">
        <v>0</v>
      </c>
      <c r="Q1529">
        <v>2</v>
      </c>
      <c r="R1529">
        <v>0</v>
      </c>
      <c r="S1529" t="str">
        <f t="shared" si="115"/>
        <v>PY: Media Crit.</v>
      </c>
      <c r="T1529">
        <f t="shared" si="116"/>
        <v>0</v>
      </c>
      <c r="U1529">
        <f t="shared" si="117"/>
        <v>0</v>
      </c>
      <c r="V1529">
        <f t="shared" si="118"/>
        <v>0</v>
      </c>
      <c r="W1529">
        <f t="shared" si="119"/>
        <v>1</v>
      </c>
      <c r="X1529">
        <v>1</v>
      </c>
      <c r="Y1529" s="2">
        <v>45768</v>
      </c>
      <c r="Z1529" s="3" t="s">
        <v>47</v>
      </c>
      <c r="AA1529" t="s">
        <v>39</v>
      </c>
      <c r="AB1529" t="s">
        <v>40</v>
      </c>
      <c r="AC1529" t="s">
        <v>40</v>
      </c>
      <c r="AD1529" t="s">
        <v>696</v>
      </c>
    </row>
    <row r="1530" spans="2:30">
      <c r="B1530">
        <v>1</v>
      </c>
      <c r="C1530">
        <v>1020</v>
      </c>
      <c r="D1530" t="s">
        <v>181</v>
      </c>
      <c r="E1530">
        <v>10044425</v>
      </c>
      <c r="F1530" t="s">
        <v>1625</v>
      </c>
      <c r="G1530" t="s">
        <v>43</v>
      </c>
      <c r="H1530" t="s">
        <v>32</v>
      </c>
      <c r="I1530" t="s">
        <v>183</v>
      </c>
      <c r="J1530" t="s">
        <v>45</v>
      </c>
      <c r="K1530" t="s">
        <v>35</v>
      </c>
      <c r="L1530" t="s">
        <v>36</v>
      </c>
      <c r="M1530" t="s">
        <v>46</v>
      </c>
      <c r="N1530">
        <v>4</v>
      </c>
      <c r="O1530">
        <v>3</v>
      </c>
      <c r="P1530">
        <v>1</v>
      </c>
      <c r="Q1530">
        <v>4</v>
      </c>
      <c r="R1530" s="4">
        <v>1014.67</v>
      </c>
      <c r="S1530" t="str">
        <f t="shared" si="115"/>
        <v>PY: Media Crit.</v>
      </c>
      <c r="T1530">
        <f t="shared" si="116"/>
        <v>0</v>
      </c>
      <c r="U1530">
        <f t="shared" si="117"/>
        <v>0</v>
      </c>
      <c r="V1530">
        <f t="shared" si="118"/>
        <v>1</v>
      </c>
      <c r="W1530">
        <f t="shared" si="119"/>
        <v>0</v>
      </c>
      <c r="X1530">
        <v>1</v>
      </c>
      <c r="Y1530" s="2">
        <v>45768</v>
      </c>
      <c r="Z1530" s="3" t="s">
        <v>47</v>
      </c>
      <c r="AA1530" t="s">
        <v>39</v>
      </c>
      <c r="AB1530" t="s">
        <v>40</v>
      </c>
      <c r="AC1530" t="s">
        <v>40</v>
      </c>
      <c r="AD1530" t="s">
        <v>184</v>
      </c>
    </row>
    <row r="1531" spans="2:30">
      <c r="B1531">
        <v>1</v>
      </c>
      <c r="C1531">
        <v>1020</v>
      </c>
      <c r="D1531" t="s">
        <v>181</v>
      </c>
      <c r="E1531">
        <v>10044427</v>
      </c>
      <c r="F1531" t="s">
        <v>1626</v>
      </c>
      <c r="G1531" t="s">
        <v>43</v>
      </c>
      <c r="H1531" t="s">
        <v>32</v>
      </c>
      <c r="I1531" t="s">
        <v>183</v>
      </c>
      <c r="J1531" t="s">
        <v>45</v>
      </c>
      <c r="K1531" t="s">
        <v>35</v>
      </c>
      <c r="L1531" t="s">
        <v>36</v>
      </c>
      <c r="M1531" t="s">
        <v>46</v>
      </c>
      <c r="N1531">
        <v>2</v>
      </c>
      <c r="O1531">
        <v>1</v>
      </c>
      <c r="P1531">
        <v>0</v>
      </c>
      <c r="Q1531">
        <v>1</v>
      </c>
      <c r="R1531">
        <v>0</v>
      </c>
      <c r="S1531" t="str">
        <f t="shared" si="115"/>
        <v>PY: Media Crit.</v>
      </c>
      <c r="T1531">
        <f t="shared" si="116"/>
        <v>0</v>
      </c>
      <c r="U1531">
        <f t="shared" si="117"/>
        <v>0</v>
      </c>
      <c r="V1531">
        <f t="shared" si="118"/>
        <v>1</v>
      </c>
      <c r="W1531">
        <f t="shared" si="119"/>
        <v>0</v>
      </c>
      <c r="X1531">
        <v>1</v>
      </c>
      <c r="Y1531" s="2">
        <v>45768</v>
      </c>
      <c r="Z1531" s="3" t="s">
        <v>47</v>
      </c>
      <c r="AA1531" t="s">
        <v>39</v>
      </c>
      <c r="AB1531" t="s">
        <v>40</v>
      </c>
      <c r="AC1531" t="s">
        <v>40</v>
      </c>
      <c r="AD1531" t="s">
        <v>184</v>
      </c>
    </row>
    <row r="1532" spans="2:30">
      <c r="B1532">
        <v>1</v>
      </c>
      <c r="C1532">
        <v>1020</v>
      </c>
      <c r="D1532" t="s">
        <v>388</v>
      </c>
      <c r="E1532">
        <v>10044675</v>
      </c>
      <c r="F1532" t="s">
        <v>1627</v>
      </c>
      <c r="G1532" t="s">
        <v>52</v>
      </c>
      <c r="H1532" t="s">
        <v>32</v>
      </c>
      <c r="I1532" t="s">
        <v>1002</v>
      </c>
      <c r="J1532" t="s">
        <v>45</v>
      </c>
      <c r="K1532" t="s">
        <v>35</v>
      </c>
      <c r="L1532" t="s">
        <v>175</v>
      </c>
      <c r="M1532" t="s">
        <v>69</v>
      </c>
      <c r="N1532">
        <v>0</v>
      </c>
      <c r="O1532">
        <v>0</v>
      </c>
      <c r="P1532">
        <v>1</v>
      </c>
      <c r="Q1532">
        <v>0</v>
      </c>
      <c r="R1532">
        <v>0</v>
      </c>
      <c r="S1532" t="str">
        <f t="shared" si="115"/>
        <v>PZ: Alta Crit.</v>
      </c>
      <c r="T1532">
        <f t="shared" si="116"/>
        <v>1</v>
      </c>
      <c r="U1532">
        <f t="shared" si="117"/>
        <v>0</v>
      </c>
      <c r="V1532">
        <f t="shared" si="118"/>
        <v>0</v>
      </c>
      <c r="W1532">
        <f t="shared" si="119"/>
        <v>0</v>
      </c>
      <c r="X1532">
        <v>1</v>
      </c>
      <c r="Y1532" s="2">
        <v>45768</v>
      </c>
      <c r="Z1532" s="3" t="s">
        <v>70</v>
      </c>
      <c r="AA1532" t="s">
        <v>39</v>
      </c>
      <c r="AB1532" t="s">
        <v>49</v>
      </c>
      <c r="AC1532" s="5" t="s">
        <v>50</v>
      </c>
      <c r="AD1532" t="s">
        <v>391</v>
      </c>
    </row>
    <row r="1533" spans="2:30">
      <c r="B1533">
        <v>1</v>
      </c>
      <c r="C1533">
        <v>1020</v>
      </c>
      <c r="D1533" t="s">
        <v>388</v>
      </c>
      <c r="E1533">
        <v>10044711</v>
      </c>
      <c r="F1533" t="s">
        <v>1628</v>
      </c>
      <c r="G1533" t="s">
        <v>43</v>
      </c>
      <c r="H1533" t="s">
        <v>60</v>
      </c>
      <c r="I1533" t="s">
        <v>390</v>
      </c>
      <c r="J1533" t="s">
        <v>45</v>
      </c>
      <c r="K1533" t="s">
        <v>35</v>
      </c>
      <c r="L1533" t="s">
        <v>175</v>
      </c>
      <c r="M1533" t="s">
        <v>46</v>
      </c>
      <c r="N1533">
        <v>0</v>
      </c>
      <c r="O1533">
        <v>0</v>
      </c>
      <c r="P1533">
        <v>1</v>
      </c>
      <c r="Q1533">
        <v>1</v>
      </c>
      <c r="R1533" s="4">
        <v>10884.1</v>
      </c>
      <c r="S1533" t="str">
        <f t="shared" si="115"/>
        <v>PY: Media Crit.</v>
      </c>
      <c r="T1533">
        <f t="shared" si="116"/>
        <v>0</v>
      </c>
      <c r="U1533">
        <f t="shared" si="117"/>
        <v>1</v>
      </c>
      <c r="V1533">
        <f t="shared" si="118"/>
        <v>0</v>
      </c>
      <c r="W1533">
        <f t="shared" si="119"/>
        <v>1</v>
      </c>
      <c r="X1533">
        <v>1</v>
      </c>
      <c r="Y1533" s="2">
        <v>45768</v>
      </c>
      <c r="Z1533" s="3" t="s">
        <v>47</v>
      </c>
      <c r="AA1533" t="s">
        <v>39</v>
      </c>
      <c r="AB1533" t="s">
        <v>40</v>
      </c>
      <c r="AC1533" t="s">
        <v>40</v>
      </c>
      <c r="AD1533" t="s">
        <v>391</v>
      </c>
    </row>
    <row r="1534" spans="2:30">
      <c r="B1534">
        <v>1</v>
      </c>
      <c r="C1534">
        <v>1020</v>
      </c>
      <c r="D1534" t="s">
        <v>388</v>
      </c>
      <c r="E1534">
        <v>10044899</v>
      </c>
      <c r="F1534" t="s">
        <v>1629</v>
      </c>
      <c r="G1534" t="s">
        <v>52</v>
      </c>
      <c r="H1534" t="s">
        <v>60</v>
      </c>
      <c r="I1534" t="s">
        <v>390</v>
      </c>
      <c r="J1534" t="s">
        <v>45</v>
      </c>
      <c r="K1534" t="s">
        <v>35</v>
      </c>
      <c r="L1534" t="s">
        <v>175</v>
      </c>
      <c r="M1534" t="s">
        <v>117</v>
      </c>
      <c r="N1534">
        <v>0</v>
      </c>
      <c r="O1534">
        <v>0</v>
      </c>
      <c r="P1534">
        <v>1</v>
      </c>
      <c r="Q1534">
        <v>1</v>
      </c>
      <c r="R1534" s="4">
        <v>8324.07</v>
      </c>
      <c r="S1534" t="str">
        <f t="shared" si="115"/>
        <v>PZ: Alta Crit.</v>
      </c>
      <c r="T1534">
        <f t="shared" si="116"/>
        <v>0</v>
      </c>
      <c r="U1534">
        <f t="shared" si="117"/>
        <v>1</v>
      </c>
      <c r="V1534">
        <f t="shared" si="118"/>
        <v>0</v>
      </c>
      <c r="W1534">
        <f t="shared" si="119"/>
        <v>1</v>
      </c>
      <c r="X1534">
        <v>1</v>
      </c>
      <c r="Y1534" s="2">
        <v>45768</v>
      </c>
      <c r="Z1534" s="3" t="s">
        <v>118</v>
      </c>
      <c r="AA1534" t="s">
        <v>39</v>
      </c>
      <c r="AB1534" t="s">
        <v>40</v>
      </c>
      <c r="AC1534" t="s">
        <v>40</v>
      </c>
      <c r="AD1534" t="s">
        <v>391</v>
      </c>
    </row>
    <row r="1535" spans="2:30">
      <c r="B1535">
        <v>1</v>
      </c>
      <c r="C1535">
        <v>1020</v>
      </c>
      <c r="D1535" t="s">
        <v>384</v>
      </c>
      <c r="E1535">
        <v>10044957</v>
      </c>
      <c r="F1535" t="s">
        <v>1630</v>
      </c>
      <c r="G1535" t="s">
        <v>43</v>
      </c>
      <c r="H1535" t="s">
        <v>32</v>
      </c>
      <c r="I1535" t="s">
        <v>386</v>
      </c>
      <c r="J1535" t="s">
        <v>45</v>
      </c>
      <c r="K1535" t="s">
        <v>35</v>
      </c>
      <c r="L1535" t="s">
        <v>175</v>
      </c>
      <c r="M1535" t="s">
        <v>117</v>
      </c>
      <c r="N1535">
        <v>0</v>
      </c>
      <c r="O1535">
        <v>0</v>
      </c>
      <c r="P1535">
        <v>0</v>
      </c>
      <c r="Q1535">
        <v>5</v>
      </c>
      <c r="R1535" s="4">
        <v>4509.6000000000004</v>
      </c>
      <c r="S1535" t="str">
        <f t="shared" si="115"/>
        <v>PY: Media Crit.</v>
      </c>
      <c r="T1535">
        <f t="shared" si="116"/>
        <v>0</v>
      </c>
      <c r="U1535">
        <f t="shared" si="117"/>
        <v>0</v>
      </c>
      <c r="V1535">
        <f t="shared" si="118"/>
        <v>0</v>
      </c>
      <c r="W1535">
        <f t="shared" si="119"/>
        <v>1</v>
      </c>
      <c r="X1535">
        <v>1</v>
      </c>
      <c r="Y1535" s="2">
        <v>45768</v>
      </c>
      <c r="Z1535" s="3" t="s">
        <v>118</v>
      </c>
      <c r="AA1535" t="s">
        <v>39</v>
      </c>
      <c r="AB1535" t="s">
        <v>40</v>
      </c>
      <c r="AC1535" t="s">
        <v>40</v>
      </c>
      <c r="AD1535" t="s">
        <v>387</v>
      </c>
    </row>
    <row r="1536" spans="2:30">
      <c r="B1536">
        <v>1</v>
      </c>
      <c r="C1536">
        <v>1020</v>
      </c>
      <c r="D1536" t="s">
        <v>181</v>
      </c>
      <c r="E1536">
        <v>10044966</v>
      </c>
      <c r="F1536" t="s">
        <v>1631</v>
      </c>
      <c r="G1536" t="s">
        <v>43</v>
      </c>
      <c r="H1536" t="s">
        <v>32</v>
      </c>
      <c r="I1536" t="s">
        <v>183</v>
      </c>
      <c r="J1536" t="s">
        <v>45</v>
      </c>
      <c r="K1536" t="s">
        <v>260</v>
      </c>
      <c r="L1536" t="s">
        <v>36</v>
      </c>
      <c r="M1536" t="s">
        <v>37</v>
      </c>
      <c r="N1536">
        <v>3</v>
      </c>
      <c r="O1536">
        <v>2</v>
      </c>
      <c r="P1536">
        <v>0</v>
      </c>
      <c r="Q1536">
        <v>2</v>
      </c>
      <c r="R1536">
        <v>0</v>
      </c>
      <c r="S1536" t="str">
        <f t="shared" si="115"/>
        <v>PY: Media Crit.</v>
      </c>
      <c r="T1536">
        <f t="shared" si="116"/>
        <v>0</v>
      </c>
      <c r="U1536">
        <f t="shared" si="117"/>
        <v>0</v>
      </c>
      <c r="V1536">
        <f t="shared" si="118"/>
        <v>1</v>
      </c>
      <c r="W1536">
        <f t="shared" si="119"/>
        <v>0</v>
      </c>
      <c r="X1536">
        <v>1</v>
      </c>
      <c r="Y1536" s="2">
        <v>45768</v>
      </c>
      <c r="Z1536" s="3" t="s">
        <v>38</v>
      </c>
      <c r="AA1536" t="s">
        <v>39</v>
      </c>
      <c r="AB1536" t="s">
        <v>40</v>
      </c>
      <c r="AC1536" t="s">
        <v>40</v>
      </c>
      <c r="AD1536" t="s">
        <v>184</v>
      </c>
    </row>
    <row r="1537" spans="2:30">
      <c r="B1537">
        <v>1</v>
      </c>
      <c r="C1537">
        <v>1020</v>
      </c>
      <c r="D1537" t="s">
        <v>181</v>
      </c>
      <c r="E1537">
        <v>10045100</v>
      </c>
      <c r="F1537" t="s">
        <v>1632</v>
      </c>
      <c r="G1537" t="s">
        <v>52</v>
      </c>
      <c r="H1537" t="s">
        <v>44</v>
      </c>
      <c r="I1537" t="s">
        <v>183</v>
      </c>
      <c r="J1537" t="s">
        <v>45</v>
      </c>
      <c r="K1537" t="s">
        <v>35</v>
      </c>
      <c r="L1537" t="s">
        <v>36</v>
      </c>
      <c r="M1537" t="s">
        <v>37</v>
      </c>
      <c r="N1537">
        <v>3</v>
      </c>
      <c r="O1537">
        <v>2</v>
      </c>
      <c r="P1537">
        <v>0</v>
      </c>
      <c r="Q1537">
        <v>3</v>
      </c>
      <c r="R1537" s="4">
        <v>8990.64</v>
      </c>
      <c r="S1537" t="str">
        <f t="shared" si="115"/>
        <v>PZ: Alta Crit.</v>
      </c>
      <c r="T1537">
        <f t="shared" si="116"/>
        <v>0</v>
      </c>
      <c r="U1537">
        <f t="shared" si="117"/>
        <v>0</v>
      </c>
      <c r="V1537">
        <f t="shared" si="118"/>
        <v>1</v>
      </c>
      <c r="W1537">
        <f t="shared" si="119"/>
        <v>0</v>
      </c>
      <c r="X1537">
        <v>1</v>
      </c>
      <c r="Y1537" s="2">
        <v>45768</v>
      </c>
      <c r="Z1537" s="3" t="s">
        <v>38</v>
      </c>
      <c r="AA1537" t="s">
        <v>39</v>
      </c>
      <c r="AB1537" t="s">
        <v>40</v>
      </c>
      <c r="AC1537" t="s">
        <v>40</v>
      </c>
      <c r="AD1537" t="s">
        <v>184</v>
      </c>
    </row>
    <row r="1538" spans="2:30">
      <c r="B1538">
        <v>1</v>
      </c>
      <c r="C1538">
        <v>1020</v>
      </c>
      <c r="D1538" t="s">
        <v>181</v>
      </c>
      <c r="E1538">
        <v>10045153</v>
      </c>
      <c r="F1538" t="s">
        <v>1633</v>
      </c>
      <c r="G1538" t="s">
        <v>43</v>
      </c>
      <c r="H1538" t="s">
        <v>32</v>
      </c>
      <c r="I1538" t="s">
        <v>183</v>
      </c>
      <c r="J1538" t="s">
        <v>45</v>
      </c>
      <c r="K1538" t="s">
        <v>35</v>
      </c>
      <c r="L1538" t="s">
        <v>36</v>
      </c>
      <c r="M1538" t="s">
        <v>117</v>
      </c>
      <c r="N1538">
        <v>6</v>
      </c>
      <c r="O1538">
        <v>4</v>
      </c>
      <c r="P1538">
        <v>0</v>
      </c>
      <c r="Q1538">
        <v>7</v>
      </c>
      <c r="R1538" s="4">
        <v>4408.8</v>
      </c>
      <c r="S1538" t="str">
        <f t="shared" ref="S1538:S1601" si="120">+IF(G1538="PZ", "PZ: Alta Crit.",IF(G1538="PY","PY: Media Crit.", "PX: Baja Crit."))</f>
        <v>PY: Media Crit.</v>
      </c>
      <c r="T1538">
        <f t="shared" ref="T1538:T1601" si="121">+IF(Q1538=0,1,0)</f>
        <v>0</v>
      </c>
      <c r="U1538">
        <f t="shared" ref="U1538:U1601" si="122">+IF(AND(Q1538&lt;=P1538,Q1538&gt;0),1,0)</f>
        <v>0</v>
      </c>
      <c r="V1538">
        <f t="shared" ref="V1538:V1601" si="123">+IF(AND(Q1538&gt;P1538,Q1538&lt;=N1538),1,0)</f>
        <v>0</v>
      </c>
      <c r="W1538">
        <f t="shared" ref="W1538:W1601" si="124">+IF(Q1538&gt;N1538,1,0)</f>
        <v>1</v>
      </c>
      <c r="X1538">
        <v>1</v>
      </c>
      <c r="Y1538" s="2">
        <v>45768</v>
      </c>
      <c r="Z1538" s="3" t="s">
        <v>118</v>
      </c>
      <c r="AA1538" t="s">
        <v>39</v>
      </c>
      <c r="AB1538" t="s">
        <v>40</v>
      </c>
      <c r="AC1538" t="s">
        <v>40</v>
      </c>
      <c r="AD1538" t="s">
        <v>184</v>
      </c>
    </row>
    <row r="1539" spans="2:30">
      <c r="B1539">
        <v>1</v>
      </c>
      <c r="C1539">
        <v>1020</v>
      </c>
      <c r="D1539" t="s">
        <v>693</v>
      </c>
      <c r="E1539">
        <v>10045316</v>
      </c>
      <c r="F1539" t="s">
        <v>1634</v>
      </c>
      <c r="G1539" t="s">
        <v>31</v>
      </c>
      <c r="H1539" t="s">
        <v>32</v>
      </c>
      <c r="I1539" t="s">
        <v>695</v>
      </c>
      <c r="J1539" t="s">
        <v>45</v>
      </c>
      <c r="K1539" t="s">
        <v>35</v>
      </c>
      <c r="L1539" t="s">
        <v>175</v>
      </c>
      <c r="M1539" t="s">
        <v>55</v>
      </c>
      <c r="N1539">
        <v>0</v>
      </c>
      <c r="O1539">
        <v>0</v>
      </c>
      <c r="P1539">
        <v>0</v>
      </c>
      <c r="Q1539">
        <v>0</v>
      </c>
      <c r="R1539">
        <v>0</v>
      </c>
      <c r="S1539" t="str">
        <f t="shared" si="120"/>
        <v>PX: Baja Crit.</v>
      </c>
      <c r="T1539">
        <f t="shared" si="121"/>
        <v>1</v>
      </c>
      <c r="U1539">
        <f t="shared" si="122"/>
        <v>0</v>
      </c>
      <c r="V1539">
        <f t="shared" si="123"/>
        <v>0</v>
      </c>
      <c r="W1539">
        <f t="shared" si="124"/>
        <v>0</v>
      </c>
      <c r="X1539">
        <v>1</v>
      </c>
      <c r="Y1539" s="2">
        <v>45768</v>
      </c>
      <c r="Z1539" s="3" t="s">
        <v>56</v>
      </c>
      <c r="AA1539" t="s">
        <v>39</v>
      </c>
      <c r="AB1539" t="s">
        <v>40</v>
      </c>
      <c r="AC1539" t="s">
        <v>40</v>
      </c>
      <c r="AD1539" t="s">
        <v>696</v>
      </c>
    </row>
    <row r="1540" spans="2:30">
      <c r="B1540">
        <v>1</v>
      </c>
      <c r="C1540">
        <v>1020</v>
      </c>
      <c r="D1540" t="s">
        <v>693</v>
      </c>
      <c r="E1540">
        <v>10045333</v>
      </c>
      <c r="F1540" t="s">
        <v>1635</v>
      </c>
      <c r="G1540" t="s">
        <v>31</v>
      </c>
      <c r="H1540" t="s">
        <v>32</v>
      </c>
      <c r="I1540" t="s">
        <v>695</v>
      </c>
      <c r="J1540" t="s">
        <v>45</v>
      </c>
      <c r="K1540" t="s">
        <v>35</v>
      </c>
      <c r="L1540" t="s">
        <v>175</v>
      </c>
      <c r="M1540" t="s">
        <v>55</v>
      </c>
      <c r="N1540">
        <v>0</v>
      </c>
      <c r="O1540">
        <v>0</v>
      </c>
      <c r="P1540">
        <v>0</v>
      </c>
      <c r="Q1540">
        <v>20</v>
      </c>
      <c r="R1540">
        <v>137.81</v>
      </c>
      <c r="S1540" t="str">
        <f t="shared" si="120"/>
        <v>PX: Baja Crit.</v>
      </c>
      <c r="T1540">
        <f t="shared" si="121"/>
        <v>0</v>
      </c>
      <c r="U1540">
        <f t="shared" si="122"/>
        <v>0</v>
      </c>
      <c r="V1540">
        <f t="shared" si="123"/>
        <v>0</v>
      </c>
      <c r="W1540">
        <f t="shared" si="124"/>
        <v>1</v>
      </c>
      <c r="X1540">
        <v>1</v>
      </c>
      <c r="Y1540" s="2">
        <v>45768</v>
      </c>
      <c r="Z1540" s="3" t="s">
        <v>56</v>
      </c>
      <c r="AA1540" t="s">
        <v>39</v>
      </c>
      <c r="AB1540" t="s">
        <v>40</v>
      </c>
      <c r="AC1540" t="s">
        <v>40</v>
      </c>
      <c r="AD1540" t="s">
        <v>696</v>
      </c>
    </row>
    <row r="1541" spans="2:30">
      <c r="B1541">
        <v>1</v>
      </c>
      <c r="C1541">
        <v>1020</v>
      </c>
      <c r="D1541" t="s">
        <v>693</v>
      </c>
      <c r="E1541">
        <v>10045354</v>
      </c>
      <c r="F1541" t="s">
        <v>1636</v>
      </c>
      <c r="G1541" t="s">
        <v>31</v>
      </c>
      <c r="H1541" t="s">
        <v>32</v>
      </c>
      <c r="I1541" t="s">
        <v>695</v>
      </c>
      <c r="J1541" t="s">
        <v>45</v>
      </c>
      <c r="K1541" t="s">
        <v>35</v>
      </c>
      <c r="L1541" t="s">
        <v>175</v>
      </c>
      <c r="M1541" t="s">
        <v>88</v>
      </c>
      <c r="N1541">
        <v>0</v>
      </c>
      <c r="O1541">
        <v>0</v>
      </c>
      <c r="P1541">
        <v>0</v>
      </c>
      <c r="Q1541">
        <v>76</v>
      </c>
      <c r="R1541">
        <v>0</v>
      </c>
      <c r="S1541" t="str">
        <f t="shared" si="120"/>
        <v>PX: Baja Crit.</v>
      </c>
      <c r="T1541">
        <f t="shared" si="121"/>
        <v>0</v>
      </c>
      <c r="U1541">
        <f t="shared" si="122"/>
        <v>0</v>
      </c>
      <c r="V1541">
        <f t="shared" si="123"/>
        <v>0</v>
      </c>
      <c r="W1541">
        <f t="shared" si="124"/>
        <v>1</v>
      </c>
      <c r="X1541">
        <v>1</v>
      </c>
      <c r="Y1541" s="2">
        <v>45768</v>
      </c>
      <c r="Z1541" s="3" t="s">
        <v>89</v>
      </c>
      <c r="AA1541" t="s">
        <v>39</v>
      </c>
      <c r="AB1541" t="s">
        <v>40</v>
      </c>
      <c r="AC1541" t="s">
        <v>40</v>
      </c>
      <c r="AD1541" t="s">
        <v>696</v>
      </c>
    </row>
    <row r="1542" spans="2:30">
      <c r="B1542">
        <v>1</v>
      </c>
      <c r="C1542">
        <v>1020</v>
      </c>
      <c r="D1542" t="s">
        <v>181</v>
      </c>
      <c r="E1542">
        <v>10045385</v>
      </c>
      <c r="F1542" t="s">
        <v>1637</v>
      </c>
      <c r="G1542" t="s">
        <v>31</v>
      </c>
      <c r="H1542" t="s">
        <v>32</v>
      </c>
      <c r="I1542" t="s">
        <v>183</v>
      </c>
      <c r="J1542" t="s">
        <v>45</v>
      </c>
      <c r="K1542" t="s">
        <v>35</v>
      </c>
      <c r="L1542" t="s">
        <v>36</v>
      </c>
      <c r="M1542" t="s">
        <v>55</v>
      </c>
      <c r="N1542">
        <v>30</v>
      </c>
      <c r="O1542">
        <v>21</v>
      </c>
      <c r="P1542">
        <v>8</v>
      </c>
      <c r="Q1542">
        <v>15</v>
      </c>
      <c r="R1542">
        <v>45.37</v>
      </c>
      <c r="S1542" t="str">
        <f t="shared" si="120"/>
        <v>PX: Baja Crit.</v>
      </c>
      <c r="T1542">
        <f t="shared" si="121"/>
        <v>0</v>
      </c>
      <c r="U1542">
        <f t="shared" si="122"/>
        <v>0</v>
      </c>
      <c r="V1542">
        <f t="shared" si="123"/>
        <v>1</v>
      </c>
      <c r="W1542">
        <f t="shared" si="124"/>
        <v>0</v>
      </c>
      <c r="X1542">
        <v>1</v>
      </c>
      <c r="Y1542" s="2">
        <v>45768</v>
      </c>
      <c r="Z1542" s="3" t="s">
        <v>56</v>
      </c>
      <c r="AA1542" t="s">
        <v>39</v>
      </c>
      <c r="AB1542" t="s">
        <v>49</v>
      </c>
      <c r="AC1542" s="5" t="s">
        <v>50</v>
      </c>
      <c r="AD1542" t="s">
        <v>184</v>
      </c>
    </row>
    <row r="1543" spans="2:30">
      <c r="B1543">
        <v>1</v>
      </c>
      <c r="C1543">
        <v>1020</v>
      </c>
      <c r="D1543" t="s">
        <v>181</v>
      </c>
      <c r="E1543">
        <v>10045415</v>
      </c>
      <c r="F1543" t="s">
        <v>1638</v>
      </c>
      <c r="G1543" t="s">
        <v>52</v>
      </c>
      <c r="H1543" t="s">
        <v>32</v>
      </c>
      <c r="I1543" t="s">
        <v>183</v>
      </c>
      <c r="J1543" t="s">
        <v>45</v>
      </c>
      <c r="K1543" t="s">
        <v>35</v>
      </c>
      <c r="L1543" t="s">
        <v>36</v>
      </c>
      <c r="M1543" t="s">
        <v>55</v>
      </c>
      <c r="N1543">
        <v>50</v>
      </c>
      <c r="O1543">
        <v>30</v>
      </c>
      <c r="P1543">
        <v>5</v>
      </c>
      <c r="Q1543">
        <v>38</v>
      </c>
      <c r="R1543">
        <v>369.17</v>
      </c>
      <c r="S1543" t="str">
        <f t="shared" si="120"/>
        <v>PZ: Alta Crit.</v>
      </c>
      <c r="T1543">
        <f t="shared" si="121"/>
        <v>0</v>
      </c>
      <c r="U1543">
        <f t="shared" si="122"/>
        <v>0</v>
      </c>
      <c r="V1543">
        <f t="shared" si="123"/>
        <v>1</v>
      </c>
      <c r="W1543">
        <f t="shared" si="124"/>
        <v>0</v>
      </c>
      <c r="X1543">
        <v>1</v>
      </c>
      <c r="Y1543" s="2">
        <v>45768</v>
      </c>
      <c r="Z1543" s="3" t="s">
        <v>56</v>
      </c>
      <c r="AA1543" t="s">
        <v>39</v>
      </c>
      <c r="AB1543" t="s">
        <v>40</v>
      </c>
      <c r="AC1543" t="s">
        <v>40</v>
      </c>
      <c r="AD1543" t="s">
        <v>184</v>
      </c>
    </row>
    <row r="1544" spans="2:30">
      <c r="B1544">
        <v>1</v>
      </c>
      <c r="C1544">
        <v>1020</v>
      </c>
      <c r="D1544" t="s">
        <v>384</v>
      </c>
      <c r="E1544">
        <v>10045735</v>
      </c>
      <c r="F1544" t="s">
        <v>1639</v>
      </c>
      <c r="G1544" t="s">
        <v>43</v>
      </c>
      <c r="H1544" t="s">
        <v>60</v>
      </c>
      <c r="I1544" t="s">
        <v>386</v>
      </c>
      <c r="J1544" t="s">
        <v>45</v>
      </c>
      <c r="K1544" t="s">
        <v>35</v>
      </c>
      <c r="L1544" t="s">
        <v>175</v>
      </c>
      <c r="M1544" t="s">
        <v>88</v>
      </c>
      <c r="N1544">
        <v>0</v>
      </c>
      <c r="O1544">
        <v>0</v>
      </c>
      <c r="P1544">
        <v>0</v>
      </c>
      <c r="Q1544">
        <v>0</v>
      </c>
      <c r="R1544">
        <v>0</v>
      </c>
      <c r="S1544" t="str">
        <f t="shared" si="120"/>
        <v>PY: Media Crit.</v>
      </c>
      <c r="T1544">
        <f t="shared" si="121"/>
        <v>1</v>
      </c>
      <c r="U1544">
        <f t="shared" si="122"/>
        <v>0</v>
      </c>
      <c r="V1544">
        <f t="shared" si="123"/>
        <v>0</v>
      </c>
      <c r="W1544">
        <f t="shared" si="124"/>
        <v>0</v>
      </c>
      <c r="X1544">
        <v>1</v>
      </c>
      <c r="Y1544" s="2">
        <v>45768</v>
      </c>
      <c r="Z1544" s="3" t="s">
        <v>89</v>
      </c>
      <c r="AA1544" t="s">
        <v>39</v>
      </c>
      <c r="AB1544" t="s">
        <v>40</v>
      </c>
      <c r="AC1544" t="s">
        <v>40</v>
      </c>
      <c r="AD1544" t="s">
        <v>387</v>
      </c>
    </row>
    <row r="1545" spans="2:30">
      <c r="B1545">
        <v>1</v>
      </c>
      <c r="C1545">
        <v>1020</v>
      </c>
      <c r="D1545" t="s">
        <v>181</v>
      </c>
      <c r="E1545">
        <v>10045748</v>
      </c>
      <c r="F1545" t="s">
        <v>1640</v>
      </c>
      <c r="G1545" t="s">
        <v>31</v>
      </c>
      <c r="H1545" t="s">
        <v>60</v>
      </c>
      <c r="I1545" t="s">
        <v>183</v>
      </c>
      <c r="J1545" t="s">
        <v>45</v>
      </c>
      <c r="K1545" t="s">
        <v>35</v>
      </c>
      <c r="L1545" t="s">
        <v>36</v>
      </c>
      <c r="M1545" t="s">
        <v>55</v>
      </c>
      <c r="N1545">
        <v>35</v>
      </c>
      <c r="O1545">
        <v>15</v>
      </c>
      <c r="P1545">
        <v>0</v>
      </c>
      <c r="Q1545">
        <v>35</v>
      </c>
      <c r="R1545">
        <v>42.34</v>
      </c>
      <c r="S1545" t="str">
        <f t="shared" si="120"/>
        <v>PX: Baja Crit.</v>
      </c>
      <c r="T1545">
        <f t="shared" si="121"/>
        <v>0</v>
      </c>
      <c r="U1545">
        <f t="shared" si="122"/>
        <v>0</v>
      </c>
      <c r="V1545">
        <f t="shared" si="123"/>
        <v>1</v>
      </c>
      <c r="W1545">
        <f t="shared" si="124"/>
        <v>0</v>
      </c>
      <c r="X1545">
        <v>1</v>
      </c>
      <c r="Y1545" s="2">
        <v>45768</v>
      </c>
      <c r="Z1545" s="3" t="s">
        <v>56</v>
      </c>
      <c r="AA1545" t="s">
        <v>39</v>
      </c>
      <c r="AB1545" t="s">
        <v>40</v>
      </c>
      <c r="AC1545" t="s">
        <v>40</v>
      </c>
      <c r="AD1545" t="s">
        <v>184</v>
      </c>
    </row>
    <row r="1546" spans="2:30">
      <c r="B1546">
        <v>1</v>
      </c>
      <c r="C1546">
        <v>1020</v>
      </c>
      <c r="D1546" t="s">
        <v>181</v>
      </c>
      <c r="E1546">
        <v>10045793</v>
      </c>
      <c r="F1546" t="s">
        <v>1641</v>
      </c>
      <c r="G1546" t="s">
        <v>43</v>
      </c>
      <c r="H1546" t="s">
        <v>60</v>
      </c>
      <c r="I1546" t="s">
        <v>183</v>
      </c>
      <c r="J1546" t="s">
        <v>45</v>
      </c>
      <c r="K1546" t="s">
        <v>35</v>
      </c>
      <c r="L1546" t="s">
        <v>36</v>
      </c>
      <c r="M1546" t="s">
        <v>37</v>
      </c>
      <c r="N1546">
        <v>10</v>
      </c>
      <c r="O1546">
        <v>4</v>
      </c>
      <c r="P1546">
        <v>0</v>
      </c>
      <c r="Q1546">
        <v>20</v>
      </c>
      <c r="R1546" s="4">
        <v>1668.51</v>
      </c>
      <c r="S1546" t="str">
        <f t="shared" si="120"/>
        <v>PY: Media Crit.</v>
      </c>
      <c r="T1546">
        <f t="shared" si="121"/>
        <v>0</v>
      </c>
      <c r="U1546">
        <f t="shared" si="122"/>
        <v>0</v>
      </c>
      <c r="V1546">
        <f t="shared" si="123"/>
        <v>0</v>
      </c>
      <c r="W1546">
        <f t="shared" si="124"/>
        <v>1</v>
      </c>
      <c r="X1546">
        <v>1</v>
      </c>
      <c r="Y1546" s="2">
        <v>45768</v>
      </c>
      <c r="Z1546" s="3" t="s">
        <v>38</v>
      </c>
      <c r="AA1546" t="s">
        <v>39</v>
      </c>
      <c r="AB1546" t="s">
        <v>40</v>
      </c>
      <c r="AC1546" t="s">
        <v>40</v>
      </c>
      <c r="AD1546" t="s">
        <v>184</v>
      </c>
    </row>
    <row r="1547" spans="2:30">
      <c r="B1547">
        <v>1</v>
      </c>
      <c r="C1547">
        <v>1020</v>
      </c>
      <c r="D1547" t="s">
        <v>384</v>
      </c>
      <c r="E1547">
        <v>10046327</v>
      </c>
      <c r="F1547" t="s">
        <v>1642</v>
      </c>
      <c r="G1547" t="s">
        <v>52</v>
      </c>
      <c r="H1547" t="s">
        <v>32</v>
      </c>
      <c r="I1547" t="s">
        <v>386</v>
      </c>
      <c r="J1547" t="s">
        <v>45</v>
      </c>
      <c r="K1547" t="s">
        <v>35</v>
      </c>
      <c r="L1547" t="s">
        <v>175</v>
      </c>
      <c r="M1547" t="s">
        <v>37</v>
      </c>
      <c r="N1547">
        <v>0</v>
      </c>
      <c r="O1547">
        <v>0</v>
      </c>
      <c r="P1547">
        <v>0</v>
      </c>
      <c r="Q1547">
        <v>0</v>
      </c>
      <c r="R1547">
        <v>0</v>
      </c>
      <c r="S1547" t="str">
        <f t="shared" si="120"/>
        <v>PZ: Alta Crit.</v>
      </c>
      <c r="T1547">
        <f t="shared" si="121"/>
        <v>1</v>
      </c>
      <c r="U1547">
        <f t="shared" si="122"/>
        <v>0</v>
      </c>
      <c r="V1547">
        <f t="shared" si="123"/>
        <v>0</v>
      </c>
      <c r="W1547">
        <f t="shared" si="124"/>
        <v>0</v>
      </c>
      <c r="X1547">
        <v>1</v>
      </c>
      <c r="Y1547" s="2">
        <v>45768</v>
      </c>
      <c r="Z1547" s="3" t="s">
        <v>38</v>
      </c>
      <c r="AA1547" t="s">
        <v>39</v>
      </c>
      <c r="AB1547" t="s">
        <v>40</v>
      </c>
      <c r="AC1547" t="s">
        <v>40</v>
      </c>
      <c r="AD1547" t="s">
        <v>387</v>
      </c>
    </row>
    <row r="1548" spans="2:30">
      <c r="B1548">
        <v>1</v>
      </c>
      <c r="C1548">
        <v>1020</v>
      </c>
      <c r="D1548" t="s">
        <v>388</v>
      </c>
      <c r="E1548">
        <v>10046533</v>
      </c>
      <c r="F1548" t="s">
        <v>1643</v>
      </c>
      <c r="G1548" t="s">
        <v>43</v>
      </c>
      <c r="H1548" t="s">
        <v>60</v>
      </c>
      <c r="I1548" t="s">
        <v>390</v>
      </c>
      <c r="J1548" t="s">
        <v>45</v>
      </c>
      <c r="K1548" t="s">
        <v>35</v>
      </c>
      <c r="L1548" t="s">
        <v>175</v>
      </c>
      <c r="M1548" t="s">
        <v>117</v>
      </c>
      <c r="N1548">
        <v>0</v>
      </c>
      <c r="O1548">
        <v>0</v>
      </c>
      <c r="P1548">
        <v>2</v>
      </c>
      <c r="Q1548">
        <v>3</v>
      </c>
      <c r="R1548" s="4">
        <v>22985.919999999998</v>
      </c>
      <c r="S1548" t="str">
        <f t="shared" si="120"/>
        <v>PY: Media Crit.</v>
      </c>
      <c r="T1548">
        <f t="shared" si="121"/>
        <v>0</v>
      </c>
      <c r="U1548">
        <f t="shared" si="122"/>
        <v>0</v>
      </c>
      <c r="V1548">
        <f t="shared" si="123"/>
        <v>0</v>
      </c>
      <c r="W1548">
        <f t="shared" si="124"/>
        <v>1</v>
      </c>
      <c r="X1548">
        <v>1</v>
      </c>
      <c r="Y1548" s="2">
        <v>45768</v>
      </c>
      <c r="Z1548" s="3" t="s">
        <v>118</v>
      </c>
      <c r="AA1548" t="s">
        <v>39</v>
      </c>
      <c r="AB1548" t="s">
        <v>40</v>
      </c>
      <c r="AC1548" t="s">
        <v>40</v>
      </c>
      <c r="AD1548" t="s">
        <v>391</v>
      </c>
    </row>
    <row r="1549" spans="2:30">
      <c r="B1549">
        <v>1</v>
      </c>
      <c r="C1549">
        <v>1020</v>
      </c>
      <c r="D1549" t="s">
        <v>181</v>
      </c>
      <c r="E1549">
        <v>10046546</v>
      </c>
      <c r="F1549" t="s">
        <v>1644</v>
      </c>
      <c r="G1549" t="s">
        <v>52</v>
      </c>
      <c r="H1549" t="s">
        <v>32</v>
      </c>
      <c r="I1549" t="s">
        <v>183</v>
      </c>
      <c r="J1549" t="s">
        <v>45</v>
      </c>
      <c r="K1549" t="s">
        <v>35</v>
      </c>
      <c r="L1549" t="s">
        <v>36</v>
      </c>
      <c r="M1549" t="s">
        <v>117</v>
      </c>
      <c r="N1549">
        <v>2</v>
      </c>
      <c r="O1549">
        <v>2</v>
      </c>
      <c r="P1549">
        <v>1</v>
      </c>
      <c r="Q1549">
        <v>2</v>
      </c>
      <c r="R1549" s="4">
        <v>10693.46</v>
      </c>
      <c r="S1549" t="str">
        <f t="shared" si="120"/>
        <v>PZ: Alta Crit.</v>
      </c>
      <c r="T1549">
        <f t="shared" si="121"/>
        <v>0</v>
      </c>
      <c r="U1549">
        <f t="shared" si="122"/>
        <v>0</v>
      </c>
      <c r="V1549">
        <f t="shared" si="123"/>
        <v>1</v>
      </c>
      <c r="W1549">
        <f t="shared" si="124"/>
        <v>0</v>
      </c>
      <c r="X1549">
        <v>1</v>
      </c>
      <c r="Y1549" s="2">
        <v>45768</v>
      </c>
      <c r="Z1549" s="3" t="s">
        <v>118</v>
      </c>
      <c r="AA1549" t="s">
        <v>39</v>
      </c>
      <c r="AB1549" t="s">
        <v>40</v>
      </c>
      <c r="AC1549" t="s">
        <v>40</v>
      </c>
      <c r="AD1549" t="s">
        <v>184</v>
      </c>
    </row>
    <row r="1550" spans="2:30">
      <c r="B1550">
        <v>1</v>
      </c>
      <c r="C1550">
        <v>1020</v>
      </c>
      <c r="D1550" t="s">
        <v>388</v>
      </c>
      <c r="E1550">
        <v>10046547</v>
      </c>
      <c r="F1550" t="s">
        <v>1645</v>
      </c>
      <c r="G1550" t="s">
        <v>52</v>
      </c>
      <c r="H1550" t="s">
        <v>32</v>
      </c>
      <c r="I1550" t="s">
        <v>1002</v>
      </c>
      <c r="J1550" t="s">
        <v>45</v>
      </c>
      <c r="K1550" t="s">
        <v>35</v>
      </c>
      <c r="L1550" t="s">
        <v>175</v>
      </c>
      <c r="M1550" t="s">
        <v>117</v>
      </c>
      <c r="N1550">
        <v>0</v>
      </c>
      <c r="O1550">
        <v>0</v>
      </c>
      <c r="P1550">
        <v>2</v>
      </c>
      <c r="Q1550">
        <v>1</v>
      </c>
      <c r="R1550">
        <v>0</v>
      </c>
      <c r="S1550" t="str">
        <f t="shared" si="120"/>
        <v>PZ: Alta Crit.</v>
      </c>
      <c r="T1550">
        <f t="shared" si="121"/>
        <v>0</v>
      </c>
      <c r="U1550">
        <f t="shared" si="122"/>
        <v>1</v>
      </c>
      <c r="V1550">
        <f t="shared" si="123"/>
        <v>0</v>
      </c>
      <c r="W1550">
        <f t="shared" si="124"/>
        <v>1</v>
      </c>
      <c r="X1550">
        <v>1</v>
      </c>
      <c r="Y1550" s="2">
        <v>45768</v>
      </c>
      <c r="Z1550" s="3" t="s">
        <v>118</v>
      </c>
      <c r="AA1550" t="s">
        <v>39</v>
      </c>
      <c r="AB1550" t="s">
        <v>40</v>
      </c>
      <c r="AC1550" t="s">
        <v>40</v>
      </c>
      <c r="AD1550" t="s">
        <v>391</v>
      </c>
    </row>
    <row r="1551" spans="2:30">
      <c r="B1551">
        <v>1</v>
      </c>
      <c r="C1551">
        <v>1020</v>
      </c>
      <c r="D1551" t="s">
        <v>181</v>
      </c>
      <c r="E1551">
        <v>10046608</v>
      </c>
      <c r="F1551" t="s">
        <v>1646</v>
      </c>
      <c r="G1551" t="s">
        <v>52</v>
      </c>
      <c r="H1551" t="s">
        <v>44</v>
      </c>
      <c r="I1551" t="s">
        <v>183</v>
      </c>
      <c r="J1551" t="s">
        <v>45</v>
      </c>
      <c r="K1551" t="s">
        <v>35</v>
      </c>
      <c r="L1551" t="s">
        <v>36</v>
      </c>
      <c r="M1551" t="s">
        <v>46</v>
      </c>
      <c r="N1551">
        <v>2</v>
      </c>
      <c r="O1551">
        <v>2</v>
      </c>
      <c r="P1551">
        <v>0</v>
      </c>
      <c r="Q1551">
        <v>2</v>
      </c>
      <c r="R1551" s="4">
        <v>3468.62</v>
      </c>
      <c r="S1551" t="str">
        <f t="shared" si="120"/>
        <v>PZ: Alta Crit.</v>
      </c>
      <c r="T1551">
        <f t="shared" si="121"/>
        <v>0</v>
      </c>
      <c r="U1551">
        <f t="shared" si="122"/>
        <v>0</v>
      </c>
      <c r="V1551">
        <f t="shared" si="123"/>
        <v>1</v>
      </c>
      <c r="W1551">
        <f t="shared" si="124"/>
        <v>0</v>
      </c>
      <c r="X1551">
        <v>1</v>
      </c>
      <c r="Y1551" s="2">
        <v>45768</v>
      </c>
      <c r="Z1551" s="3" t="s">
        <v>47</v>
      </c>
      <c r="AA1551" t="s">
        <v>39</v>
      </c>
      <c r="AB1551" t="s">
        <v>40</v>
      </c>
      <c r="AC1551" t="s">
        <v>40</v>
      </c>
      <c r="AD1551" t="s">
        <v>184</v>
      </c>
    </row>
    <row r="1552" spans="2:30">
      <c r="B1552">
        <v>1</v>
      </c>
      <c r="C1552">
        <v>1020</v>
      </c>
      <c r="D1552" t="s">
        <v>388</v>
      </c>
      <c r="E1552">
        <v>10046692</v>
      </c>
      <c r="F1552" t="s">
        <v>1647</v>
      </c>
      <c r="G1552" t="s">
        <v>43</v>
      </c>
      <c r="H1552" t="s">
        <v>32</v>
      </c>
      <c r="I1552" t="s">
        <v>390</v>
      </c>
      <c r="J1552" t="s">
        <v>45</v>
      </c>
      <c r="K1552" t="s">
        <v>35</v>
      </c>
      <c r="L1552" t="s">
        <v>175</v>
      </c>
      <c r="M1552" t="s">
        <v>69</v>
      </c>
      <c r="N1552">
        <v>0</v>
      </c>
      <c r="O1552">
        <v>0</v>
      </c>
      <c r="P1552">
        <v>1</v>
      </c>
      <c r="Q1552">
        <v>1</v>
      </c>
      <c r="R1552" s="4">
        <v>5303.61</v>
      </c>
      <c r="S1552" t="str">
        <f t="shared" si="120"/>
        <v>PY: Media Crit.</v>
      </c>
      <c r="T1552">
        <f t="shared" si="121"/>
        <v>0</v>
      </c>
      <c r="U1552">
        <f t="shared" si="122"/>
        <v>1</v>
      </c>
      <c r="V1552">
        <f t="shared" si="123"/>
        <v>0</v>
      </c>
      <c r="W1552">
        <f t="shared" si="124"/>
        <v>1</v>
      </c>
      <c r="X1552">
        <v>1</v>
      </c>
      <c r="Y1552" s="2">
        <v>45768</v>
      </c>
      <c r="Z1552" s="3" t="s">
        <v>70</v>
      </c>
      <c r="AA1552" t="s">
        <v>39</v>
      </c>
      <c r="AB1552" t="s">
        <v>40</v>
      </c>
      <c r="AC1552" t="s">
        <v>40</v>
      </c>
      <c r="AD1552" t="s">
        <v>391</v>
      </c>
    </row>
    <row r="1553" spans="2:30">
      <c r="B1553">
        <v>1</v>
      </c>
      <c r="C1553">
        <v>1020</v>
      </c>
      <c r="D1553" t="s">
        <v>693</v>
      </c>
      <c r="E1553">
        <v>10047438</v>
      </c>
      <c r="F1553" t="s">
        <v>1648</v>
      </c>
      <c r="G1553" t="s">
        <v>43</v>
      </c>
      <c r="H1553" t="s">
        <v>32</v>
      </c>
      <c r="I1553" t="s">
        <v>695</v>
      </c>
      <c r="J1553" t="s">
        <v>45</v>
      </c>
      <c r="K1553" t="s">
        <v>35</v>
      </c>
      <c r="L1553" t="s">
        <v>175</v>
      </c>
      <c r="M1553" t="s">
        <v>37</v>
      </c>
      <c r="N1553">
        <v>0</v>
      </c>
      <c r="O1553">
        <v>0</v>
      </c>
      <c r="P1553">
        <v>0</v>
      </c>
      <c r="Q1553">
        <v>6</v>
      </c>
      <c r="R1553">
        <v>0</v>
      </c>
      <c r="S1553" t="str">
        <f t="shared" si="120"/>
        <v>PY: Media Crit.</v>
      </c>
      <c r="T1553">
        <f t="shared" si="121"/>
        <v>0</v>
      </c>
      <c r="U1553">
        <f t="shared" si="122"/>
        <v>0</v>
      </c>
      <c r="V1553">
        <f t="shared" si="123"/>
        <v>0</v>
      </c>
      <c r="W1553">
        <f t="shared" si="124"/>
        <v>1</v>
      </c>
      <c r="X1553">
        <v>1</v>
      </c>
      <c r="Y1553" s="2">
        <v>45768</v>
      </c>
      <c r="Z1553" s="3" t="s">
        <v>38</v>
      </c>
      <c r="AA1553" t="s">
        <v>39</v>
      </c>
      <c r="AB1553" t="s">
        <v>40</v>
      </c>
      <c r="AC1553" t="s">
        <v>40</v>
      </c>
      <c r="AD1553" t="s">
        <v>696</v>
      </c>
    </row>
    <row r="1554" spans="2:30">
      <c r="B1554">
        <v>1</v>
      </c>
      <c r="C1554">
        <v>1020</v>
      </c>
      <c r="D1554" t="s">
        <v>181</v>
      </c>
      <c r="E1554">
        <v>10047745</v>
      </c>
      <c r="F1554" t="s">
        <v>1649</v>
      </c>
      <c r="G1554" t="s">
        <v>43</v>
      </c>
      <c r="H1554" t="s">
        <v>44</v>
      </c>
      <c r="I1554" t="s">
        <v>183</v>
      </c>
      <c r="J1554" t="s">
        <v>45</v>
      </c>
      <c r="K1554" t="s">
        <v>35</v>
      </c>
      <c r="L1554" t="s">
        <v>36</v>
      </c>
      <c r="M1554" t="s">
        <v>46</v>
      </c>
      <c r="N1554">
        <v>14</v>
      </c>
      <c r="O1554">
        <v>6</v>
      </c>
      <c r="P1554">
        <v>0</v>
      </c>
      <c r="Q1554">
        <v>14</v>
      </c>
      <c r="R1554">
        <v>770.93</v>
      </c>
      <c r="S1554" t="str">
        <f t="shared" si="120"/>
        <v>PY: Media Crit.</v>
      </c>
      <c r="T1554">
        <f t="shared" si="121"/>
        <v>0</v>
      </c>
      <c r="U1554">
        <f t="shared" si="122"/>
        <v>0</v>
      </c>
      <c r="V1554">
        <f t="shared" si="123"/>
        <v>1</v>
      </c>
      <c r="W1554">
        <f t="shared" si="124"/>
        <v>0</v>
      </c>
      <c r="X1554">
        <v>1</v>
      </c>
      <c r="Y1554" s="2">
        <v>45768</v>
      </c>
      <c r="Z1554" s="3" t="s">
        <v>47</v>
      </c>
      <c r="AA1554" t="s">
        <v>39</v>
      </c>
      <c r="AB1554" t="s">
        <v>40</v>
      </c>
      <c r="AC1554" t="s">
        <v>40</v>
      </c>
      <c r="AD1554" t="s">
        <v>184</v>
      </c>
    </row>
    <row r="1555" spans="2:30">
      <c r="B1555">
        <v>1</v>
      </c>
      <c r="C1555">
        <v>1020</v>
      </c>
      <c r="D1555" t="s">
        <v>693</v>
      </c>
      <c r="E1555">
        <v>10047919</v>
      </c>
      <c r="F1555" t="s">
        <v>1650</v>
      </c>
      <c r="G1555" t="s">
        <v>43</v>
      </c>
      <c r="H1555" t="s">
        <v>32</v>
      </c>
      <c r="I1555" t="s">
        <v>695</v>
      </c>
      <c r="J1555" t="s">
        <v>45</v>
      </c>
      <c r="K1555" t="s">
        <v>35</v>
      </c>
      <c r="L1555" t="s">
        <v>175</v>
      </c>
      <c r="M1555" t="s">
        <v>46</v>
      </c>
      <c r="N1555">
        <v>0</v>
      </c>
      <c r="O1555">
        <v>0</v>
      </c>
      <c r="P1555">
        <v>0</v>
      </c>
      <c r="Q1555">
        <v>1</v>
      </c>
      <c r="R1555">
        <v>33.93</v>
      </c>
      <c r="S1555" t="str">
        <f t="shared" si="120"/>
        <v>PY: Media Crit.</v>
      </c>
      <c r="T1555">
        <f t="shared" si="121"/>
        <v>0</v>
      </c>
      <c r="U1555">
        <f t="shared" si="122"/>
        <v>0</v>
      </c>
      <c r="V1555">
        <f t="shared" si="123"/>
        <v>0</v>
      </c>
      <c r="W1555">
        <f t="shared" si="124"/>
        <v>1</v>
      </c>
      <c r="X1555">
        <v>1</v>
      </c>
      <c r="Y1555" s="2">
        <v>45768</v>
      </c>
      <c r="Z1555" s="3" t="s">
        <v>47</v>
      </c>
      <c r="AA1555" t="s">
        <v>39</v>
      </c>
      <c r="AB1555" t="s">
        <v>40</v>
      </c>
      <c r="AC1555" t="s">
        <v>40</v>
      </c>
      <c r="AD1555" t="s">
        <v>696</v>
      </c>
    </row>
    <row r="1556" spans="2:30">
      <c r="B1556">
        <v>1</v>
      </c>
      <c r="C1556">
        <v>1020</v>
      </c>
      <c r="D1556" t="s">
        <v>384</v>
      </c>
      <c r="E1556">
        <v>10047994</v>
      </c>
      <c r="F1556" t="s">
        <v>1651</v>
      </c>
      <c r="G1556" t="s">
        <v>52</v>
      </c>
      <c r="H1556" t="s">
        <v>32</v>
      </c>
      <c r="I1556" t="s">
        <v>386</v>
      </c>
      <c r="J1556" t="s">
        <v>45</v>
      </c>
      <c r="K1556" t="s">
        <v>35</v>
      </c>
      <c r="L1556" t="s">
        <v>175</v>
      </c>
      <c r="M1556" t="s">
        <v>46</v>
      </c>
      <c r="N1556">
        <v>0</v>
      </c>
      <c r="O1556">
        <v>0</v>
      </c>
      <c r="P1556">
        <v>0</v>
      </c>
      <c r="Q1556">
        <v>16</v>
      </c>
      <c r="R1556">
        <v>0</v>
      </c>
      <c r="S1556" t="str">
        <f t="shared" si="120"/>
        <v>PZ: Alta Crit.</v>
      </c>
      <c r="T1556">
        <f t="shared" si="121"/>
        <v>0</v>
      </c>
      <c r="U1556">
        <f t="shared" si="122"/>
        <v>0</v>
      </c>
      <c r="V1556">
        <f t="shared" si="123"/>
        <v>0</v>
      </c>
      <c r="W1556">
        <f t="shared" si="124"/>
        <v>1</v>
      </c>
      <c r="X1556">
        <v>1</v>
      </c>
      <c r="Y1556" s="2">
        <v>45768</v>
      </c>
      <c r="Z1556" s="3" t="s">
        <v>47</v>
      </c>
      <c r="AA1556" t="s">
        <v>39</v>
      </c>
      <c r="AB1556" t="s">
        <v>40</v>
      </c>
      <c r="AC1556" t="s">
        <v>40</v>
      </c>
      <c r="AD1556" t="s">
        <v>387</v>
      </c>
    </row>
    <row r="1557" spans="2:30">
      <c r="B1557">
        <v>1</v>
      </c>
      <c r="C1557">
        <v>1020</v>
      </c>
      <c r="D1557" t="s">
        <v>181</v>
      </c>
      <c r="E1557">
        <v>10048049</v>
      </c>
      <c r="F1557" t="s">
        <v>1652</v>
      </c>
      <c r="G1557" t="s">
        <v>43</v>
      </c>
      <c r="H1557" t="s">
        <v>32</v>
      </c>
      <c r="I1557" t="s">
        <v>183</v>
      </c>
      <c r="J1557" t="s">
        <v>45</v>
      </c>
      <c r="K1557" t="s">
        <v>35</v>
      </c>
      <c r="L1557" t="s">
        <v>36</v>
      </c>
      <c r="M1557" t="s">
        <v>46</v>
      </c>
      <c r="N1557">
        <v>6</v>
      </c>
      <c r="O1557">
        <v>4</v>
      </c>
      <c r="P1557">
        <v>0</v>
      </c>
      <c r="Q1557">
        <v>6</v>
      </c>
      <c r="R1557">
        <v>688.35</v>
      </c>
      <c r="S1557" t="str">
        <f t="shared" si="120"/>
        <v>PY: Media Crit.</v>
      </c>
      <c r="T1557">
        <f t="shared" si="121"/>
        <v>0</v>
      </c>
      <c r="U1557">
        <f t="shared" si="122"/>
        <v>0</v>
      </c>
      <c r="V1557">
        <f t="shared" si="123"/>
        <v>1</v>
      </c>
      <c r="W1557">
        <f t="shared" si="124"/>
        <v>0</v>
      </c>
      <c r="X1557">
        <v>1</v>
      </c>
      <c r="Y1557" s="2">
        <v>45768</v>
      </c>
      <c r="Z1557" s="3" t="s">
        <v>47</v>
      </c>
      <c r="AA1557" t="s">
        <v>39</v>
      </c>
      <c r="AB1557" t="s">
        <v>40</v>
      </c>
      <c r="AC1557" t="s">
        <v>40</v>
      </c>
      <c r="AD1557" t="s">
        <v>184</v>
      </c>
    </row>
    <row r="1558" spans="2:30">
      <c r="B1558">
        <v>1</v>
      </c>
      <c r="C1558">
        <v>1020</v>
      </c>
      <c r="D1558" t="s">
        <v>388</v>
      </c>
      <c r="E1558">
        <v>10048059</v>
      </c>
      <c r="F1558" t="s">
        <v>1653</v>
      </c>
      <c r="G1558" t="s">
        <v>52</v>
      </c>
      <c r="H1558" t="s">
        <v>32</v>
      </c>
      <c r="I1558" t="s">
        <v>390</v>
      </c>
      <c r="J1558" t="s">
        <v>45</v>
      </c>
      <c r="K1558" t="s">
        <v>35</v>
      </c>
      <c r="L1558" t="s">
        <v>175</v>
      </c>
      <c r="M1558" t="s">
        <v>46</v>
      </c>
      <c r="N1558">
        <v>0</v>
      </c>
      <c r="O1558">
        <v>0</v>
      </c>
      <c r="P1558">
        <v>1</v>
      </c>
      <c r="Q1558">
        <v>3</v>
      </c>
      <c r="R1558" s="4">
        <v>19932.91</v>
      </c>
      <c r="S1558" t="str">
        <f t="shared" si="120"/>
        <v>PZ: Alta Crit.</v>
      </c>
      <c r="T1558">
        <f t="shared" si="121"/>
        <v>0</v>
      </c>
      <c r="U1558">
        <f t="shared" si="122"/>
        <v>0</v>
      </c>
      <c r="V1558">
        <f t="shared" si="123"/>
        <v>0</v>
      </c>
      <c r="W1558">
        <f t="shared" si="124"/>
        <v>1</v>
      </c>
      <c r="X1558">
        <v>1</v>
      </c>
      <c r="Y1558" s="2">
        <v>45768</v>
      </c>
      <c r="Z1558" s="3" t="s">
        <v>47</v>
      </c>
      <c r="AA1558" t="s">
        <v>39</v>
      </c>
      <c r="AB1558" t="s">
        <v>40</v>
      </c>
      <c r="AC1558" t="s">
        <v>40</v>
      </c>
      <c r="AD1558" t="s">
        <v>391</v>
      </c>
    </row>
    <row r="1559" spans="2:30">
      <c r="B1559">
        <v>1</v>
      </c>
      <c r="C1559">
        <v>1020</v>
      </c>
      <c r="D1559" t="s">
        <v>181</v>
      </c>
      <c r="E1559">
        <v>10048206</v>
      </c>
      <c r="F1559" t="s">
        <v>1654</v>
      </c>
      <c r="G1559" t="s">
        <v>43</v>
      </c>
      <c r="H1559" t="s">
        <v>32</v>
      </c>
      <c r="I1559" t="s">
        <v>183</v>
      </c>
      <c r="J1559" t="s">
        <v>45</v>
      </c>
      <c r="K1559" t="s">
        <v>35</v>
      </c>
      <c r="L1559" t="s">
        <v>36</v>
      </c>
      <c r="M1559" t="s">
        <v>46</v>
      </c>
      <c r="N1559">
        <v>2</v>
      </c>
      <c r="O1559">
        <v>2</v>
      </c>
      <c r="P1559">
        <v>1</v>
      </c>
      <c r="Q1559">
        <v>2</v>
      </c>
      <c r="R1559">
        <v>332.67</v>
      </c>
      <c r="S1559" t="str">
        <f t="shared" si="120"/>
        <v>PY: Media Crit.</v>
      </c>
      <c r="T1559">
        <f t="shared" si="121"/>
        <v>0</v>
      </c>
      <c r="U1559">
        <f t="shared" si="122"/>
        <v>0</v>
      </c>
      <c r="V1559">
        <f t="shared" si="123"/>
        <v>1</v>
      </c>
      <c r="W1559">
        <f t="shared" si="124"/>
        <v>0</v>
      </c>
      <c r="X1559">
        <v>1</v>
      </c>
      <c r="Y1559" s="2">
        <v>45768</v>
      </c>
      <c r="Z1559" s="3" t="s">
        <v>47</v>
      </c>
      <c r="AA1559" t="s">
        <v>39</v>
      </c>
      <c r="AB1559" t="s">
        <v>40</v>
      </c>
      <c r="AC1559" t="s">
        <v>40</v>
      </c>
      <c r="AD1559" t="s">
        <v>184</v>
      </c>
    </row>
    <row r="1560" spans="2:30">
      <c r="B1560">
        <v>1</v>
      </c>
      <c r="C1560">
        <v>1020</v>
      </c>
      <c r="D1560" t="s">
        <v>181</v>
      </c>
      <c r="E1560">
        <v>10048261</v>
      </c>
      <c r="F1560" t="s">
        <v>1655</v>
      </c>
      <c r="G1560" t="s">
        <v>43</v>
      </c>
      <c r="H1560" t="s">
        <v>44</v>
      </c>
      <c r="I1560" t="s">
        <v>183</v>
      </c>
      <c r="J1560" t="s">
        <v>45</v>
      </c>
      <c r="K1560" t="s">
        <v>35</v>
      </c>
      <c r="L1560" t="s">
        <v>36</v>
      </c>
      <c r="M1560" t="s">
        <v>46</v>
      </c>
      <c r="N1560">
        <v>4</v>
      </c>
      <c r="O1560">
        <v>2</v>
      </c>
      <c r="P1560">
        <v>0</v>
      </c>
      <c r="Q1560">
        <v>4</v>
      </c>
      <c r="R1560" s="4">
        <v>6246.84</v>
      </c>
      <c r="S1560" t="str">
        <f t="shared" si="120"/>
        <v>PY: Media Crit.</v>
      </c>
      <c r="T1560">
        <f t="shared" si="121"/>
        <v>0</v>
      </c>
      <c r="U1560">
        <f t="shared" si="122"/>
        <v>0</v>
      </c>
      <c r="V1560">
        <f t="shared" si="123"/>
        <v>1</v>
      </c>
      <c r="W1560">
        <f t="shared" si="124"/>
        <v>0</v>
      </c>
      <c r="X1560">
        <v>1</v>
      </c>
      <c r="Y1560" s="2">
        <v>45768</v>
      </c>
      <c r="Z1560" s="3" t="s">
        <v>47</v>
      </c>
      <c r="AA1560" t="s">
        <v>39</v>
      </c>
      <c r="AB1560" t="s">
        <v>40</v>
      </c>
      <c r="AC1560" t="s">
        <v>40</v>
      </c>
      <c r="AD1560" t="s">
        <v>184</v>
      </c>
    </row>
    <row r="1561" spans="2:30">
      <c r="B1561">
        <v>1</v>
      </c>
      <c r="C1561">
        <v>1020</v>
      </c>
      <c r="D1561" t="s">
        <v>384</v>
      </c>
      <c r="E1561">
        <v>10048287</v>
      </c>
      <c r="F1561" t="s">
        <v>1656</v>
      </c>
      <c r="G1561" t="s">
        <v>43</v>
      </c>
      <c r="H1561" t="s">
        <v>32</v>
      </c>
      <c r="I1561" t="s">
        <v>386</v>
      </c>
      <c r="J1561" t="s">
        <v>45</v>
      </c>
      <c r="K1561" t="s">
        <v>35</v>
      </c>
      <c r="L1561" t="s">
        <v>175</v>
      </c>
      <c r="M1561" t="s">
        <v>46</v>
      </c>
      <c r="N1561">
        <v>0</v>
      </c>
      <c r="O1561">
        <v>0</v>
      </c>
      <c r="P1561">
        <v>0</v>
      </c>
      <c r="Q1561">
        <v>0</v>
      </c>
      <c r="R1561">
        <v>0</v>
      </c>
      <c r="S1561" t="str">
        <f t="shared" si="120"/>
        <v>PY: Media Crit.</v>
      </c>
      <c r="T1561">
        <f t="shared" si="121"/>
        <v>1</v>
      </c>
      <c r="U1561">
        <f t="shared" si="122"/>
        <v>0</v>
      </c>
      <c r="V1561">
        <f t="shared" si="123"/>
        <v>0</v>
      </c>
      <c r="W1561">
        <f t="shared" si="124"/>
        <v>0</v>
      </c>
      <c r="X1561">
        <v>1</v>
      </c>
      <c r="Y1561" s="2">
        <v>45768</v>
      </c>
      <c r="Z1561" s="3" t="s">
        <v>47</v>
      </c>
      <c r="AA1561" t="s">
        <v>39</v>
      </c>
      <c r="AB1561" t="s">
        <v>40</v>
      </c>
      <c r="AC1561" t="s">
        <v>40</v>
      </c>
      <c r="AD1561" t="s">
        <v>387</v>
      </c>
    </row>
    <row r="1562" spans="2:30">
      <c r="B1562">
        <v>1</v>
      </c>
      <c r="C1562">
        <v>1020</v>
      </c>
      <c r="D1562" t="s">
        <v>384</v>
      </c>
      <c r="E1562">
        <v>10048464</v>
      </c>
      <c r="F1562" t="s">
        <v>1657</v>
      </c>
      <c r="G1562" t="s">
        <v>31</v>
      </c>
      <c r="H1562" t="s">
        <v>32</v>
      </c>
      <c r="I1562" t="s">
        <v>386</v>
      </c>
      <c r="J1562" t="s">
        <v>45</v>
      </c>
      <c r="K1562" t="s">
        <v>1658</v>
      </c>
      <c r="L1562" t="s">
        <v>175</v>
      </c>
      <c r="M1562" t="s">
        <v>37</v>
      </c>
      <c r="N1562">
        <v>0</v>
      </c>
      <c r="O1562">
        <v>0</v>
      </c>
      <c r="P1562">
        <v>0</v>
      </c>
      <c r="Q1562">
        <v>12</v>
      </c>
      <c r="R1562">
        <v>0</v>
      </c>
      <c r="S1562" t="str">
        <f t="shared" si="120"/>
        <v>PX: Baja Crit.</v>
      </c>
      <c r="T1562">
        <f t="shared" si="121"/>
        <v>0</v>
      </c>
      <c r="U1562">
        <f t="shared" si="122"/>
        <v>0</v>
      </c>
      <c r="V1562">
        <f t="shared" si="123"/>
        <v>0</v>
      </c>
      <c r="W1562">
        <f t="shared" si="124"/>
        <v>1</v>
      </c>
      <c r="X1562">
        <v>1</v>
      </c>
      <c r="Y1562" s="2">
        <v>45768</v>
      </c>
      <c r="Z1562" s="3" t="s">
        <v>38</v>
      </c>
      <c r="AA1562" t="s">
        <v>39</v>
      </c>
      <c r="AB1562" t="s">
        <v>40</v>
      </c>
      <c r="AC1562" t="s">
        <v>40</v>
      </c>
      <c r="AD1562" t="s">
        <v>387</v>
      </c>
    </row>
    <row r="1563" spans="2:30">
      <c r="B1563">
        <v>1</v>
      </c>
      <c r="C1563">
        <v>1020</v>
      </c>
      <c r="D1563" t="s">
        <v>693</v>
      </c>
      <c r="E1563">
        <v>10049050</v>
      </c>
      <c r="F1563" t="s">
        <v>1659</v>
      </c>
      <c r="G1563" t="s">
        <v>31</v>
      </c>
      <c r="H1563" t="s">
        <v>32</v>
      </c>
      <c r="I1563" t="s">
        <v>695</v>
      </c>
      <c r="J1563" t="s">
        <v>45</v>
      </c>
      <c r="K1563" t="s">
        <v>35</v>
      </c>
      <c r="L1563" t="s">
        <v>175</v>
      </c>
      <c r="M1563" t="s">
        <v>69</v>
      </c>
      <c r="N1563">
        <v>0</v>
      </c>
      <c r="O1563">
        <v>0</v>
      </c>
      <c r="P1563">
        <v>0</v>
      </c>
      <c r="Q1563">
        <v>0</v>
      </c>
      <c r="R1563">
        <v>0</v>
      </c>
      <c r="S1563" t="str">
        <f t="shared" si="120"/>
        <v>PX: Baja Crit.</v>
      </c>
      <c r="T1563">
        <f t="shared" si="121"/>
        <v>1</v>
      </c>
      <c r="U1563">
        <f t="shared" si="122"/>
        <v>0</v>
      </c>
      <c r="V1563">
        <f t="shared" si="123"/>
        <v>0</v>
      </c>
      <c r="W1563">
        <f t="shared" si="124"/>
        <v>0</v>
      </c>
      <c r="X1563">
        <v>1</v>
      </c>
      <c r="Y1563" s="2">
        <v>45768</v>
      </c>
      <c r="Z1563" s="3" t="s">
        <v>70</v>
      </c>
      <c r="AA1563" t="s">
        <v>39</v>
      </c>
      <c r="AB1563" t="s">
        <v>40</v>
      </c>
      <c r="AC1563" t="s">
        <v>40</v>
      </c>
      <c r="AD1563" t="s">
        <v>696</v>
      </c>
    </row>
    <row r="1564" spans="2:30">
      <c r="B1564">
        <v>1</v>
      </c>
      <c r="C1564">
        <v>1020</v>
      </c>
      <c r="D1564" t="s">
        <v>181</v>
      </c>
      <c r="E1564">
        <v>10049206</v>
      </c>
      <c r="F1564" t="s">
        <v>1660</v>
      </c>
      <c r="G1564" t="s">
        <v>31</v>
      </c>
      <c r="H1564" t="s">
        <v>32</v>
      </c>
      <c r="I1564" t="s">
        <v>183</v>
      </c>
      <c r="J1564" t="s">
        <v>45</v>
      </c>
      <c r="K1564" t="s">
        <v>35</v>
      </c>
      <c r="L1564" t="s">
        <v>36</v>
      </c>
      <c r="M1564" t="s">
        <v>46</v>
      </c>
      <c r="N1564">
        <v>4</v>
      </c>
      <c r="O1564">
        <v>3</v>
      </c>
      <c r="P1564">
        <v>1</v>
      </c>
      <c r="Q1564">
        <v>4</v>
      </c>
      <c r="R1564" s="4">
        <v>1215.25</v>
      </c>
      <c r="S1564" t="str">
        <f t="shared" si="120"/>
        <v>PX: Baja Crit.</v>
      </c>
      <c r="T1564">
        <f t="shared" si="121"/>
        <v>0</v>
      </c>
      <c r="U1564">
        <f t="shared" si="122"/>
        <v>0</v>
      </c>
      <c r="V1564">
        <f t="shared" si="123"/>
        <v>1</v>
      </c>
      <c r="W1564">
        <f t="shared" si="124"/>
        <v>0</v>
      </c>
      <c r="X1564">
        <v>1</v>
      </c>
      <c r="Y1564" s="2">
        <v>45768</v>
      </c>
      <c r="Z1564" s="3" t="s">
        <v>47</v>
      </c>
      <c r="AA1564" t="s">
        <v>39</v>
      </c>
      <c r="AB1564" t="s">
        <v>40</v>
      </c>
      <c r="AC1564" t="s">
        <v>40</v>
      </c>
      <c r="AD1564" t="s">
        <v>184</v>
      </c>
    </row>
    <row r="1565" spans="2:30">
      <c r="B1565">
        <v>1</v>
      </c>
      <c r="C1565">
        <v>1020</v>
      </c>
      <c r="D1565" t="s">
        <v>181</v>
      </c>
      <c r="E1565">
        <v>10049232</v>
      </c>
      <c r="F1565" t="s">
        <v>1661</v>
      </c>
      <c r="G1565" t="s">
        <v>31</v>
      </c>
      <c r="H1565" t="s">
        <v>32</v>
      </c>
      <c r="I1565" t="s">
        <v>183</v>
      </c>
      <c r="J1565" t="s">
        <v>45</v>
      </c>
      <c r="K1565" t="s">
        <v>35</v>
      </c>
      <c r="L1565" t="s">
        <v>36</v>
      </c>
      <c r="M1565" t="s">
        <v>88</v>
      </c>
      <c r="N1565">
        <v>3</v>
      </c>
      <c r="O1565">
        <v>3</v>
      </c>
      <c r="P1565">
        <v>1</v>
      </c>
      <c r="Q1565">
        <v>5</v>
      </c>
      <c r="R1565" s="4">
        <v>2048.63</v>
      </c>
      <c r="S1565" t="str">
        <f t="shared" si="120"/>
        <v>PX: Baja Crit.</v>
      </c>
      <c r="T1565">
        <f t="shared" si="121"/>
        <v>0</v>
      </c>
      <c r="U1565">
        <f t="shared" si="122"/>
        <v>0</v>
      </c>
      <c r="V1565">
        <f t="shared" si="123"/>
        <v>0</v>
      </c>
      <c r="W1565">
        <f t="shared" si="124"/>
        <v>1</v>
      </c>
      <c r="X1565">
        <v>1</v>
      </c>
      <c r="Y1565" s="2">
        <v>45768</v>
      </c>
      <c r="Z1565" s="3" t="s">
        <v>89</v>
      </c>
      <c r="AA1565" t="s">
        <v>39</v>
      </c>
      <c r="AB1565" t="s">
        <v>40</v>
      </c>
      <c r="AC1565" t="s">
        <v>40</v>
      </c>
      <c r="AD1565" t="s">
        <v>184</v>
      </c>
    </row>
    <row r="1566" spans="2:30">
      <c r="B1566">
        <v>1</v>
      </c>
      <c r="C1566">
        <v>1020</v>
      </c>
      <c r="D1566" t="s">
        <v>384</v>
      </c>
      <c r="E1566">
        <v>10049317</v>
      </c>
      <c r="F1566" t="s">
        <v>1662</v>
      </c>
      <c r="G1566" t="s">
        <v>31</v>
      </c>
      <c r="H1566" t="s">
        <v>32</v>
      </c>
      <c r="I1566" t="s">
        <v>386</v>
      </c>
      <c r="J1566" t="s">
        <v>45</v>
      </c>
      <c r="K1566" t="s">
        <v>35</v>
      </c>
      <c r="L1566" t="s">
        <v>175</v>
      </c>
      <c r="M1566" t="s">
        <v>88</v>
      </c>
      <c r="N1566">
        <v>0</v>
      </c>
      <c r="O1566">
        <v>0</v>
      </c>
      <c r="P1566">
        <v>0</v>
      </c>
      <c r="Q1566">
        <v>0</v>
      </c>
      <c r="R1566">
        <v>0</v>
      </c>
      <c r="S1566" t="str">
        <f t="shared" si="120"/>
        <v>PX: Baja Crit.</v>
      </c>
      <c r="T1566">
        <f t="shared" si="121"/>
        <v>1</v>
      </c>
      <c r="U1566">
        <f t="shared" si="122"/>
        <v>0</v>
      </c>
      <c r="V1566">
        <f t="shared" si="123"/>
        <v>0</v>
      </c>
      <c r="W1566">
        <f t="shared" si="124"/>
        <v>0</v>
      </c>
      <c r="X1566">
        <v>1</v>
      </c>
      <c r="Y1566" s="2">
        <v>45768</v>
      </c>
      <c r="Z1566" s="3" t="s">
        <v>89</v>
      </c>
      <c r="AA1566" t="s">
        <v>39</v>
      </c>
      <c r="AB1566" t="s">
        <v>40</v>
      </c>
      <c r="AC1566" t="s">
        <v>40</v>
      </c>
      <c r="AD1566" t="s">
        <v>387</v>
      </c>
    </row>
    <row r="1567" spans="2:30">
      <c r="B1567">
        <v>1</v>
      </c>
      <c r="C1567">
        <v>1020</v>
      </c>
      <c r="D1567" t="s">
        <v>388</v>
      </c>
      <c r="E1567">
        <v>10049489</v>
      </c>
      <c r="F1567" t="s">
        <v>1663</v>
      </c>
      <c r="G1567" t="s">
        <v>43</v>
      </c>
      <c r="H1567" t="s">
        <v>44</v>
      </c>
      <c r="I1567" t="s">
        <v>390</v>
      </c>
      <c r="J1567" t="s">
        <v>45</v>
      </c>
      <c r="K1567" t="s">
        <v>35</v>
      </c>
      <c r="L1567" t="s">
        <v>175</v>
      </c>
      <c r="M1567" t="s">
        <v>69</v>
      </c>
      <c r="N1567">
        <v>0</v>
      </c>
      <c r="O1567">
        <v>0</v>
      </c>
      <c r="P1567">
        <v>1</v>
      </c>
      <c r="Q1567">
        <v>1</v>
      </c>
      <c r="R1567">
        <v>905.81</v>
      </c>
      <c r="S1567" t="str">
        <f t="shared" si="120"/>
        <v>PY: Media Crit.</v>
      </c>
      <c r="T1567">
        <f t="shared" si="121"/>
        <v>0</v>
      </c>
      <c r="U1567">
        <f t="shared" si="122"/>
        <v>1</v>
      </c>
      <c r="V1567">
        <f t="shared" si="123"/>
        <v>0</v>
      </c>
      <c r="W1567">
        <f t="shared" si="124"/>
        <v>1</v>
      </c>
      <c r="X1567">
        <v>1</v>
      </c>
      <c r="Y1567" s="2">
        <v>45768</v>
      </c>
      <c r="Z1567" s="3" t="s">
        <v>70</v>
      </c>
      <c r="AA1567" t="s">
        <v>39</v>
      </c>
      <c r="AB1567" t="s">
        <v>40</v>
      </c>
      <c r="AC1567" t="s">
        <v>40</v>
      </c>
      <c r="AD1567" t="s">
        <v>391</v>
      </c>
    </row>
    <row r="1568" spans="2:30">
      <c r="B1568">
        <v>1</v>
      </c>
      <c r="C1568">
        <v>1020</v>
      </c>
      <c r="D1568" t="s">
        <v>388</v>
      </c>
      <c r="E1568">
        <v>10049494</v>
      </c>
      <c r="F1568" t="s">
        <v>1664</v>
      </c>
      <c r="G1568" t="s">
        <v>52</v>
      </c>
      <c r="H1568" t="s">
        <v>32</v>
      </c>
      <c r="I1568" t="s">
        <v>390</v>
      </c>
      <c r="J1568" t="s">
        <v>45</v>
      </c>
      <c r="K1568" t="s">
        <v>35</v>
      </c>
      <c r="L1568" t="s">
        <v>175</v>
      </c>
      <c r="M1568" t="s">
        <v>46</v>
      </c>
      <c r="N1568">
        <v>0</v>
      </c>
      <c r="O1568">
        <v>0</v>
      </c>
      <c r="P1568">
        <v>1</v>
      </c>
      <c r="Q1568">
        <v>1</v>
      </c>
      <c r="R1568" s="4">
        <v>21684.7</v>
      </c>
      <c r="S1568" t="str">
        <f t="shared" si="120"/>
        <v>PZ: Alta Crit.</v>
      </c>
      <c r="T1568">
        <f t="shared" si="121"/>
        <v>0</v>
      </c>
      <c r="U1568">
        <f t="shared" si="122"/>
        <v>1</v>
      </c>
      <c r="V1568">
        <f t="shared" si="123"/>
        <v>0</v>
      </c>
      <c r="W1568">
        <f t="shared" si="124"/>
        <v>1</v>
      </c>
      <c r="X1568">
        <v>1</v>
      </c>
      <c r="Y1568" s="2">
        <v>45768</v>
      </c>
      <c r="Z1568" s="3" t="s">
        <v>47</v>
      </c>
      <c r="AA1568" t="s">
        <v>39</v>
      </c>
      <c r="AB1568" t="s">
        <v>40</v>
      </c>
      <c r="AC1568" t="s">
        <v>40</v>
      </c>
      <c r="AD1568" t="s">
        <v>391</v>
      </c>
    </row>
    <row r="1569" spans="2:30">
      <c r="B1569">
        <v>1</v>
      </c>
      <c r="C1569">
        <v>1020</v>
      </c>
      <c r="D1569" t="s">
        <v>181</v>
      </c>
      <c r="E1569">
        <v>10049902</v>
      </c>
      <c r="F1569" t="s">
        <v>1665</v>
      </c>
      <c r="G1569" t="s">
        <v>31</v>
      </c>
      <c r="H1569" t="s">
        <v>32</v>
      </c>
      <c r="I1569" t="s">
        <v>183</v>
      </c>
      <c r="J1569" t="s">
        <v>45</v>
      </c>
      <c r="K1569" t="s">
        <v>35</v>
      </c>
      <c r="L1569" t="s">
        <v>36</v>
      </c>
      <c r="M1569" t="s">
        <v>55</v>
      </c>
      <c r="N1569">
        <v>100</v>
      </c>
      <c r="O1569">
        <v>51</v>
      </c>
      <c r="P1569">
        <v>10</v>
      </c>
      <c r="Q1569">
        <v>100</v>
      </c>
      <c r="R1569">
        <v>9.6199999999999992</v>
      </c>
      <c r="S1569" t="str">
        <f t="shared" si="120"/>
        <v>PX: Baja Crit.</v>
      </c>
      <c r="T1569">
        <f t="shared" si="121"/>
        <v>0</v>
      </c>
      <c r="U1569">
        <f t="shared" si="122"/>
        <v>0</v>
      </c>
      <c r="V1569">
        <f t="shared" si="123"/>
        <v>1</v>
      </c>
      <c r="W1569">
        <f t="shared" si="124"/>
        <v>0</v>
      </c>
      <c r="X1569">
        <v>1</v>
      </c>
      <c r="Y1569" s="2">
        <v>45768</v>
      </c>
      <c r="Z1569" s="3" t="s">
        <v>56</v>
      </c>
      <c r="AA1569" t="s">
        <v>39</v>
      </c>
      <c r="AB1569" t="s">
        <v>40</v>
      </c>
      <c r="AC1569" t="s">
        <v>40</v>
      </c>
      <c r="AD1569" t="s">
        <v>184</v>
      </c>
    </row>
    <row r="1570" spans="2:30">
      <c r="B1570">
        <v>1</v>
      </c>
      <c r="C1570">
        <v>1020</v>
      </c>
      <c r="D1570" t="s">
        <v>693</v>
      </c>
      <c r="E1570">
        <v>10049915</v>
      </c>
      <c r="F1570" t="s">
        <v>1666</v>
      </c>
      <c r="G1570" t="s">
        <v>31</v>
      </c>
      <c r="H1570" t="s">
        <v>32</v>
      </c>
      <c r="I1570" t="s">
        <v>695</v>
      </c>
      <c r="J1570" t="s">
        <v>45</v>
      </c>
      <c r="K1570" t="s">
        <v>35</v>
      </c>
      <c r="L1570" t="s">
        <v>175</v>
      </c>
      <c r="M1570" t="s">
        <v>55</v>
      </c>
      <c r="N1570">
        <v>0</v>
      </c>
      <c r="O1570">
        <v>0</v>
      </c>
      <c r="P1570">
        <v>0</v>
      </c>
      <c r="Q1570">
        <v>0</v>
      </c>
      <c r="R1570">
        <v>0</v>
      </c>
      <c r="S1570" t="str">
        <f t="shared" si="120"/>
        <v>PX: Baja Crit.</v>
      </c>
      <c r="T1570">
        <f t="shared" si="121"/>
        <v>1</v>
      </c>
      <c r="U1570">
        <f t="shared" si="122"/>
        <v>0</v>
      </c>
      <c r="V1570">
        <f t="shared" si="123"/>
        <v>0</v>
      </c>
      <c r="W1570">
        <f t="shared" si="124"/>
        <v>0</v>
      </c>
      <c r="X1570">
        <v>1</v>
      </c>
      <c r="Y1570" s="2">
        <v>45768</v>
      </c>
      <c r="Z1570" s="3" t="s">
        <v>56</v>
      </c>
      <c r="AA1570" t="s">
        <v>39</v>
      </c>
      <c r="AB1570" t="s">
        <v>40</v>
      </c>
      <c r="AC1570" t="s">
        <v>40</v>
      </c>
      <c r="AD1570" t="s">
        <v>696</v>
      </c>
    </row>
    <row r="1571" spans="2:30">
      <c r="B1571">
        <v>1</v>
      </c>
      <c r="C1571">
        <v>1020</v>
      </c>
      <c r="D1571" t="s">
        <v>384</v>
      </c>
      <c r="E1571">
        <v>10050238</v>
      </c>
      <c r="F1571" t="s">
        <v>1667</v>
      </c>
      <c r="G1571" t="s">
        <v>31</v>
      </c>
      <c r="H1571" t="s">
        <v>32</v>
      </c>
      <c r="I1571" t="s">
        <v>386</v>
      </c>
      <c r="J1571" t="s">
        <v>45</v>
      </c>
      <c r="K1571" t="s">
        <v>35</v>
      </c>
      <c r="L1571" t="s">
        <v>175</v>
      </c>
      <c r="M1571" t="s">
        <v>37</v>
      </c>
      <c r="N1571">
        <v>0</v>
      </c>
      <c r="O1571">
        <v>0</v>
      </c>
      <c r="P1571">
        <v>0</v>
      </c>
      <c r="Q1571">
        <v>1</v>
      </c>
      <c r="R1571">
        <v>0</v>
      </c>
      <c r="S1571" t="str">
        <f t="shared" si="120"/>
        <v>PX: Baja Crit.</v>
      </c>
      <c r="T1571">
        <f t="shared" si="121"/>
        <v>0</v>
      </c>
      <c r="U1571">
        <f t="shared" si="122"/>
        <v>0</v>
      </c>
      <c r="V1571">
        <f t="shared" si="123"/>
        <v>0</v>
      </c>
      <c r="W1571">
        <f t="shared" si="124"/>
        <v>1</v>
      </c>
      <c r="X1571">
        <v>1</v>
      </c>
      <c r="Y1571" s="2">
        <v>45768</v>
      </c>
      <c r="Z1571" s="3" t="s">
        <v>38</v>
      </c>
      <c r="AA1571" t="s">
        <v>39</v>
      </c>
      <c r="AB1571" t="s">
        <v>40</v>
      </c>
      <c r="AC1571" t="s">
        <v>40</v>
      </c>
      <c r="AD1571" t="s">
        <v>387</v>
      </c>
    </row>
    <row r="1572" spans="2:30">
      <c r="B1572">
        <v>1</v>
      </c>
      <c r="C1572">
        <v>1020</v>
      </c>
      <c r="D1572" t="s">
        <v>384</v>
      </c>
      <c r="E1572">
        <v>10050680</v>
      </c>
      <c r="F1572" t="s">
        <v>1668</v>
      </c>
      <c r="G1572" t="s">
        <v>31</v>
      </c>
      <c r="H1572" t="s">
        <v>32</v>
      </c>
      <c r="I1572" t="s">
        <v>386</v>
      </c>
      <c r="J1572" t="s">
        <v>45</v>
      </c>
      <c r="K1572" t="s">
        <v>35</v>
      </c>
      <c r="L1572" t="s">
        <v>175</v>
      </c>
      <c r="M1572" t="s">
        <v>55</v>
      </c>
      <c r="N1572">
        <v>0</v>
      </c>
      <c r="O1572">
        <v>0</v>
      </c>
      <c r="P1572">
        <v>0</v>
      </c>
      <c r="Q1572">
        <v>0</v>
      </c>
      <c r="R1572">
        <v>0</v>
      </c>
      <c r="S1572" t="str">
        <f t="shared" si="120"/>
        <v>PX: Baja Crit.</v>
      </c>
      <c r="T1572">
        <f t="shared" si="121"/>
        <v>1</v>
      </c>
      <c r="U1572">
        <f t="shared" si="122"/>
        <v>0</v>
      </c>
      <c r="V1572">
        <f t="shared" si="123"/>
        <v>0</v>
      </c>
      <c r="W1572">
        <f t="shared" si="124"/>
        <v>0</v>
      </c>
      <c r="X1572">
        <v>1</v>
      </c>
      <c r="Y1572" s="2">
        <v>45768</v>
      </c>
      <c r="Z1572" s="3" t="s">
        <v>56</v>
      </c>
      <c r="AA1572" t="s">
        <v>39</v>
      </c>
      <c r="AB1572" t="s">
        <v>40</v>
      </c>
      <c r="AC1572" t="s">
        <v>40</v>
      </c>
      <c r="AD1572" t="s">
        <v>387</v>
      </c>
    </row>
    <row r="1573" spans="2:30">
      <c r="B1573">
        <v>1</v>
      </c>
      <c r="C1573">
        <v>1020</v>
      </c>
      <c r="D1573" t="s">
        <v>181</v>
      </c>
      <c r="E1573">
        <v>10050849</v>
      </c>
      <c r="F1573" t="s">
        <v>1669</v>
      </c>
      <c r="G1573" t="s">
        <v>43</v>
      </c>
      <c r="H1573" t="s">
        <v>32</v>
      </c>
      <c r="I1573" t="s">
        <v>183</v>
      </c>
      <c r="J1573" t="s">
        <v>45</v>
      </c>
      <c r="K1573" t="s">
        <v>35</v>
      </c>
      <c r="L1573" t="s">
        <v>36</v>
      </c>
      <c r="M1573" t="s">
        <v>69</v>
      </c>
      <c r="N1573">
        <v>2</v>
      </c>
      <c r="O1573">
        <v>2</v>
      </c>
      <c r="P1573">
        <v>1</v>
      </c>
      <c r="Q1573">
        <v>2</v>
      </c>
      <c r="R1573" s="4">
        <v>2913.37</v>
      </c>
      <c r="S1573" t="str">
        <f t="shared" si="120"/>
        <v>PY: Media Crit.</v>
      </c>
      <c r="T1573">
        <f t="shared" si="121"/>
        <v>0</v>
      </c>
      <c r="U1573">
        <f t="shared" si="122"/>
        <v>0</v>
      </c>
      <c r="V1573">
        <f t="shared" si="123"/>
        <v>1</v>
      </c>
      <c r="W1573">
        <f t="shared" si="124"/>
        <v>0</v>
      </c>
      <c r="X1573">
        <v>1</v>
      </c>
      <c r="Y1573" s="2">
        <v>45768</v>
      </c>
      <c r="Z1573" s="3" t="s">
        <v>70</v>
      </c>
      <c r="AA1573" t="s">
        <v>39</v>
      </c>
      <c r="AB1573" t="s">
        <v>40</v>
      </c>
      <c r="AC1573" t="s">
        <v>40</v>
      </c>
      <c r="AD1573" t="s">
        <v>184</v>
      </c>
    </row>
    <row r="1574" spans="2:30">
      <c r="B1574">
        <v>1</v>
      </c>
      <c r="C1574">
        <v>1020</v>
      </c>
      <c r="D1574" t="s">
        <v>181</v>
      </c>
      <c r="E1574">
        <v>10052473</v>
      </c>
      <c r="F1574" t="s">
        <v>1670</v>
      </c>
      <c r="G1574" t="s">
        <v>43</v>
      </c>
      <c r="H1574" t="s">
        <v>32</v>
      </c>
      <c r="I1574" t="s">
        <v>183</v>
      </c>
      <c r="J1574" t="s">
        <v>45</v>
      </c>
      <c r="K1574" t="s">
        <v>35</v>
      </c>
      <c r="L1574" t="s">
        <v>36</v>
      </c>
      <c r="M1574" t="s">
        <v>117</v>
      </c>
      <c r="N1574">
        <v>6</v>
      </c>
      <c r="O1574">
        <v>4</v>
      </c>
      <c r="P1574">
        <v>2</v>
      </c>
      <c r="Q1574">
        <v>0</v>
      </c>
      <c r="R1574">
        <v>0</v>
      </c>
      <c r="S1574" t="str">
        <f t="shared" si="120"/>
        <v>PY: Media Crit.</v>
      </c>
      <c r="T1574">
        <f t="shared" si="121"/>
        <v>1</v>
      </c>
      <c r="U1574">
        <f t="shared" si="122"/>
        <v>0</v>
      </c>
      <c r="V1574">
        <f t="shared" si="123"/>
        <v>0</v>
      </c>
      <c r="W1574">
        <f t="shared" si="124"/>
        <v>0</v>
      </c>
      <c r="X1574">
        <v>1</v>
      </c>
      <c r="Y1574" s="2">
        <v>45768</v>
      </c>
      <c r="Z1574" s="3" t="s">
        <v>118</v>
      </c>
      <c r="AA1574" t="s">
        <v>39</v>
      </c>
      <c r="AB1574" t="s">
        <v>40</v>
      </c>
      <c r="AC1574" t="s">
        <v>40</v>
      </c>
      <c r="AD1574" t="s">
        <v>184</v>
      </c>
    </row>
    <row r="1575" spans="2:30">
      <c r="B1575">
        <v>1</v>
      </c>
      <c r="C1575">
        <v>1020</v>
      </c>
      <c r="D1575" t="s">
        <v>693</v>
      </c>
      <c r="E1575">
        <v>10052827</v>
      </c>
      <c r="F1575" t="s">
        <v>1671</v>
      </c>
      <c r="G1575" t="s">
        <v>31</v>
      </c>
      <c r="H1575" t="s">
        <v>44</v>
      </c>
      <c r="I1575" t="s">
        <v>695</v>
      </c>
      <c r="J1575" t="s">
        <v>45</v>
      </c>
      <c r="K1575" t="s">
        <v>35</v>
      </c>
      <c r="L1575" t="s">
        <v>175</v>
      </c>
      <c r="M1575" t="s">
        <v>88</v>
      </c>
      <c r="N1575">
        <v>0</v>
      </c>
      <c r="O1575">
        <v>0</v>
      </c>
      <c r="P1575">
        <v>0</v>
      </c>
      <c r="Q1575">
        <v>0</v>
      </c>
      <c r="R1575">
        <v>0</v>
      </c>
      <c r="S1575" t="str">
        <f t="shared" si="120"/>
        <v>PX: Baja Crit.</v>
      </c>
      <c r="T1575">
        <f t="shared" si="121"/>
        <v>1</v>
      </c>
      <c r="U1575">
        <f t="shared" si="122"/>
        <v>0</v>
      </c>
      <c r="V1575">
        <f t="shared" si="123"/>
        <v>0</v>
      </c>
      <c r="W1575">
        <f t="shared" si="124"/>
        <v>0</v>
      </c>
      <c r="X1575">
        <v>1</v>
      </c>
      <c r="Y1575" s="2">
        <v>45768</v>
      </c>
      <c r="Z1575" s="3" t="s">
        <v>89</v>
      </c>
      <c r="AA1575" t="s">
        <v>39</v>
      </c>
      <c r="AB1575" t="s">
        <v>40</v>
      </c>
      <c r="AC1575" t="s">
        <v>40</v>
      </c>
      <c r="AD1575" t="s">
        <v>696</v>
      </c>
    </row>
    <row r="1576" spans="2:30">
      <c r="B1576">
        <v>1</v>
      </c>
      <c r="C1576">
        <v>1020</v>
      </c>
      <c r="D1576" t="s">
        <v>693</v>
      </c>
      <c r="E1576">
        <v>10052848</v>
      </c>
      <c r="F1576" t="s">
        <v>1672</v>
      </c>
      <c r="G1576" t="s">
        <v>31</v>
      </c>
      <c r="H1576" t="s">
        <v>32</v>
      </c>
      <c r="I1576" t="s">
        <v>695</v>
      </c>
      <c r="J1576" t="s">
        <v>45</v>
      </c>
      <c r="K1576" t="s">
        <v>35</v>
      </c>
      <c r="L1576" t="s">
        <v>175</v>
      </c>
      <c r="M1576" t="s">
        <v>88</v>
      </c>
      <c r="N1576">
        <v>0</v>
      </c>
      <c r="O1576">
        <v>0</v>
      </c>
      <c r="P1576">
        <v>0</v>
      </c>
      <c r="Q1576">
        <v>400</v>
      </c>
      <c r="R1576" s="4">
        <v>11633.9</v>
      </c>
      <c r="S1576" t="str">
        <f t="shared" si="120"/>
        <v>PX: Baja Crit.</v>
      </c>
      <c r="T1576">
        <f t="shared" si="121"/>
        <v>0</v>
      </c>
      <c r="U1576">
        <f t="shared" si="122"/>
        <v>0</v>
      </c>
      <c r="V1576">
        <f t="shared" si="123"/>
        <v>0</v>
      </c>
      <c r="W1576">
        <f t="shared" si="124"/>
        <v>1</v>
      </c>
      <c r="X1576">
        <v>1</v>
      </c>
      <c r="Y1576" s="2">
        <v>45768</v>
      </c>
      <c r="Z1576" s="3" t="s">
        <v>89</v>
      </c>
      <c r="AA1576" t="s">
        <v>39</v>
      </c>
      <c r="AB1576" t="s">
        <v>40</v>
      </c>
      <c r="AC1576" t="s">
        <v>40</v>
      </c>
      <c r="AD1576" t="s">
        <v>696</v>
      </c>
    </row>
    <row r="1577" spans="2:30">
      <c r="B1577">
        <v>1</v>
      </c>
      <c r="C1577">
        <v>1020</v>
      </c>
      <c r="D1577" t="s">
        <v>693</v>
      </c>
      <c r="E1577">
        <v>10053626</v>
      </c>
      <c r="F1577" t="s">
        <v>1673</v>
      </c>
      <c r="G1577" t="s">
        <v>52</v>
      </c>
      <c r="H1577" t="s">
        <v>32</v>
      </c>
      <c r="I1577" t="s">
        <v>695</v>
      </c>
      <c r="J1577" t="s">
        <v>45</v>
      </c>
      <c r="K1577" t="s">
        <v>35</v>
      </c>
      <c r="L1577" t="s">
        <v>175</v>
      </c>
      <c r="M1577" t="s">
        <v>117</v>
      </c>
      <c r="N1577">
        <v>0</v>
      </c>
      <c r="O1577">
        <v>0</v>
      </c>
      <c r="P1577">
        <v>0</v>
      </c>
      <c r="Q1577">
        <v>31</v>
      </c>
      <c r="R1577">
        <v>0</v>
      </c>
      <c r="S1577" t="str">
        <f t="shared" si="120"/>
        <v>PZ: Alta Crit.</v>
      </c>
      <c r="T1577">
        <f t="shared" si="121"/>
        <v>0</v>
      </c>
      <c r="U1577">
        <f t="shared" si="122"/>
        <v>0</v>
      </c>
      <c r="V1577">
        <f t="shared" si="123"/>
        <v>0</v>
      </c>
      <c r="W1577">
        <f t="shared" si="124"/>
        <v>1</v>
      </c>
      <c r="X1577">
        <v>1</v>
      </c>
      <c r="Y1577" s="2">
        <v>45768</v>
      </c>
      <c r="Z1577" s="3" t="s">
        <v>118</v>
      </c>
      <c r="AA1577" t="s">
        <v>39</v>
      </c>
      <c r="AB1577" t="s">
        <v>40</v>
      </c>
      <c r="AC1577" t="s">
        <v>40</v>
      </c>
      <c r="AD1577" t="s">
        <v>696</v>
      </c>
    </row>
    <row r="1578" spans="2:30">
      <c r="B1578">
        <v>1</v>
      </c>
      <c r="C1578">
        <v>1020</v>
      </c>
      <c r="D1578" t="s">
        <v>384</v>
      </c>
      <c r="E1578">
        <v>10054052</v>
      </c>
      <c r="F1578" t="s">
        <v>1674</v>
      </c>
      <c r="G1578" t="s">
        <v>43</v>
      </c>
      <c r="H1578" t="s">
        <v>32</v>
      </c>
      <c r="I1578" t="s">
        <v>386</v>
      </c>
      <c r="J1578" t="s">
        <v>45</v>
      </c>
      <c r="K1578" t="s">
        <v>35</v>
      </c>
      <c r="L1578" t="s">
        <v>175</v>
      </c>
      <c r="M1578" t="s">
        <v>117</v>
      </c>
      <c r="N1578">
        <v>0</v>
      </c>
      <c r="O1578">
        <v>0</v>
      </c>
      <c r="P1578">
        <v>0</v>
      </c>
      <c r="Q1578">
        <v>10</v>
      </c>
      <c r="R1578" s="4">
        <v>2309.19</v>
      </c>
      <c r="S1578" t="str">
        <f t="shared" si="120"/>
        <v>PY: Media Crit.</v>
      </c>
      <c r="T1578">
        <f t="shared" si="121"/>
        <v>0</v>
      </c>
      <c r="U1578">
        <f t="shared" si="122"/>
        <v>0</v>
      </c>
      <c r="V1578">
        <f t="shared" si="123"/>
        <v>0</v>
      </c>
      <c r="W1578">
        <f t="shared" si="124"/>
        <v>1</v>
      </c>
      <c r="X1578">
        <v>1</v>
      </c>
      <c r="Y1578" s="2">
        <v>45768</v>
      </c>
      <c r="Z1578" s="3" t="s">
        <v>118</v>
      </c>
      <c r="AA1578" t="s">
        <v>39</v>
      </c>
      <c r="AB1578" t="s">
        <v>40</v>
      </c>
      <c r="AC1578" t="s">
        <v>40</v>
      </c>
      <c r="AD1578" t="s">
        <v>387</v>
      </c>
    </row>
    <row r="1579" spans="2:30">
      <c r="B1579">
        <v>1</v>
      </c>
      <c r="C1579">
        <v>1020</v>
      </c>
      <c r="D1579" t="s">
        <v>693</v>
      </c>
      <c r="E1579">
        <v>10054065</v>
      </c>
      <c r="F1579" t="s">
        <v>1675</v>
      </c>
      <c r="G1579" t="s">
        <v>52</v>
      </c>
      <c r="H1579" t="s">
        <v>32</v>
      </c>
      <c r="I1579" t="s">
        <v>695</v>
      </c>
      <c r="J1579" t="s">
        <v>45</v>
      </c>
      <c r="K1579" t="s">
        <v>35</v>
      </c>
      <c r="L1579" t="s">
        <v>175</v>
      </c>
      <c r="M1579" t="s">
        <v>117</v>
      </c>
      <c r="N1579">
        <v>0</v>
      </c>
      <c r="O1579">
        <v>0</v>
      </c>
      <c r="P1579">
        <v>0</v>
      </c>
      <c r="Q1579">
        <v>3</v>
      </c>
      <c r="R1579">
        <v>0</v>
      </c>
      <c r="S1579" t="str">
        <f t="shared" si="120"/>
        <v>PZ: Alta Crit.</v>
      </c>
      <c r="T1579">
        <f t="shared" si="121"/>
        <v>0</v>
      </c>
      <c r="U1579">
        <f t="shared" si="122"/>
        <v>0</v>
      </c>
      <c r="V1579">
        <f t="shared" si="123"/>
        <v>0</v>
      </c>
      <c r="W1579">
        <f t="shared" si="124"/>
        <v>1</v>
      </c>
      <c r="X1579">
        <v>1</v>
      </c>
      <c r="Y1579" s="2">
        <v>45768</v>
      </c>
      <c r="Z1579" s="3" t="s">
        <v>118</v>
      </c>
      <c r="AA1579" t="s">
        <v>39</v>
      </c>
      <c r="AB1579" t="s">
        <v>40</v>
      </c>
      <c r="AC1579" t="s">
        <v>40</v>
      </c>
      <c r="AD1579" t="s">
        <v>696</v>
      </c>
    </row>
    <row r="1580" spans="2:30">
      <c r="B1580">
        <v>1</v>
      </c>
      <c r="C1580">
        <v>1020</v>
      </c>
      <c r="D1580" t="s">
        <v>181</v>
      </c>
      <c r="E1580">
        <v>10054300</v>
      </c>
      <c r="F1580" t="s">
        <v>1676</v>
      </c>
      <c r="G1580" t="s">
        <v>31</v>
      </c>
      <c r="H1580" t="s">
        <v>44</v>
      </c>
      <c r="I1580" t="s">
        <v>183</v>
      </c>
      <c r="J1580" t="s">
        <v>45</v>
      </c>
      <c r="K1580" t="s">
        <v>35</v>
      </c>
      <c r="L1580" t="s">
        <v>36</v>
      </c>
      <c r="M1580" t="s">
        <v>69</v>
      </c>
      <c r="N1580">
        <v>1</v>
      </c>
      <c r="O1580">
        <v>1</v>
      </c>
      <c r="P1580">
        <v>0</v>
      </c>
      <c r="Q1580">
        <v>1</v>
      </c>
      <c r="R1580" s="4">
        <v>5082.8900000000003</v>
      </c>
      <c r="S1580" t="str">
        <f t="shared" si="120"/>
        <v>PX: Baja Crit.</v>
      </c>
      <c r="T1580">
        <f t="shared" si="121"/>
        <v>0</v>
      </c>
      <c r="U1580">
        <f t="shared" si="122"/>
        <v>0</v>
      </c>
      <c r="V1580">
        <f t="shared" si="123"/>
        <v>1</v>
      </c>
      <c r="W1580">
        <f t="shared" si="124"/>
        <v>0</v>
      </c>
      <c r="X1580">
        <v>1</v>
      </c>
      <c r="Y1580" s="2">
        <v>45768</v>
      </c>
      <c r="Z1580" s="3" t="s">
        <v>70</v>
      </c>
      <c r="AA1580" t="s">
        <v>39</v>
      </c>
      <c r="AB1580" t="s">
        <v>40</v>
      </c>
      <c r="AC1580" t="s">
        <v>40</v>
      </c>
      <c r="AD1580" t="s">
        <v>184</v>
      </c>
    </row>
    <row r="1581" spans="2:30">
      <c r="B1581">
        <v>1</v>
      </c>
      <c r="C1581">
        <v>1020</v>
      </c>
      <c r="D1581" t="s">
        <v>388</v>
      </c>
      <c r="E1581">
        <v>10054302</v>
      </c>
      <c r="F1581" t="s">
        <v>1677</v>
      </c>
      <c r="G1581" t="s">
        <v>52</v>
      </c>
      <c r="H1581" t="s">
        <v>32</v>
      </c>
      <c r="I1581" t="s">
        <v>390</v>
      </c>
      <c r="J1581" t="s">
        <v>45</v>
      </c>
      <c r="K1581" t="s">
        <v>35</v>
      </c>
      <c r="L1581" t="s">
        <v>175</v>
      </c>
      <c r="M1581" t="s">
        <v>37</v>
      </c>
      <c r="N1581">
        <v>0</v>
      </c>
      <c r="O1581">
        <v>0</v>
      </c>
      <c r="P1581">
        <v>2</v>
      </c>
      <c r="Q1581">
        <v>1</v>
      </c>
      <c r="R1581" s="4">
        <v>4864.97</v>
      </c>
      <c r="S1581" t="str">
        <f t="shared" si="120"/>
        <v>PZ: Alta Crit.</v>
      </c>
      <c r="T1581">
        <f t="shared" si="121"/>
        <v>0</v>
      </c>
      <c r="U1581">
        <f t="shared" si="122"/>
        <v>1</v>
      </c>
      <c r="V1581">
        <f t="shared" si="123"/>
        <v>0</v>
      </c>
      <c r="W1581">
        <f t="shared" si="124"/>
        <v>1</v>
      </c>
      <c r="X1581">
        <v>1</v>
      </c>
      <c r="Y1581" s="2">
        <v>45768</v>
      </c>
      <c r="Z1581" s="3" t="s">
        <v>38</v>
      </c>
      <c r="AA1581" t="s">
        <v>39</v>
      </c>
      <c r="AB1581" t="s">
        <v>49</v>
      </c>
      <c r="AC1581" s="5" t="s">
        <v>50</v>
      </c>
      <c r="AD1581" t="s">
        <v>391</v>
      </c>
    </row>
    <row r="1582" spans="2:30">
      <c r="B1582">
        <v>1</v>
      </c>
      <c r="C1582">
        <v>1020</v>
      </c>
      <c r="D1582" t="s">
        <v>181</v>
      </c>
      <c r="E1582">
        <v>10054476</v>
      </c>
      <c r="F1582" t="s">
        <v>1678</v>
      </c>
      <c r="G1582" t="s">
        <v>43</v>
      </c>
      <c r="H1582" t="s">
        <v>60</v>
      </c>
      <c r="I1582" t="s">
        <v>183</v>
      </c>
      <c r="J1582" t="s">
        <v>45</v>
      </c>
      <c r="K1582" t="s">
        <v>35</v>
      </c>
      <c r="L1582" t="s">
        <v>36</v>
      </c>
      <c r="M1582" t="s">
        <v>46</v>
      </c>
      <c r="N1582">
        <v>1</v>
      </c>
      <c r="O1582">
        <v>1</v>
      </c>
      <c r="P1582">
        <v>0</v>
      </c>
      <c r="Q1582">
        <v>1</v>
      </c>
      <c r="R1582">
        <v>550.48</v>
      </c>
      <c r="S1582" t="str">
        <f t="shared" si="120"/>
        <v>PY: Media Crit.</v>
      </c>
      <c r="T1582">
        <f t="shared" si="121"/>
        <v>0</v>
      </c>
      <c r="U1582">
        <f t="shared" si="122"/>
        <v>0</v>
      </c>
      <c r="V1582">
        <f t="shared" si="123"/>
        <v>1</v>
      </c>
      <c r="W1582">
        <f t="shared" si="124"/>
        <v>0</v>
      </c>
      <c r="X1582">
        <v>1</v>
      </c>
      <c r="Y1582" s="2">
        <v>45768</v>
      </c>
      <c r="Z1582" s="3" t="s">
        <v>47</v>
      </c>
      <c r="AA1582" t="s">
        <v>39</v>
      </c>
      <c r="AB1582" t="s">
        <v>40</v>
      </c>
      <c r="AC1582" t="s">
        <v>40</v>
      </c>
      <c r="AD1582" t="s">
        <v>184</v>
      </c>
    </row>
    <row r="1583" spans="2:30">
      <c r="B1583">
        <v>1</v>
      </c>
      <c r="C1583">
        <v>1020</v>
      </c>
      <c r="D1583" t="s">
        <v>181</v>
      </c>
      <c r="E1583">
        <v>10054655</v>
      </c>
      <c r="F1583" t="s">
        <v>1679</v>
      </c>
      <c r="G1583" t="s">
        <v>31</v>
      </c>
      <c r="H1583" t="s">
        <v>60</v>
      </c>
      <c r="I1583" t="s">
        <v>183</v>
      </c>
      <c r="J1583" t="s">
        <v>45</v>
      </c>
      <c r="K1583" t="s">
        <v>35</v>
      </c>
      <c r="L1583" t="s">
        <v>36</v>
      </c>
      <c r="M1583" t="s">
        <v>46</v>
      </c>
      <c r="N1583">
        <v>9</v>
      </c>
      <c r="O1583">
        <v>5</v>
      </c>
      <c r="P1583">
        <v>2</v>
      </c>
      <c r="Q1583">
        <v>9</v>
      </c>
      <c r="R1583" s="4">
        <v>1609.97</v>
      </c>
      <c r="S1583" t="str">
        <f t="shared" si="120"/>
        <v>PX: Baja Crit.</v>
      </c>
      <c r="T1583">
        <f t="shared" si="121"/>
        <v>0</v>
      </c>
      <c r="U1583">
        <f t="shared" si="122"/>
        <v>0</v>
      </c>
      <c r="V1583">
        <f t="shared" si="123"/>
        <v>1</v>
      </c>
      <c r="W1583">
        <f t="shared" si="124"/>
        <v>0</v>
      </c>
      <c r="X1583">
        <v>1</v>
      </c>
      <c r="Y1583" s="2">
        <v>45768</v>
      </c>
      <c r="Z1583" s="3" t="s">
        <v>47</v>
      </c>
      <c r="AA1583" t="s">
        <v>39</v>
      </c>
      <c r="AB1583" t="s">
        <v>40</v>
      </c>
      <c r="AC1583" t="s">
        <v>40</v>
      </c>
      <c r="AD1583" t="s">
        <v>184</v>
      </c>
    </row>
    <row r="1584" spans="2:30">
      <c r="B1584">
        <v>1</v>
      </c>
      <c r="C1584">
        <v>1020</v>
      </c>
      <c r="D1584" t="s">
        <v>181</v>
      </c>
      <c r="E1584">
        <v>10054695</v>
      </c>
      <c r="F1584" t="s">
        <v>1680</v>
      </c>
      <c r="G1584" t="s">
        <v>52</v>
      </c>
      <c r="H1584" t="s">
        <v>44</v>
      </c>
      <c r="I1584" t="s">
        <v>183</v>
      </c>
      <c r="J1584" t="s">
        <v>45</v>
      </c>
      <c r="K1584" t="s">
        <v>35</v>
      </c>
      <c r="L1584" t="s">
        <v>36</v>
      </c>
      <c r="M1584" t="s">
        <v>69</v>
      </c>
      <c r="N1584">
        <v>4</v>
      </c>
      <c r="O1584">
        <v>1</v>
      </c>
      <c r="P1584">
        <v>0</v>
      </c>
      <c r="Q1584">
        <v>4</v>
      </c>
      <c r="R1584" s="4">
        <v>4654.42</v>
      </c>
      <c r="S1584" t="str">
        <f t="shared" si="120"/>
        <v>PZ: Alta Crit.</v>
      </c>
      <c r="T1584">
        <f t="shared" si="121"/>
        <v>0</v>
      </c>
      <c r="U1584">
        <f t="shared" si="122"/>
        <v>0</v>
      </c>
      <c r="V1584">
        <f t="shared" si="123"/>
        <v>1</v>
      </c>
      <c r="W1584">
        <f t="shared" si="124"/>
        <v>0</v>
      </c>
      <c r="X1584">
        <v>1</v>
      </c>
      <c r="Y1584" s="2">
        <v>45768</v>
      </c>
      <c r="Z1584" s="3" t="s">
        <v>70</v>
      </c>
      <c r="AA1584" t="s">
        <v>39</v>
      </c>
      <c r="AB1584" t="s">
        <v>40</v>
      </c>
      <c r="AC1584" t="s">
        <v>40</v>
      </c>
      <c r="AD1584" t="s">
        <v>184</v>
      </c>
    </row>
    <row r="1585" spans="2:30">
      <c r="B1585">
        <v>1</v>
      </c>
      <c r="C1585">
        <v>1020</v>
      </c>
      <c r="D1585" t="s">
        <v>181</v>
      </c>
      <c r="E1585">
        <v>10054934</v>
      </c>
      <c r="F1585" t="s">
        <v>1681</v>
      </c>
      <c r="G1585" t="s">
        <v>31</v>
      </c>
      <c r="H1585" t="s">
        <v>32</v>
      </c>
      <c r="I1585" t="s">
        <v>183</v>
      </c>
      <c r="J1585" t="s">
        <v>45</v>
      </c>
      <c r="K1585" t="s">
        <v>35</v>
      </c>
      <c r="L1585" t="s">
        <v>36</v>
      </c>
      <c r="M1585" t="s">
        <v>88</v>
      </c>
      <c r="N1585">
        <v>3</v>
      </c>
      <c r="O1585">
        <v>2</v>
      </c>
      <c r="P1585">
        <v>1</v>
      </c>
      <c r="Q1585">
        <v>2</v>
      </c>
      <c r="R1585">
        <v>61.82</v>
      </c>
      <c r="S1585" t="str">
        <f t="shared" si="120"/>
        <v>PX: Baja Crit.</v>
      </c>
      <c r="T1585">
        <f t="shared" si="121"/>
        <v>0</v>
      </c>
      <c r="U1585">
        <f t="shared" si="122"/>
        <v>0</v>
      </c>
      <c r="V1585">
        <f t="shared" si="123"/>
        <v>1</v>
      </c>
      <c r="W1585">
        <f t="shared" si="124"/>
        <v>0</v>
      </c>
      <c r="X1585">
        <v>1</v>
      </c>
      <c r="Y1585" s="2">
        <v>45768</v>
      </c>
      <c r="Z1585" s="3" t="s">
        <v>89</v>
      </c>
      <c r="AA1585" t="s">
        <v>39</v>
      </c>
      <c r="AB1585" t="s">
        <v>40</v>
      </c>
      <c r="AC1585" t="s">
        <v>40</v>
      </c>
      <c r="AD1585" t="s">
        <v>184</v>
      </c>
    </row>
    <row r="1586" spans="2:30">
      <c r="B1586">
        <v>1</v>
      </c>
      <c r="C1586">
        <v>1020</v>
      </c>
      <c r="D1586" t="s">
        <v>388</v>
      </c>
      <c r="E1586">
        <v>10055030</v>
      </c>
      <c r="F1586" t="s">
        <v>1682</v>
      </c>
      <c r="G1586" t="s">
        <v>52</v>
      </c>
      <c r="H1586" t="s">
        <v>32</v>
      </c>
      <c r="I1586" t="s">
        <v>390</v>
      </c>
      <c r="J1586" t="s">
        <v>45</v>
      </c>
      <c r="K1586" t="s">
        <v>35</v>
      </c>
      <c r="L1586" t="s">
        <v>175</v>
      </c>
      <c r="M1586" t="s">
        <v>69</v>
      </c>
      <c r="N1586">
        <v>0</v>
      </c>
      <c r="O1586">
        <v>0</v>
      </c>
      <c r="P1586">
        <v>1</v>
      </c>
      <c r="Q1586">
        <v>1</v>
      </c>
      <c r="R1586" s="4">
        <v>2591.4</v>
      </c>
      <c r="S1586" t="str">
        <f t="shared" si="120"/>
        <v>PZ: Alta Crit.</v>
      </c>
      <c r="T1586">
        <f t="shared" si="121"/>
        <v>0</v>
      </c>
      <c r="U1586">
        <f t="shared" si="122"/>
        <v>1</v>
      </c>
      <c r="V1586">
        <f t="shared" si="123"/>
        <v>0</v>
      </c>
      <c r="W1586">
        <f t="shared" si="124"/>
        <v>1</v>
      </c>
      <c r="X1586">
        <v>1</v>
      </c>
      <c r="Y1586" s="2">
        <v>45768</v>
      </c>
      <c r="Z1586" s="3" t="s">
        <v>70</v>
      </c>
      <c r="AA1586" t="s">
        <v>39</v>
      </c>
      <c r="AB1586" t="s">
        <v>40</v>
      </c>
      <c r="AC1586" t="s">
        <v>40</v>
      </c>
      <c r="AD1586" t="s">
        <v>391</v>
      </c>
    </row>
    <row r="1587" spans="2:30">
      <c r="B1587">
        <v>1</v>
      </c>
      <c r="C1587">
        <v>1020</v>
      </c>
      <c r="D1587" t="s">
        <v>388</v>
      </c>
      <c r="E1587">
        <v>10055191</v>
      </c>
      <c r="F1587" t="s">
        <v>1683</v>
      </c>
      <c r="G1587" t="s">
        <v>43</v>
      </c>
      <c r="H1587" t="s">
        <v>32</v>
      </c>
      <c r="I1587" t="s">
        <v>390</v>
      </c>
      <c r="J1587" t="s">
        <v>45</v>
      </c>
      <c r="K1587" t="s">
        <v>35</v>
      </c>
      <c r="L1587" t="s">
        <v>175</v>
      </c>
      <c r="M1587" t="s">
        <v>46</v>
      </c>
      <c r="N1587">
        <v>0</v>
      </c>
      <c r="O1587">
        <v>0</v>
      </c>
      <c r="P1587">
        <v>1</v>
      </c>
      <c r="Q1587">
        <v>1</v>
      </c>
      <c r="R1587" s="4">
        <v>4355.95</v>
      </c>
      <c r="S1587" t="str">
        <f t="shared" si="120"/>
        <v>PY: Media Crit.</v>
      </c>
      <c r="T1587">
        <f t="shared" si="121"/>
        <v>0</v>
      </c>
      <c r="U1587">
        <f t="shared" si="122"/>
        <v>1</v>
      </c>
      <c r="V1587">
        <f t="shared" si="123"/>
        <v>0</v>
      </c>
      <c r="W1587">
        <f t="shared" si="124"/>
        <v>1</v>
      </c>
      <c r="X1587">
        <v>1</v>
      </c>
      <c r="Y1587" s="2">
        <v>45768</v>
      </c>
      <c r="Z1587" s="3" t="s">
        <v>47</v>
      </c>
      <c r="AA1587" t="s">
        <v>39</v>
      </c>
      <c r="AB1587" t="s">
        <v>40</v>
      </c>
      <c r="AC1587" t="s">
        <v>40</v>
      </c>
      <c r="AD1587" t="s">
        <v>391</v>
      </c>
    </row>
    <row r="1588" spans="2:30">
      <c r="B1588">
        <v>1</v>
      </c>
      <c r="C1588">
        <v>1020</v>
      </c>
      <c r="D1588" t="s">
        <v>388</v>
      </c>
      <c r="E1588">
        <v>10055232</v>
      </c>
      <c r="F1588" t="s">
        <v>1684</v>
      </c>
      <c r="G1588" t="s">
        <v>52</v>
      </c>
      <c r="H1588" t="s">
        <v>32</v>
      </c>
      <c r="I1588" t="s">
        <v>390</v>
      </c>
      <c r="J1588" t="s">
        <v>45</v>
      </c>
      <c r="K1588" t="s">
        <v>35</v>
      </c>
      <c r="L1588" t="s">
        <v>175</v>
      </c>
      <c r="M1588" t="s">
        <v>37</v>
      </c>
      <c r="N1588">
        <v>0</v>
      </c>
      <c r="O1588">
        <v>0</v>
      </c>
      <c r="P1588">
        <v>1</v>
      </c>
      <c r="Q1588">
        <v>0</v>
      </c>
      <c r="R1588">
        <v>0</v>
      </c>
      <c r="S1588" t="str">
        <f t="shared" si="120"/>
        <v>PZ: Alta Crit.</v>
      </c>
      <c r="T1588">
        <f t="shared" si="121"/>
        <v>1</v>
      </c>
      <c r="U1588">
        <f t="shared" si="122"/>
        <v>0</v>
      </c>
      <c r="V1588">
        <f t="shared" si="123"/>
        <v>0</v>
      </c>
      <c r="W1588">
        <f t="shared" si="124"/>
        <v>0</v>
      </c>
      <c r="X1588">
        <v>1</v>
      </c>
      <c r="Y1588" s="2">
        <v>45768</v>
      </c>
      <c r="Z1588" s="3" t="s">
        <v>38</v>
      </c>
      <c r="AA1588" t="s">
        <v>39</v>
      </c>
      <c r="AB1588" t="s">
        <v>49</v>
      </c>
      <c r="AC1588" s="5" t="s">
        <v>50</v>
      </c>
      <c r="AD1588" t="s">
        <v>391</v>
      </c>
    </row>
    <row r="1589" spans="2:30">
      <c r="B1589">
        <v>1</v>
      </c>
      <c r="C1589">
        <v>1020</v>
      </c>
      <c r="D1589" t="s">
        <v>181</v>
      </c>
      <c r="E1589">
        <v>10055284</v>
      </c>
      <c r="F1589" t="s">
        <v>1685</v>
      </c>
      <c r="G1589" t="s">
        <v>43</v>
      </c>
      <c r="H1589" t="s">
        <v>32</v>
      </c>
      <c r="I1589" t="s">
        <v>183</v>
      </c>
      <c r="J1589" t="s">
        <v>45</v>
      </c>
      <c r="K1589" t="s">
        <v>35</v>
      </c>
      <c r="L1589" t="s">
        <v>36</v>
      </c>
      <c r="M1589" t="s">
        <v>46</v>
      </c>
      <c r="N1589">
        <v>4</v>
      </c>
      <c r="O1589">
        <v>3</v>
      </c>
      <c r="P1589">
        <v>1</v>
      </c>
      <c r="Q1589">
        <v>3</v>
      </c>
      <c r="R1589">
        <v>0</v>
      </c>
      <c r="S1589" t="str">
        <f t="shared" si="120"/>
        <v>PY: Media Crit.</v>
      </c>
      <c r="T1589">
        <f t="shared" si="121"/>
        <v>0</v>
      </c>
      <c r="U1589">
        <f t="shared" si="122"/>
        <v>0</v>
      </c>
      <c r="V1589">
        <f t="shared" si="123"/>
        <v>1</v>
      </c>
      <c r="W1589">
        <f t="shared" si="124"/>
        <v>0</v>
      </c>
      <c r="X1589">
        <v>1</v>
      </c>
      <c r="Y1589" s="2">
        <v>45768</v>
      </c>
      <c r="Z1589" s="3" t="s">
        <v>47</v>
      </c>
      <c r="AA1589" t="s">
        <v>39</v>
      </c>
      <c r="AB1589" t="s">
        <v>40</v>
      </c>
      <c r="AC1589" t="s">
        <v>40</v>
      </c>
      <c r="AD1589" t="s">
        <v>184</v>
      </c>
    </row>
    <row r="1590" spans="2:30">
      <c r="B1590">
        <v>1</v>
      </c>
      <c r="C1590">
        <v>1020</v>
      </c>
      <c r="D1590" t="s">
        <v>181</v>
      </c>
      <c r="E1590">
        <v>10056270</v>
      </c>
      <c r="F1590" t="s">
        <v>1686</v>
      </c>
      <c r="G1590" t="s">
        <v>43</v>
      </c>
      <c r="H1590" t="s">
        <v>60</v>
      </c>
      <c r="I1590" t="s">
        <v>183</v>
      </c>
      <c r="J1590" t="s">
        <v>45</v>
      </c>
      <c r="K1590" t="s">
        <v>35</v>
      </c>
      <c r="L1590" t="s">
        <v>36</v>
      </c>
      <c r="M1590" t="s">
        <v>46</v>
      </c>
      <c r="N1590">
        <v>2</v>
      </c>
      <c r="O1590">
        <v>1</v>
      </c>
      <c r="P1590">
        <v>0</v>
      </c>
      <c r="Q1590">
        <v>2</v>
      </c>
      <c r="R1590" s="4">
        <v>6180.64</v>
      </c>
      <c r="S1590" t="str">
        <f t="shared" si="120"/>
        <v>PY: Media Crit.</v>
      </c>
      <c r="T1590">
        <f t="shared" si="121"/>
        <v>0</v>
      </c>
      <c r="U1590">
        <f t="shared" si="122"/>
        <v>0</v>
      </c>
      <c r="V1590">
        <f t="shared" si="123"/>
        <v>1</v>
      </c>
      <c r="W1590">
        <f t="shared" si="124"/>
        <v>0</v>
      </c>
      <c r="X1590">
        <v>1</v>
      </c>
      <c r="Y1590" s="2">
        <v>45768</v>
      </c>
      <c r="Z1590" s="3" t="s">
        <v>47</v>
      </c>
      <c r="AA1590" t="s">
        <v>39</v>
      </c>
      <c r="AB1590" t="s">
        <v>40</v>
      </c>
      <c r="AC1590" t="s">
        <v>40</v>
      </c>
      <c r="AD1590" t="s">
        <v>184</v>
      </c>
    </row>
    <row r="1591" spans="2:30">
      <c r="B1591">
        <v>1</v>
      </c>
      <c r="C1591">
        <v>1020</v>
      </c>
      <c r="D1591" t="s">
        <v>388</v>
      </c>
      <c r="E1591">
        <v>10056277</v>
      </c>
      <c r="F1591" t="s">
        <v>1687</v>
      </c>
      <c r="G1591" t="s">
        <v>52</v>
      </c>
      <c r="H1591" t="s">
        <v>32</v>
      </c>
      <c r="I1591" t="s">
        <v>390</v>
      </c>
      <c r="J1591" t="s">
        <v>45</v>
      </c>
      <c r="K1591" t="s">
        <v>252</v>
      </c>
      <c r="L1591" t="s">
        <v>175</v>
      </c>
      <c r="M1591" t="s">
        <v>46</v>
      </c>
      <c r="N1591">
        <v>0</v>
      </c>
      <c r="O1591">
        <v>0</v>
      </c>
      <c r="P1591">
        <v>100</v>
      </c>
      <c r="Q1591">
        <v>100</v>
      </c>
      <c r="R1591" s="4">
        <v>3890.99</v>
      </c>
      <c r="S1591" t="str">
        <f t="shared" si="120"/>
        <v>PZ: Alta Crit.</v>
      </c>
      <c r="T1591">
        <f t="shared" si="121"/>
        <v>0</v>
      </c>
      <c r="U1591">
        <f t="shared" si="122"/>
        <v>1</v>
      </c>
      <c r="V1591">
        <f t="shared" si="123"/>
        <v>0</v>
      </c>
      <c r="W1591">
        <f t="shared" si="124"/>
        <v>1</v>
      </c>
      <c r="X1591">
        <v>1</v>
      </c>
      <c r="Y1591" s="2">
        <v>45768</v>
      </c>
      <c r="Z1591" s="3" t="s">
        <v>47</v>
      </c>
      <c r="AA1591" t="s">
        <v>39</v>
      </c>
      <c r="AB1591" t="s">
        <v>40</v>
      </c>
      <c r="AC1591" t="s">
        <v>40</v>
      </c>
      <c r="AD1591" t="s">
        <v>391</v>
      </c>
    </row>
    <row r="1592" spans="2:30">
      <c r="B1592">
        <v>1</v>
      </c>
      <c r="C1592">
        <v>1020</v>
      </c>
      <c r="D1592" t="s">
        <v>388</v>
      </c>
      <c r="E1592">
        <v>10056321</v>
      </c>
      <c r="F1592" t="s">
        <v>1688</v>
      </c>
      <c r="G1592" t="s">
        <v>31</v>
      </c>
      <c r="H1592" t="s">
        <v>44</v>
      </c>
      <c r="I1592" t="s">
        <v>390</v>
      </c>
      <c r="J1592" t="s">
        <v>45</v>
      </c>
      <c r="K1592" t="s">
        <v>35</v>
      </c>
      <c r="L1592" t="s">
        <v>175</v>
      </c>
      <c r="M1592" t="s">
        <v>46</v>
      </c>
      <c r="N1592">
        <v>0</v>
      </c>
      <c r="O1592">
        <v>0</v>
      </c>
      <c r="P1592">
        <v>1</v>
      </c>
      <c r="Q1592">
        <v>1</v>
      </c>
      <c r="R1592" s="4">
        <v>26857.94</v>
      </c>
      <c r="S1592" t="str">
        <f t="shared" si="120"/>
        <v>PX: Baja Crit.</v>
      </c>
      <c r="T1592">
        <f t="shared" si="121"/>
        <v>0</v>
      </c>
      <c r="U1592">
        <f t="shared" si="122"/>
        <v>1</v>
      </c>
      <c r="V1592">
        <f t="shared" si="123"/>
        <v>0</v>
      </c>
      <c r="W1592">
        <f t="shared" si="124"/>
        <v>1</v>
      </c>
      <c r="X1592">
        <v>1</v>
      </c>
      <c r="Y1592" s="2">
        <v>45768</v>
      </c>
      <c r="Z1592" s="3" t="s">
        <v>47</v>
      </c>
      <c r="AA1592" t="s">
        <v>39</v>
      </c>
      <c r="AB1592" t="s">
        <v>40</v>
      </c>
      <c r="AC1592" t="s">
        <v>40</v>
      </c>
      <c r="AD1592" t="s">
        <v>391</v>
      </c>
    </row>
    <row r="1593" spans="2:30">
      <c r="B1593">
        <v>1</v>
      </c>
      <c r="C1593">
        <v>1020</v>
      </c>
      <c r="D1593" t="s">
        <v>388</v>
      </c>
      <c r="E1593">
        <v>10056491</v>
      </c>
      <c r="F1593" t="s">
        <v>1689</v>
      </c>
      <c r="G1593" t="s">
        <v>52</v>
      </c>
      <c r="H1593" t="s">
        <v>32</v>
      </c>
      <c r="I1593" t="s">
        <v>390</v>
      </c>
      <c r="J1593" t="s">
        <v>45</v>
      </c>
      <c r="K1593" t="s">
        <v>252</v>
      </c>
      <c r="L1593" t="s">
        <v>175</v>
      </c>
      <c r="M1593" t="s">
        <v>69</v>
      </c>
      <c r="N1593">
        <v>0</v>
      </c>
      <c r="O1593">
        <v>0</v>
      </c>
      <c r="P1593">
        <v>305</v>
      </c>
      <c r="Q1593">
        <v>305</v>
      </c>
      <c r="R1593" s="4">
        <v>21737.040000000001</v>
      </c>
      <c r="S1593" t="str">
        <f t="shared" si="120"/>
        <v>PZ: Alta Crit.</v>
      </c>
      <c r="T1593">
        <f t="shared" si="121"/>
        <v>0</v>
      </c>
      <c r="U1593">
        <f t="shared" si="122"/>
        <v>1</v>
      </c>
      <c r="V1593">
        <f t="shared" si="123"/>
        <v>0</v>
      </c>
      <c r="W1593">
        <f t="shared" si="124"/>
        <v>1</v>
      </c>
      <c r="X1593">
        <v>1</v>
      </c>
      <c r="Y1593" s="2">
        <v>45768</v>
      </c>
      <c r="Z1593" s="3" t="s">
        <v>70</v>
      </c>
      <c r="AA1593" t="s">
        <v>39</v>
      </c>
      <c r="AB1593" t="s">
        <v>40</v>
      </c>
      <c r="AC1593" t="s">
        <v>40</v>
      </c>
      <c r="AD1593" t="s">
        <v>391</v>
      </c>
    </row>
    <row r="1594" spans="2:30">
      <c r="B1594">
        <v>1</v>
      </c>
      <c r="C1594">
        <v>1020</v>
      </c>
      <c r="D1594" t="s">
        <v>388</v>
      </c>
      <c r="E1594">
        <v>10056525</v>
      </c>
      <c r="F1594" t="s">
        <v>1690</v>
      </c>
      <c r="G1594" t="s">
        <v>52</v>
      </c>
      <c r="H1594" t="s">
        <v>32</v>
      </c>
      <c r="I1594" t="s">
        <v>390</v>
      </c>
      <c r="J1594" t="s">
        <v>45</v>
      </c>
      <c r="K1594" t="s">
        <v>35</v>
      </c>
      <c r="L1594" t="s">
        <v>175</v>
      </c>
      <c r="M1594" t="s">
        <v>37</v>
      </c>
      <c r="N1594">
        <v>0</v>
      </c>
      <c r="O1594">
        <v>0</v>
      </c>
      <c r="P1594">
        <v>1</v>
      </c>
      <c r="Q1594">
        <v>1</v>
      </c>
      <c r="R1594" s="4">
        <v>12696.07</v>
      </c>
      <c r="S1594" t="str">
        <f t="shared" si="120"/>
        <v>PZ: Alta Crit.</v>
      </c>
      <c r="T1594">
        <f t="shared" si="121"/>
        <v>0</v>
      </c>
      <c r="U1594">
        <f t="shared" si="122"/>
        <v>1</v>
      </c>
      <c r="V1594">
        <f t="shared" si="123"/>
        <v>0</v>
      </c>
      <c r="W1594">
        <f t="shared" si="124"/>
        <v>1</v>
      </c>
      <c r="X1594">
        <v>1</v>
      </c>
      <c r="Y1594" s="2">
        <v>45768</v>
      </c>
      <c r="Z1594" s="3" t="s">
        <v>38</v>
      </c>
      <c r="AA1594" t="s">
        <v>39</v>
      </c>
      <c r="AB1594" t="s">
        <v>40</v>
      </c>
      <c r="AC1594" t="s">
        <v>40</v>
      </c>
      <c r="AD1594" t="s">
        <v>391</v>
      </c>
    </row>
    <row r="1595" spans="2:30">
      <c r="B1595">
        <v>1</v>
      </c>
      <c r="C1595">
        <v>1020</v>
      </c>
      <c r="D1595" t="s">
        <v>181</v>
      </c>
      <c r="E1595">
        <v>10056532</v>
      </c>
      <c r="F1595" t="s">
        <v>1691</v>
      </c>
      <c r="G1595" t="s">
        <v>52</v>
      </c>
      <c r="H1595" t="s">
        <v>32</v>
      </c>
      <c r="I1595" t="s">
        <v>183</v>
      </c>
      <c r="J1595" t="s">
        <v>45</v>
      </c>
      <c r="K1595" t="s">
        <v>35</v>
      </c>
      <c r="L1595" t="s">
        <v>36</v>
      </c>
      <c r="M1595" t="s">
        <v>69</v>
      </c>
      <c r="N1595">
        <v>10</v>
      </c>
      <c r="O1595">
        <v>6</v>
      </c>
      <c r="P1595">
        <v>5</v>
      </c>
      <c r="Q1595">
        <v>10</v>
      </c>
      <c r="R1595" s="4">
        <v>1184.8499999999999</v>
      </c>
      <c r="S1595" t="str">
        <f t="shared" si="120"/>
        <v>PZ: Alta Crit.</v>
      </c>
      <c r="T1595">
        <f t="shared" si="121"/>
        <v>0</v>
      </c>
      <c r="U1595">
        <f t="shared" si="122"/>
        <v>0</v>
      </c>
      <c r="V1595">
        <f t="shared" si="123"/>
        <v>1</v>
      </c>
      <c r="W1595">
        <f t="shared" si="124"/>
        <v>0</v>
      </c>
      <c r="X1595">
        <v>1</v>
      </c>
      <c r="Y1595" s="2">
        <v>45768</v>
      </c>
      <c r="Z1595" s="3" t="s">
        <v>70</v>
      </c>
      <c r="AA1595" t="s">
        <v>39</v>
      </c>
      <c r="AB1595" t="s">
        <v>40</v>
      </c>
      <c r="AC1595" t="s">
        <v>40</v>
      </c>
      <c r="AD1595" t="s">
        <v>184</v>
      </c>
    </row>
    <row r="1596" spans="2:30">
      <c r="B1596">
        <v>1</v>
      </c>
      <c r="C1596">
        <v>1020</v>
      </c>
      <c r="D1596" t="s">
        <v>693</v>
      </c>
      <c r="E1596">
        <v>10056628</v>
      </c>
      <c r="F1596" t="s">
        <v>1692</v>
      </c>
      <c r="G1596" t="s">
        <v>31</v>
      </c>
      <c r="H1596" t="s">
        <v>32</v>
      </c>
      <c r="I1596" t="s">
        <v>695</v>
      </c>
      <c r="J1596" t="s">
        <v>45</v>
      </c>
      <c r="K1596" t="s">
        <v>35</v>
      </c>
      <c r="L1596" t="s">
        <v>175</v>
      </c>
      <c r="M1596" t="s">
        <v>46</v>
      </c>
      <c r="N1596">
        <v>0</v>
      </c>
      <c r="O1596">
        <v>0</v>
      </c>
      <c r="P1596">
        <v>0</v>
      </c>
      <c r="Q1596">
        <v>97</v>
      </c>
      <c r="R1596">
        <v>0</v>
      </c>
      <c r="S1596" t="str">
        <f t="shared" si="120"/>
        <v>PX: Baja Crit.</v>
      </c>
      <c r="T1596">
        <f t="shared" si="121"/>
        <v>0</v>
      </c>
      <c r="U1596">
        <f t="shared" si="122"/>
        <v>0</v>
      </c>
      <c r="V1596">
        <f t="shared" si="123"/>
        <v>0</v>
      </c>
      <c r="W1596">
        <f t="shared" si="124"/>
        <v>1</v>
      </c>
      <c r="X1596">
        <v>1</v>
      </c>
      <c r="Y1596" s="2">
        <v>45768</v>
      </c>
      <c r="Z1596" s="3" t="s">
        <v>47</v>
      </c>
      <c r="AA1596" t="s">
        <v>39</v>
      </c>
      <c r="AB1596" t="s">
        <v>40</v>
      </c>
      <c r="AC1596" t="s">
        <v>40</v>
      </c>
      <c r="AD1596" t="s">
        <v>696</v>
      </c>
    </row>
    <row r="1597" spans="2:30">
      <c r="B1597">
        <v>1</v>
      </c>
      <c r="C1597">
        <v>1020</v>
      </c>
      <c r="D1597" t="s">
        <v>181</v>
      </c>
      <c r="E1597">
        <v>10056680</v>
      </c>
      <c r="F1597" t="s">
        <v>1693</v>
      </c>
      <c r="G1597" t="s">
        <v>52</v>
      </c>
      <c r="H1597" t="s">
        <v>44</v>
      </c>
      <c r="I1597" t="s">
        <v>183</v>
      </c>
      <c r="J1597" t="s">
        <v>45</v>
      </c>
      <c r="K1597" t="s">
        <v>35</v>
      </c>
      <c r="L1597" t="s">
        <v>36</v>
      </c>
      <c r="M1597" t="s">
        <v>69</v>
      </c>
      <c r="N1597">
        <v>305</v>
      </c>
      <c r="O1597">
        <v>305</v>
      </c>
      <c r="P1597">
        <v>305</v>
      </c>
      <c r="Q1597">
        <v>0</v>
      </c>
      <c r="R1597">
        <v>0</v>
      </c>
      <c r="S1597" t="str">
        <f t="shared" si="120"/>
        <v>PZ: Alta Crit.</v>
      </c>
      <c r="T1597">
        <f t="shared" si="121"/>
        <v>1</v>
      </c>
      <c r="U1597">
        <f t="shared" si="122"/>
        <v>0</v>
      </c>
      <c r="V1597">
        <f t="shared" si="123"/>
        <v>0</v>
      </c>
      <c r="W1597">
        <f t="shared" si="124"/>
        <v>0</v>
      </c>
      <c r="X1597">
        <v>1</v>
      </c>
      <c r="Y1597" s="2">
        <v>45768</v>
      </c>
      <c r="Z1597" s="3" t="s">
        <v>70</v>
      </c>
      <c r="AA1597" t="s">
        <v>39</v>
      </c>
      <c r="AB1597" t="s">
        <v>49</v>
      </c>
      <c r="AC1597" s="5" t="s">
        <v>50</v>
      </c>
      <c r="AD1597" t="s">
        <v>184</v>
      </c>
    </row>
    <row r="1598" spans="2:30">
      <c r="B1598">
        <v>1</v>
      </c>
      <c r="C1598">
        <v>1020</v>
      </c>
      <c r="D1598" t="s">
        <v>181</v>
      </c>
      <c r="E1598">
        <v>10056793</v>
      </c>
      <c r="F1598" t="s">
        <v>1694</v>
      </c>
      <c r="G1598" t="s">
        <v>52</v>
      </c>
      <c r="H1598" t="s">
        <v>44</v>
      </c>
      <c r="I1598" t="s">
        <v>183</v>
      </c>
      <c r="J1598" t="s">
        <v>45</v>
      </c>
      <c r="K1598" t="s">
        <v>62</v>
      </c>
      <c r="L1598" t="s">
        <v>36</v>
      </c>
      <c r="M1598" t="s">
        <v>117</v>
      </c>
      <c r="N1598">
        <v>6</v>
      </c>
      <c r="O1598">
        <v>3</v>
      </c>
      <c r="P1598">
        <v>1</v>
      </c>
      <c r="Q1598">
        <v>7</v>
      </c>
      <c r="R1598" s="4">
        <v>34181.699999999997</v>
      </c>
      <c r="S1598" t="str">
        <f t="shared" si="120"/>
        <v>PZ: Alta Crit.</v>
      </c>
      <c r="T1598">
        <f t="shared" si="121"/>
        <v>0</v>
      </c>
      <c r="U1598">
        <f t="shared" si="122"/>
        <v>0</v>
      </c>
      <c r="V1598">
        <f t="shared" si="123"/>
        <v>0</v>
      </c>
      <c r="W1598">
        <f t="shared" si="124"/>
        <v>1</v>
      </c>
      <c r="X1598">
        <v>1</v>
      </c>
      <c r="Y1598" s="2">
        <v>45768</v>
      </c>
      <c r="Z1598" s="3" t="s">
        <v>118</v>
      </c>
      <c r="AA1598" t="s">
        <v>39</v>
      </c>
      <c r="AB1598" t="s">
        <v>40</v>
      </c>
      <c r="AC1598" t="s">
        <v>40</v>
      </c>
      <c r="AD1598" t="s">
        <v>184</v>
      </c>
    </row>
    <row r="1599" spans="2:30">
      <c r="B1599">
        <v>1</v>
      </c>
      <c r="C1599">
        <v>1020</v>
      </c>
      <c r="D1599" t="s">
        <v>181</v>
      </c>
      <c r="E1599">
        <v>10056794</v>
      </c>
      <c r="F1599" t="s">
        <v>1695</v>
      </c>
      <c r="G1599" t="s">
        <v>43</v>
      </c>
      <c r="H1599" t="s">
        <v>44</v>
      </c>
      <c r="I1599" t="s">
        <v>183</v>
      </c>
      <c r="J1599" t="s">
        <v>45</v>
      </c>
      <c r="K1599" t="s">
        <v>62</v>
      </c>
      <c r="L1599" t="s">
        <v>36</v>
      </c>
      <c r="M1599" t="s">
        <v>117</v>
      </c>
      <c r="N1599">
        <v>6</v>
      </c>
      <c r="O1599">
        <v>5</v>
      </c>
      <c r="P1599">
        <v>2</v>
      </c>
      <c r="Q1599">
        <v>5</v>
      </c>
      <c r="R1599" s="4">
        <v>27342.03</v>
      </c>
      <c r="S1599" t="str">
        <f t="shared" si="120"/>
        <v>PY: Media Crit.</v>
      </c>
      <c r="T1599">
        <f t="shared" si="121"/>
        <v>0</v>
      </c>
      <c r="U1599">
        <f t="shared" si="122"/>
        <v>0</v>
      </c>
      <c r="V1599">
        <f t="shared" si="123"/>
        <v>1</v>
      </c>
      <c r="W1599">
        <f t="shared" si="124"/>
        <v>0</v>
      </c>
      <c r="X1599">
        <v>1</v>
      </c>
      <c r="Y1599" s="2">
        <v>45768</v>
      </c>
      <c r="Z1599" s="3" t="s">
        <v>118</v>
      </c>
      <c r="AA1599" t="s">
        <v>39</v>
      </c>
      <c r="AB1599" t="s">
        <v>40</v>
      </c>
      <c r="AC1599" t="s">
        <v>40</v>
      </c>
      <c r="AD1599" t="s">
        <v>184</v>
      </c>
    </row>
    <row r="1600" spans="2:30">
      <c r="B1600">
        <v>1</v>
      </c>
      <c r="C1600">
        <v>1020</v>
      </c>
      <c r="D1600" t="s">
        <v>693</v>
      </c>
      <c r="E1600">
        <v>10056795</v>
      </c>
      <c r="F1600" t="s">
        <v>1696</v>
      </c>
      <c r="G1600" t="s">
        <v>31</v>
      </c>
      <c r="H1600" t="s">
        <v>32</v>
      </c>
      <c r="I1600" t="s">
        <v>695</v>
      </c>
      <c r="J1600" t="s">
        <v>45</v>
      </c>
      <c r="K1600" t="s">
        <v>35</v>
      </c>
      <c r="L1600" t="s">
        <v>175</v>
      </c>
      <c r="M1600" t="s">
        <v>46</v>
      </c>
      <c r="N1600">
        <v>0</v>
      </c>
      <c r="O1600">
        <v>0</v>
      </c>
      <c r="P1600">
        <v>0</v>
      </c>
      <c r="Q1600">
        <v>28</v>
      </c>
      <c r="R1600">
        <v>0</v>
      </c>
      <c r="S1600" t="str">
        <f t="shared" si="120"/>
        <v>PX: Baja Crit.</v>
      </c>
      <c r="T1600">
        <f t="shared" si="121"/>
        <v>0</v>
      </c>
      <c r="U1600">
        <f t="shared" si="122"/>
        <v>0</v>
      </c>
      <c r="V1600">
        <f t="shared" si="123"/>
        <v>0</v>
      </c>
      <c r="W1600">
        <f t="shared" si="124"/>
        <v>1</v>
      </c>
      <c r="X1600">
        <v>1</v>
      </c>
      <c r="Y1600" s="2">
        <v>45768</v>
      </c>
      <c r="Z1600" s="3" t="s">
        <v>47</v>
      </c>
      <c r="AA1600" t="s">
        <v>39</v>
      </c>
      <c r="AB1600" t="s">
        <v>40</v>
      </c>
      <c r="AC1600" t="s">
        <v>40</v>
      </c>
      <c r="AD1600" t="s">
        <v>696</v>
      </c>
    </row>
    <row r="1601" spans="2:30">
      <c r="B1601">
        <v>1</v>
      </c>
      <c r="C1601">
        <v>1020</v>
      </c>
      <c r="D1601" t="s">
        <v>388</v>
      </c>
      <c r="E1601">
        <v>10056945</v>
      </c>
      <c r="F1601" t="s">
        <v>1697</v>
      </c>
      <c r="G1601" t="s">
        <v>52</v>
      </c>
      <c r="H1601" t="s">
        <v>44</v>
      </c>
      <c r="I1601" t="s">
        <v>390</v>
      </c>
      <c r="J1601" t="s">
        <v>45</v>
      </c>
      <c r="K1601" t="s">
        <v>35</v>
      </c>
      <c r="L1601" t="s">
        <v>175</v>
      </c>
      <c r="M1601" t="s">
        <v>117</v>
      </c>
      <c r="N1601">
        <v>0</v>
      </c>
      <c r="O1601">
        <v>0</v>
      </c>
      <c r="P1601">
        <v>2</v>
      </c>
      <c r="Q1601">
        <v>2</v>
      </c>
      <c r="R1601" s="4">
        <v>14140.31</v>
      </c>
      <c r="S1601" t="str">
        <f t="shared" si="120"/>
        <v>PZ: Alta Crit.</v>
      </c>
      <c r="T1601">
        <f t="shared" si="121"/>
        <v>0</v>
      </c>
      <c r="U1601">
        <f t="shared" si="122"/>
        <v>1</v>
      </c>
      <c r="V1601">
        <f t="shared" si="123"/>
        <v>0</v>
      </c>
      <c r="W1601">
        <f t="shared" si="124"/>
        <v>1</v>
      </c>
      <c r="X1601">
        <v>1</v>
      </c>
      <c r="Y1601" s="2">
        <v>45768</v>
      </c>
      <c r="Z1601" s="3" t="s">
        <v>118</v>
      </c>
      <c r="AA1601" t="s">
        <v>39</v>
      </c>
      <c r="AB1601" t="s">
        <v>40</v>
      </c>
      <c r="AC1601" t="s">
        <v>40</v>
      </c>
      <c r="AD1601" t="s">
        <v>391</v>
      </c>
    </row>
    <row r="1602" spans="2:30">
      <c r="B1602">
        <v>1</v>
      </c>
      <c r="C1602">
        <v>1020</v>
      </c>
      <c r="D1602" t="s">
        <v>384</v>
      </c>
      <c r="E1602">
        <v>10057110</v>
      </c>
      <c r="F1602" t="s">
        <v>1698</v>
      </c>
      <c r="G1602" t="s">
        <v>31</v>
      </c>
      <c r="H1602" t="s">
        <v>60</v>
      </c>
      <c r="I1602" t="s">
        <v>386</v>
      </c>
      <c r="J1602" t="s">
        <v>45</v>
      </c>
      <c r="K1602" t="s">
        <v>35</v>
      </c>
      <c r="L1602" t="s">
        <v>175</v>
      </c>
      <c r="M1602" t="s">
        <v>46</v>
      </c>
      <c r="N1602">
        <v>0</v>
      </c>
      <c r="O1602">
        <v>0</v>
      </c>
      <c r="P1602">
        <v>0</v>
      </c>
      <c r="Q1602">
        <v>0</v>
      </c>
      <c r="R1602">
        <v>0</v>
      </c>
      <c r="S1602" t="str">
        <f t="shared" ref="S1602:S1665" si="125">+IF(G1602="PZ", "PZ: Alta Crit.",IF(G1602="PY","PY: Media Crit.", "PX: Baja Crit."))</f>
        <v>PX: Baja Crit.</v>
      </c>
      <c r="T1602">
        <f t="shared" ref="T1602:T1665" si="126">+IF(Q1602=0,1,0)</f>
        <v>1</v>
      </c>
      <c r="U1602">
        <f t="shared" ref="U1602:U1665" si="127">+IF(AND(Q1602&lt;=P1602,Q1602&gt;0),1,0)</f>
        <v>0</v>
      </c>
      <c r="V1602">
        <f t="shared" ref="V1602:V1665" si="128">+IF(AND(Q1602&gt;P1602,Q1602&lt;=N1602),1,0)</f>
        <v>0</v>
      </c>
      <c r="W1602">
        <f t="shared" ref="W1602:W1665" si="129">+IF(Q1602&gt;N1602,1,0)</f>
        <v>0</v>
      </c>
      <c r="X1602">
        <v>1</v>
      </c>
      <c r="Y1602" s="2">
        <v>45768</v>
      </c>
      <c r="Z1602" s="3" t="s">
        <v>47</v>
      </c>
      <c r="AA1602" t="s">
        <v>39</v>
      </c>
      <c r="AB1602" t="s">
        <v>40</v>
      </c>
      <c r="AC1602" t="s">
        <v>40</v>
      </c>
      <c r="AD1602" t="s">
        <v>387</v>
      </c>
    </row>
    <row r="1603" spans="2:30">
      <c r="B1603">
        <v>1</v>
      </c>
      <c r="C1603">
        <v>1020</v>
      </c>
      <c r="D1603" t="s">
        <v>181</v>
      </c>
      <c r="E1603">
        <v>10067867</v>
      </c>
      <c r="F1603" t="s">
        <v>1132</v>
      </c>
      <c r="G1603" t="s">
        <v>43</v>
      </c>
      <c r="H1603" t="s">
        <v>32</v>
      </c>
      <c r="I1603" t="s">
        <v>183</v>
      </c>
      <c r="J1603" t="s">
        <v>45</v>
      </c>
      <c r="K1603" t="s">
        <v>35</v>
      </c>
      <c r="L1603" t="s">
        <v>36</v>
      </c>
      <c r="M1603" t="s">
        <v>69</v>
      </c>
      <c r="N1603">
        <v>4</v>
      </c>
      <c r="O1603">
        <v>3</v>
      </c>
      <c r="P1603">
        <v>1</v>
      </c>
      <c r="Q1603">
        <v>4</v>
      </c>
      <c r="R1603" s="4">
        <v>1050.9000000000001</v>
      </c>
      <c r="S1603" t="str">
        <f t="shared" si="125"/>
        <v>PY: Media Crit.</v>
      </c>
      <c r="T1603">
        <f t="shared" si="126"/>
        <v>0</v>
      </c>
      <c r="U1603">
        <f t="shared" si="127"/>
        <v>0</v>
      </c>
      <c r="V1603">
        <f t="shared" si="128"/>
        <v>1</v>
      </c>
      <c r="W1603">
        <f t="shared" si="129"/>
        <v>0</v>
      </c>
      <c r="X1603">
        <v>1</v>
      </c>
      <c r="Y1603" s="2">
        <v>45768</v>
      </c>
      <c r="Z1603" s="3" t="s">
        <v>70</v>
      </c>
      <c r="AA1603" t="s">
        <v>39</v>
      </c>
      <c r="AB1603" t="s">
        <v>40</v>
      </c>
      <c r="AC1603" t="s">
        <v>40</v>
      </c>
      <c r="AD1603" t="s">
        <v>184</v>
      </c>
    </row>
    <row r="1604" spans="2:30">
      <c r="B1604">
        <v>1</v>
      </c>
      <c r="C1604">
        <v>1020</v>
      </c>
      <c r="D1604" t="s">
        <v>181</v>
      </c>
      <c r="E1604">
        <v>10090552</v>
      </c>
      <c r="F1604" t="s">
        <v>1699</v>
      </c>
      <c r="G1604" t="s">
        <v>43</v>
      </c>
      <c r="H1604" t="s">
        <v>60</v>
      </c>
      <c r="I1604" t="s">
        <v>183</v>
      </c>
      <c r="J1604" t="s">
        <v>45</v>
      </c>
      <c r="K1604" t="s">
        <v>35</v>
      </c>
      <c r="L1604" t="s">
        <v>36</v>
      </c>
      <c r="M1604" t="s">
        <v>37</v>
      </c>
      <c r="N1604">
        <v>6</v>
      </c>
      <c r="O1604">
        <v>4</v>
      </c>
      <c r="P1604">
        <v>1</v>
      </c>
      <c r="Q1604">
        <v>4</v>
      </c>
      <c r="R1604">
        <v>0</v>
      </c>
      <c r="S1604" t="str">
        <f t="shared" si="125"/>
        <v>PY: Media Crit.</v>
      </c>
      <c r="T1604">
        <f t="shared" si="126"/>
        <v>0</v>
      </c>
      <c r="U1604">
        <f t="shared" si="127"/>
        <v>0</v>
      </c>
      <c r="V1604">
        <f t="shared" si="128"/>
        <v>1</v>
      </c>
      <c r="W1604">
        <f t="shared" si="129"/>
        <v>0</v>
      </c>
      <c r="X1604">
        <v>1</v>
      </c>
      <c r="Y1604" s="2">
        <v>45768</v>
      </c>
      <c r="Z1604" s="3" t="s">
        <v>38</v>
      </c>
      <c r="AA1604" t="s">
        <v>39</v>
      </c>
      <c r="AB1604" t="s">
        <v>40</v>
      </c>
      <c r="AC1604" t="s">
        <v>40</v>
      </c>
      <c r="AD1604" t="s">
        <v>184</v>
      </c>
    </row>
    <row r="1605" spans="2:30">
      <c r="B1605">
        <v>1</v>
      </c>
      <c r="C1605">
        <v>1020</v>
      </c>
      <c r="D1605" t="s">
        <v>693</v>
      </c>
      <c r="E1605">
        <v>10090561</v>
      </c>
      <c r="F1605" t="s">
        <v>1700</v>
      </c>
      <c r="G1605" t="s">
        <v>52</v>
      </c>
      <c r="H1605" t="s">
        <v>32</v>
      </c>
      <c r="I1605" t="s">
        <v>695</v>
      </c>
      <c r="J1605" t="s">
        <v>45</v>
      </c>
      <c r="K1605" t="s">
        <v>35</v>
      </c>
      <c r="L1605" t="s">
        <v>175</v>
      </c>
      <c r="M1605" t="s">
        <v>46</v>
      </c>
      <c r="N1605">
        <v>0</v>
      </c>
      <c r="O1605">
        <v>0</v>
      </c>
      <c r="P1605">
        <v>0</v>
      </c>
      <c r="Q1605">
        <v>0</v>
      </c>
      <c r="R1605">
        <v>0</v>
      </c>
      <c r="S1605" t="str">
        <f t="shared" si="125"/>
        <v>PZ: Alta Crit.</v>
      </c>
      <c r="T1605">
        <f t="shared" si="126"/>
        <v>1</v>
      </c>
      <c r="U1605">
        <f t="shared" si="127"/>
        <v>0</v>
      </c>
      <c r="V1605">
        <f t="shared" si="128"/>
        <v>0</v>
      </c>
      <c r="W1605">
        <f t="shared" si="129"/>
        <v>0</v>
      </c>
      <c r="X1605">
        <v>1</v>
      </c>
      <c r="Y1605" s="2">
        <v>45768</v>
      </c>
      <c r="Z1605" s="3" t="s">
        <v>47</v>
      </c>
      <c r="AA1605" t="s">
        <v>39</v>
      </c>
      <c r="AB1605" t="s">
        <v>40</v>
      </c>
      <c r="AC1605" t="s">
        <v>40</v>
      </c>
      <c r="AD1605" t="s">
        <v>696</v>
      </c>
    </row>
    <row r="1606" spans="2:30">
      <c r="B1606">
        <v>1</v>
      </c>
      <c r="C1606">
        <v>1020</v>
      </c>
      <c r="D1606" t="s">
        <v>388</v>
      </c>
      <c r="E1606">
        <v>10090688</v>
      </c>
      <c r="F1606" t="s">
        <v>1701</v>
      </c>
      <c r="G1606" t="s">
        <v>52</v>
      </c>
      <c r="H1606" t="s">
        <v>32</v>
      </c>
      <c r="I1606" t="s">
        <v>390</v>
      </c>
      <c r="J1606" t="s">
        <v>45</v>
      </c>
      <c r="K1606" t="s">
        <v>252</v>
      </c>
      <c r="L1606" t="s">
        <v>175</v>
      </c>
      <c r="M1606" t="s">
        <v>37</v>
      </c>
      <c r="N1606">
        <v>0</v>
      </c>
      <c r="O1606">
        <v>0</v>
      </c>
      <c r="P1606">
        <v>86</v>
      </c>
      <c r="Q1606">
        <v>86</v>
      </c>
      <c r="R1606" s="4">
        <v>8750.93</v>
      </c>
      <c r="S1606" t="str">
        <f t="shared" si="125"/>
        <v>PZ: Alta Crit.</v>
      </c>
      <c r="T1606">
        <f t="shared" si="126"/>
        <v>0</v>
      </c>
      <c r="U1606">
        <f t="shared" si="127"/>
        <v>1</v>
      </c>
      <c r="V1606">
        <f t="shared" si="128"/>
        <v>0</v>
      </c>
      <c r="W1606">
        <f t="shared" si="129"/>
        <v>1</v>
      </c>
      <c r="X1606">
        <v>1</v>
      </c>
      <c r="Y1606" s="2">
        <v>45768</v>
      </c>
      <c r="Z1606" s="3" t="s">
        <v>38</v>
      </c>
      <c r="AA1606" t="s">
        <v>39</v>
      </c>
      <c r="AB1606" t="s">
        <v>40</v>
      </c>
      <c r="AC1606" t="s">
        <v>40</v>
      </c>
      <c r="AD1606" t="s">
        <v>391</v>
      </c>
    </row>
    <row r="1607" spans="2:30">
      <c r="B1607">
        <v>1</v>
      </c>
      <c r="C1607">
        <v>1020</v>
      </c>
      <c r="D1607" t="s">
        <v>388</v>
      </c>
      <c r="E1607">
        <v>10090689</v>
      </c>
      <c r="F1607" t="s">
        <v>1702</v>
      </c>
      <c r="G1607" t="s">
        <v>52</v>
      </c>
      <c r="H1607" t="s">
        <v>32</v>
      </c>
      <c r="I1607" t="s">
        <v>390</v>
      </c>
      <c r="J1607" t="s">
        <v>45</v>
      </c>
      <c r="K1607" t="s">
        <v>252</v>
      </c>
      <c r="L1607" t="s">
        <v>175</v>
      </c>
      <c r="M1607" t="s">
        <v>37</v>
      </c>
      <c r="N1607">
        <v>0</v>
      </c>
      <c r="O1607">
        <v>0</v>
      </c>
      <c r="P1607">
        <v>86</v>
      </c>
      <c r="Q1607">
        <v>86</v>
      </c>
      <c r="R1607" s="4">
        <v>8750.93</v>
      </c>
      <c r="S1607" t="str">
        <f t="shared" si="125"/>
        <v>PZ: Alta Crit.</v>
      </c>
      <c r="T1607">
        <f t="shared" si="126"/>
        <v>0</v>
      </c>
      <c r="U1607">
        <f t="shared" si="127"/>
        <v>1</v>
      </c>
      <c r="V1607">
        <f t="shared" si="128"/>
        <v>0</v>
      </c>
      <c r="W1607">
        <f t="shared" si="129"/>
        <v>1</v>
      </c>
      <c r="X1607">
        <v>1</v>
      </c>
      <c r="Y1607" s="2">
        <v>45768</v>
      </c>
      <c r="Z1607" s="3" t="s">
        <v>38</v>
      </c>
      <c r="AA1607" t="s">
        <v>39</v>
      </c>
      <c r="AB1607" t="s">
        <v>40</v>
      </c>
      <c r="AC1607" t="s">
        <v>40</v>
      </c>
      <c r="AD1607" t="s">
        <v>391</v>
      </c>
    </row>
    <row r="1608" spans="2:30">
      <c r="B1608">
        <v>1</v>
      </c>
      <c r="C1608">
        <v>1020</v>
      </c>
      <c r="D1608" t="s">
        <v>181</v>
      </c>
      <c r="E1608">
        <v>10090753</v>
      </c>
      <c r="F1608" t="s">
        <v>1703</v>
      </c>
      <c r="G1608" t="s">
        <v>31</v>
      </c>
      <c r="H1608" t="s">
        <v>32</v>
      </c>
      <c r="I1608" t="s">
        <v>183</v>
      </c>
      <c r="J1608" t="s">
        <v>45</v>
      </c>
      <c r="K1608" t="s">
        <v>35</v>
      </c>
      <c r="L1608" t="s">
        <v>36</v>
      </c>
      <c r="M1608" t="s">
        <v>37</v>
      </c>
      <c r="N1608">
        <v>3</v>
      </c>
      <c r="O1608">
        <v>2</v>
      </c>
      <c r="P1608">
        <v>2</v>
      </c>
      <c r="Q1608">
        <v>5</v>
      </c>
      <c r="R1608" s="4">
        <v>10756.39</v>
      </c>
      <c r="S1608" t="str">
        <f t="shared" si="125"/>
        <v>PX: Baja Crit.</v>
      </c>
      <c r="T1608">
        <f t="shared" si="126"/>
        <v>0</v>
      </c>
      <c r="U1608">
        <f t="shared" si="127"/>
        <v>0</v>
      </c>
      <c r="V1608">
        <f t="shared" si="128"/>
        <v>0</v>
      </c>
      <c r="W1608">
        <f t="shared" si="129"/>
        <v>1</v>
      </c>
      <c r="X1608">
        <v>1</v>
      </c>
      <c r="Y1608" s="2">
        <v>45768</v>
      </c>
      <c r="Z1608" s="3" t="s">
        <v>38</v>
      </c>
      <c r="AA1608" t="s">
        <v>39</v>
      </c>
      <c r="AB1608" t="s">
        <v>40</v>
      </c>
      <c r="AC1608" t="s">
        <v>40</v>
      </c>
      <c r="AD1608" t="s">
        <v>184</v>
      </c>
    </row>
    <row r="1609" spans="2:30">
      <c r="B1609">
        <v>1</v>
      </c>
      <c r="C1609">
        <v>1020</v>
      </c>
      <c r="D1609" t="s">
        <v>181</v>
      </c>
      <c r="E1609">
        <v>10090760</v>
      </c>
      <c r="F1609" t="s">
        <v>1704</v>
      </c>
      <c r="G1609" t="s">
        <v>52</v>
      </c>
      <c r="H1609" t="s">
        <v>32</v>
      </c>
      <c r="I1609" t="s">
        <v>183</v>
      </c>
      <c r="J1609" t="s">
        <v>45</v>
      </c>
      <c r="K1609" t="s">
        <v>35</v>
      </c>
      <c r="L1609" t="s">
        <v>36</v>
      </c>
      <c r="M1609" t="s">
        <v>46</v>
      </c>
      <c r="N1609">
        <v>2</v>
      </c>
      <c r="O1609">
        <v>1</v>
      </c>
      <c r="P1609">
        <v>0</v>
      </c>
      <c r="Q1609">
        <v>4</v>
      </c>
      <c r="R1609" s="4">
        <v>7640.07</v>
      </c>
      <c r="S1609" t="str">
        <f t="shared" si="125"/>
        <v>PZ: Alta Crit.</v>
      </c>
      <c r="T1609">
        <f t="shared" si="126"/>
        <v>0</v>
      </c>
      <c r="U1609">
        <f t="shared" si="127"/>
        <v>0</v>
      </c>
      <c r="V1609">
        <f t="shared" si="128"/>
        <v>0</v>
      </c>
      <c r="W1609">
        <f t="shared" si="129"/>
        <v>1</v>
      </c>
      <c r="X1609">
        <v>1</v>
      </c>
      <c r="Y1609" s="2">
        <v>45768</v>
      </c>
      <c r="Z1609" s="3" t="s">
        <v>47</v>
      </c>
      <c r="AA1609" t="s">
        <v>39</v>
      </c>
      <c r="AB1609" t="s">
        <v>40</v>
      </c>
      <c r="AC1609" t="s">
        <v>40</v>
      </c>
      <c r="AD1609" t="s">
        <v>184</v>
      </c>
    </row>
    <row r="1610" spans="2:30">
      <c r="B1610">
        <v>1</v>
      </c>
      <c r="C1610">
        <v>1020</v>
      </c>
      <c r="D1610" t="s">
        <v>181</v>
      </c>
      <c r="E1610">
        <v>10090761</v>
      </c>
      <c r="F1610" t="s">
        <v>1705</v>
      </c>
      <c r="G1610" t="s">
        <v>52</v>
      </c>
      <c r="H1610" t="s">
        <v>60</v>
      </c>
      <c r="I1610" t="s">
        <v>183</v>
      </c>
      <c r="J1610" t="s">
        <v>45</v>
      </c>
      <c r="K1610" t="s">
        <v>35</v>
      </c>
      <c r="L1610" t="s">
        <v>36</v>
      </c>
      <c r="M1610" t="s">
        <v>46</v>
      </c>
      <c r="N1610">
        <v>3</v>
      </c>
      <c r="O1610">
        <v>2</v>
      </c>
      <c r="P1610">
        <v>0</v>
      </c>
      <c r="Q1610">
        <v>6</v>
      </c>
      <c r="R1610" s="4">
        <v>16212.32</v>
      </c>
      <c r="S1610" t="str">
        <f t="shared" si="125"/>
        <v>PZ: Alta Crit.</v>
      </c>
      <c r="T1610">
        <f t="shared" si="126"/>
        <v>0</v>
      </c>
      <c r="U1610">
        <f t="shared" si="127"/>
        <v>0</v>
      </c>
      <c r="V1610">
        <f t="shared" si="128"/>
        <v>0</v>
      </c>
      <c r="W1610">
        <f t="shared" si="129"/>
        <v>1</v>
      </c>
      <c r="X1610">
        <v>1</v>
      </c>
      <c r="Y1610" s="2">
        <v>45768</v>
      </c>
      <c r="Z1610" s="3" t="s">
        <v>47</v>
      </c>
      <c r="AA1610" t="s">
        <v>39</v>
      </c>
      <c r="AB1610" t="s">
        <v>40</v>
      </c>
      <c r="AC1610" t="s">
        <v>40</v>
      </c>
      <c r="AD1610" t="s">
        <v>184</v>
      </c>
    </row>
    <row r="1611" spans="2:30">
      <c r="B1611">
        <v>1</v>
      </c>
      <c r="C1611">
        <v>1020</v>
      </c>
      <c r="D1611" t="s">
        <v>181</v>
      </c>
      <c r="E1611">
        <v>10114425</v>
      </c>
      <c r="F1611" t="s">
        <v>1706</v>
      </c>
      <c r="G1611" t="s">
        <v>43</v>
      </c>
      <c r="H1611" t="s">
        <v>60</v>
      </c>
      <c r="I1611" t="s">
        <v>183</v>
      </c>
      <c r="J1611" t="s">
        <v>45</v>
      </c>
      <c r="K1611" t="s">
        <v>35</v>
      </c>
      <c r="L1611" t="s">
        <v>36</v>
      </c>
      <c r="M1611" t="s">
        <v>69</v>
      </c>
      <c r="N1611">
        <v>1</v>
      </c>
      <c r="O1611">
        <v>1</v>
      </c>
      <c r="P1611">
        <v>1</v>
      </c>
      <c r="Q1611">
        <v>0</v>
      </c>
      <c r="R1611">
        <v>0</v>
      </c>
      <c r="S1611" t="str">
        <f t="shared" si="125"/>
        <v>PY: Media Crit.</v>
      </c>
      <c r="T1611">
        <f t="shared" si="126"/>
        <v>1</v>
      </c>
      <c r="U1611">
        <f t="shared" si="127"/>
        <v>0</v>
      </c>
      <c r="V1611">
        <f t="shared" si="128"/>
        <v>0</v>
      </c>
      <c r="W1611">
        <f t="shared" si="129"/>
        <v>0</v>
      </c>
      <c r="X1611">
        <v>1</v>
      </c>
      <c r="Y1611" s="2">
        <v>45768</v>
      </c>
      <c r="Z1611" s="3" t="s">
        <v>70</v>
      </c>
      <c r="AA1611" t="s">
        <v>39</v>
      </c>
      <c r="AB1611" t="s">
        <v>49</v>
      </c>
      <c r="AC1611" s="5" t="s">
        <v>50</v>
      </c>
      <c r="AD1611" t="s">
        <v>184</v>
      </c>
    </row>
    <row r="1612" spans="2:30">
      <c r="B1612">
        <v>1</v>
      </c>
      <c r="C1612">
        <v>1020</v>
      </c>
      <c r="D1612" t="s">
        <v>388</v>
      </c>
      <c r="E1612">
        <v>10126596</v>
      </c>
      <c r="F1612" t="s">
        <v>1707</v>
      </c>
      <c r="G1612" t="s">
        <v>52</v>
      </c>
      <c r="H1612" t="s">
        <v>32</v>
      </c>
      <c r="I1612" t="s">
        <v>390</v>
      </c>
      <c r="J1612" t="s">
        <v>45</v>
      </c>
      <c r="K1612" t="s">
        <v>35</v>
      </c>
      <c r="L1612" t="s">
        <v>175</v>
      </c>
      <c r="M1612" t="s">
        <v>69</v>
      </c>
      <c r="N1612">
        <v>0</v>
      </c>
      <c r="O1612">
        <v>0</v>
      </c>
      <c r="P1612">
        <v>1</v>
      </c>
      <c r="Q1612">
        <v>1</v>
      </c>
      <c r="R1612" s="4">
        <v>3249.24</v>
      </c>
      <c r="S1612" t="str">
        <f t="shared" si="125"/>
        <v>PZ: Alta Crit.</v>
      </c>
      <c r="T1612">
        <f t="shared" si="126"/>
        <v>0</v>
      </c>
      <c r="U1612">
        <f t="shared" si="127"/>
        <v>1</v>
      </c>
      <c r="V1612">
        <f t="shared" si="128"/>
        <v>0</v>
      </c>
      <c r="W1612">
        <f t="shared" si="129"/>
        <v>1</v>
      </c>
      <c r="X1612">
        <v>1</v>
      </c>
      <c r="Y1612" s="2">
        <v>45768</v>
      </c>
      <c r="Z1612" s="3" t="s">
        <v>70</v>
      </c>
      <c r="AA1612" t="s">
        <v>39</v>
      </c>
      <c r="AB1612" t="s">
        <v>40</v>
      </c>
      <c r="AC1612" t="s">
        <v>40</v>
      </c>
      <c r="AD1612" t="s">
        <v>391</v>
      </c>
    </row>
    <row r="1613" spans="2:30">
      <c r="B1613">
        <v>1</v>
      </c>
      <c r="C1613">
        <v>1020</v>
      </c>
      <c r="D1613" t="s">
        <v>181</v>
      </c>
      <c r="E1613">
        <v>10149003</v>
      </c>
      <c r="F1613" t="s">
        <v>1708</v>
      </c>
      <c r="G1613" t="s">
        <v>52</v>
      </c>
      <c r="H1613" t="s">
        <v>60</v>
      </c>
      <c r="I1613" t="s">
        <v>33</v>
      </c>
      <c r="J1613" t="s">
        <v>45</v>
      </c>
      <c r="K1613" t="s">
        <v>35</v>
      </c>
      <c r="L1613" t="s">
        <v>36</v>
      </c>
      <c r="M1613" t="s">
        <v>69</v>
      </c>
      <c r="N1613">
        <v>1</v>
      </c>
      <c r="O1613">
        <v>1</v>
      </c>
      <c r="P1613">
        <v>0</v>
      </c>
      <c r="Q1613">
        <v>0</v>
      </c>
      <c r="R1613" s="4">
        <v>1956.7</v>
      </c>
      <c r="S1613" t="str">
        <f t="shared" si="125"/>
        <v>PZ: Alta Crit.</v>
      </c>
      <c r="T1613">
        <f t="shared" si="126"/>
        <v>1</v>
      </c>
      <c r="U1613">
        <f t="shared" si="127"/>
        <v>0</v>
      </c>
      <c r="V1613">
        <f t="shared" si="128"/>
        <v>0</v>
      </c>
      <c r="W1613">
        <f t="shared" si="129"/>
        <v>0</v>
      </c>
      <c r="X1613">
        <v>1</v>
      </c>
      <c r="Y1613" s="2">
        <v>45768</v>
      </c>
      <c r="Z1613" s="3" t="s">
        <v>70</v>
      </c>
      <c r="AA1613" t="s">
        <v>39</v>
      </c>
      <c r="AB1613" t="s">
        <v>40</v>
      </c>
      <c r="AC1613" t="s">
        <v>40</v>
      </c>
      <c r="AD1613" t="s">
        <v>391</v>
      </c>
    </row>
    <row r="1614" spans="2:30">
      <c r="B1614">
        <v>1</v>
      </c>
      <c r="C1614">
        <v>1020</v>
      </c>
      <c r="D1614" t="s">
        <v>693</v>
      </c>
      <c r="E1614">
        <v>10150474</v>
      </c>
      <c r="F1614" t="s">
        <v>1709</v>
      </c>
      <c r="G1614" t="s">
        <v>43</v>
      </c>
      <c r="H1614" t="s">
        <v>32</v>
      </c>
      <c r="I1614" t="s">
        <v>695</v>
      </c>
      <c r="J1614" t="s">
        <v>45</v>
      </c>
      <c r="K1614" t="s">
        <v>35</v>
      </c>
      <c r="L1614" t="s">
        <v>175</v>
      </c>
      <c r="M1614" t="s">
        <v>46</v>
      </c>
      <c r="N1614">
        <v>0</v>
      </c>
      <c r="O1614">
        <v>0</v>
      </c>
      <c r="P1614">
        <v>0</v>
      </c>
      <c r="Q1614">
        <v>3</v>
      </c>
      <c r="R1614">
        <v>953.57</v>
      </c>
      <c r="S1614" t="str">
        <f t="shared" si="125"/>
        <v>PY: Media Crit.</v>
      </c>
      <c r="T1614">
        <f t="shared" si="126"/>
        <v>0</v>
      </c>
      <c r="U1614">
        <f t="shared" si="127"/>
        <v>0</v>
      </c>
      <c r="V1614">
        <f t="shared" si="128"/>
        <v>0</v>
      </c>
      <c r="W1614">
        <f t="shared" si="129"/>
        <v>1</v>
      </c>
      <c r="X1614">
        <v>1</v>
      </c>
      <c r="Y1614" s="2">
        <v>45768</v>
      </c>
      <c r="Z1614" s="3" t="s">
        <v>47</v>
      </c>
      <c r="AA1614" t="s">
        <v>39</v>
      </c>
      <c r="AB1614" t="s">
        <v>40</v>
      </c>
      <c r="AC1614" t="s">
        <v>40</v>
      </c>
      <c r="AD1614" t="s">
        <v>696</v>
      </c>
    </row>
    <row r="1615" spans="2:30">
      <c r="B1615">
        <v>1</v>
      </c>
      <c r="C1615">
        <v>1020</v>
      </c>
      <c r="D1615" t="s">
        <v>388</v>
      </c>
      <c r="E1615">
        <v>10151123</v>
      </c>
      <c r="F1615" t="s">
        <v>1710</v>
      </c>
      <c r="G1615" t="s">
        <v>43</v>
      </c>
      <c r="H1615" t="s">
        <v>32</v>
      </c>
      <c r="I1615" t="s">
        <v>390</v>
      </c>
      <c r="J1615" t="s">
        <v>45</v>
      </c>
      <c r="K1615" t="s">
        <v>35</v>
      </c>
      <c r="L1615" t="s">
        <v>175</v>
      </c>
      <c r="M1615" t="s">
        <v>46</v>
      </c>
      <c r="N1615">
        <v>0</v>
      </c>
      <c r="O1615">
        <v>0</v>
      </c>
      <c r="P1615">
        <v>2</v>
      </c>
      <c r="Q1615">
        <v>2</v>
      </c>
      <c r="R1615">
        <v>807.89</v>
      </c>
      <c r="S1615" t="str">
        <f t="shared" si="125"/>
        <v>PY: Media Crit.</v>
      </c>
      <c r="T1615">
        <f t="shared" si="126"/>
        <v>0</v>
      </c>
      <c r="U1615">
        <f t="shared" si="127"/>
        <v>1</v>
      </c>
      <c r="V1615">
        <f t="shared" si="128"/>
        <v>0</v>
      </c>
      <c r="W1615">
        <f t="shared" si="129"/>
        <v>1</v>
      </c>
      <c r="X1615">
        <v>1</v>
      </c>
      <c r="Y1615" s="2">
        <v>45768</v>
      </c>
      <c r="Z1615" s="3" t="s">
        <v>47</v>
      </c>
      <c r="AA1615" t="s">
        <v>39</v>
      </c>
      <c r="AB1615" t="s">
        <v>40</v>
      </c>
      <c r="AC1615" t="s">
        <v>40</v>
      </c>
      <c r="AD1615" t="s">
        <v>391</v>
      </c>
    </row>
    <row r="1616" spans="2:30">
      <c r="B1616">
        <v>1</v>
      </c>
      <c r="C1616">
        <v>1020</v>
      </c>
      <c r="D1616" t="s">
        <v>181</v>
      </c>
      <c r="E1616">
        <v>10152235</v>
      </c>
      <c r="F1616" t="s">
        <v>1711</v>
      </c>
      <c r="G1616" t="s">
        <v>43</v>
      </c>
      <c r="H1616" t="s">
        <v>32</v>
      </c>
      <c r="I1616" t="s">
        <v>183</v>
      </c>
      <c r="J1616" t="s">
        <v>45</v>
      </c>
      <c r="K1616" t="s">
        <v>35</v>
      </c>
      <c r="L1616" t="s">
        <v>36</v>
      </c>
      <c r="M1616" t="s">
        <v>46</v>
      </c>
      <c r="N1616">
        <v>4</v>
      </c>
      <c r="O1616">
        <v>2</v>
      </c>
      <c r="P1616">
        <v>0</v>
      </c>
      <c r="Q1616">
        <v>4</v>
      </c>
      <c r="R1616">
        <v>654.1</v>
      </c>
      <c r="S1616" t="str">
        <f t="shared" si="125"/>
        <v>PY: Media Crit.</v>
      </c>
      <c r="T1616">
        <f t="shared" si="126"/>
        <v>0</v>
      </c>
      <c r="U1616">
        <f t="shared" si="127"/>
        <v>0</v>
      </c>
      <c r="V1616">
        <f t="shared" si="128"/>
        <v>1</v>
      </c>
      <c r="W1616">
        <f t="shared" si="129"/>
        <v>0</v>
      </c>
      <c r="X1616">
        <v>1</v>
      </c>
      <c r="Y1616" s="2">
        <v>45768</v>
      </c>
      <c r="Z1616" s="3" t="s">
        <v>47</v>
      </c>
      <c r="AA1616" t="s">
        <v>39</v>
      </c>
      <c r="AB1616" t="s">
        <v>40</v>
      </c>
      <c r="AC1616" t="s">
        <v>40</v>
      </c>
      <c r="AD1616" t="s">
        <v>184</v>
      </c>
    </row>
    <row r="1617" spans="2:30">
      <c r="B1617">
        <v>1</v>
      </c>
      <c r="C1617">
        <v>1020</v>
      </c>
      <c r="D1617" t="s">
        <v>388</v>
      </c>
      <c r="E1617">
        <v>10152346</v>
      </c>
      <c r="F1617" t="s">
        <v>1712</v>
      </c>
      <c r="G1617" t="s">
        <v>31</v>
      </c>
      <c r="H1617" t="s">
        <v>44</v>
      </c>
      <c r="I1617" t="s">
        <v>390</v>
      </c>
      <c r="J1617" t="s">
        <v>45</v>
      </c>
      <c r="K1617" t="s">
        <v>35</v>
      </c>
      <c r="L1617" t="s">
        <v>175</v>
      </c>
      <c r="M1617" t="s">
        <v>46</v>
      </c>
      <c r="N1617">
        <v>0</v>
      </c>
      <c r="O1617">
        <v>0</v>
      </c>
      <c r="P1617">
        <v>2</v>
      </c>
      <c r="Q1617">
        <v>2</v>
      </c>
      <c r="R1617">
        <v>456.06</v>
      </c>
      <c r="S1617" t="str">
        <f t="shared" si="125"/>
        <v>PX: Baja Crit.</v>
      </c>
      <c r="T1617">
        <f t="shared" si="126"/>
        <v>0</v>
      </c>
      <c r="U1617">
        <f t="shared" si="127"/>
        <v>1</v>
      </c>
      <c r="V1617">
        <f t="shared" si="128"/>
        <v>0</v>
      </c>
      <c r="W1617">
        <f t="shared" si="129"/>
        <v>1</v>
      </c>
      <c r="X1617">
        <v>1</v>
      </c>
      <c r="Y1617" s="2">
        <v>45768</v>
      </c>
      <c r="Z1617" s="3" t="s">
        <v>47</v>
      </c>
      <c r="AA1617" t="s">
        <v>39</v>
      </c>
      <c r="AB1617" t="s">
        <v>40</v>
      </c>
      <c r="AC1617" t="s">
        <v>40</v>
      </c>
      <c r="AD1617" t="s">
        <v>391</v>
      </c>
    </row>
    <row r="1618" spans="2:30">
      <c r="B1618">
        <v>1</v>
      </c>
      <c r="C1618">
        <v>1020</v>
      </c>
      <c r="D1618" t="s">
        <v>181</v>
      </c>
      <c r="E1618">
        <v>10165562</v>
      </c>
      <c r="F1618" t="s">
        <v>1713</v>
      </c>
      <c r="G1618" t="s">
        <v>43</v>
      </c>
      <c r="H1618" t="s">
        <v>32</v>
      </c>
      <c r="I1618" t="s">
        <v>183</v>
      </c>
      <c r="J1618" t="s">
        <v>45</v>
      </c>
      <c r="K1618" t="s">
        <v>35</v>
      </c>
      <c r="L1618" t="s">
        <v>36</v>
      </c>
      <c r="M1618" t="s">
        <v>46</v>
      </c>
      <c r="N1618">
        <v>2</v>
      </c>
      <c r="O1618">
        <v>2</v>
      </c>
      <c r="P1618">
        <v>1</v>
      </c>
      <c r="Q1618">
        <v>2</v>
      </c>
      <c r="R1618" s="4">
        <v>1002.01</v>
      </c>
      <c r="S1618" t="str">
        <f t="shared" si="125"/>
        <v>PY: Media Crit.</v>
      </c>
      <c r="T1618">
        <f t="shared" si="126"/>
        <v>0</v>
      </c>
      <c r="U1618">
        <f t="shared" si="127"/>
        <v>0</v>
      </c>
      <c r="V1618">
        <f t="shared" si="128"/>
        <v>1</v>
      </c>
      <c r="W1618">
        <f t="shared" si="129"/>
        <v>0</v>
      </c>
      <c r="X1618">
        <v>1</v>
      </c>
      <c r="Y1618" s="2">
        <v>45768</v>
      </c>
      <c r="Z1618" s="3" t="s">
        <v>47</v>
      </c>
      <c r="AA1618" t="s">
        <v>39</v>
      </c>
      <c r="AB1618" t="s">
        <v>40</v>
      </c>
      <c r="AC1618" t="s">
        <v>40</v>
      </c>
      <c r="AD1618" t="s">
        <v>184</v>
      </c>
    </row>
    <row r="1619" spans="2:30">
      <c r="B1619">
        <v>1</v>
      </c>
      <c r="C1619">
        <v>1020</v>
      </c>
      <c r="D1619" t="s">
        <v>693</v>
      </c>
      <c r="E1619">
        <v>10169024</v>
      </c>
      <c r="F1619" t="s">
        <v>1714</v>
      </c>
      <c r="G1619" t="s">
        <v>43</v>
      </c>
      <c r="H1619" t="s">
        <v>32</v>
      </c>
      <c r="I1619" t="s">
        <v>695</v>
      </c>
      <c r="J1619" t="s">
        <v>45</v>
      </c>
      <c r="K1619" t="s">
        <v>35</v>
      </c>
      <c r="L1619" t="s">
        <v>175</v>
      </c>
      <c r="M1619" t="s">
        <v>37</v>
      </c>
      <c r="N1619">
        <v>0</v>
      </c>
      <c r="O1619">
        <v>0</v>
      </c>
      <c r="P1619">
        <v>0</v>
      </c>
      <c r="Q1619">
        <v>0</v>
      </c>
      <c r="R1619">
        <v>0</v>
      </c>
      <c r="S1619" t="str">
        <f t="shared" si="125"/>
        <v>PY: Media Crit.</v>
      </c>
      <c r="T1619">
        <f t="shared" si="126"/>
        <v>1</v>
      </c>
      <c r="U1619">
        <f t="shared" si="127"/>
        <v>0</v>
      </c>
      <c r="V1619">
        <f t="shared" si="128"/>
        <v>0</v>
      </c>
      <c r="W1619">
        <f t="shared" si="129"/>
        <v>0</v>
      </c>
      <c r="X1619">
        <v>1</v>
      </c>
      <c r="Y1619" s="2">
        <v>45768</v>
      </c>
      <c r="Z1619" s="3" t="s">
        <v>38</v>
      </c>
      <c r="AA1619" t="s">
        <v>39</v>
      </c>
      <c r="AB1619" t="s">
        <v>40</v>
      </c>
      <c r="AC1619" t="s">
        <v>40</v>
      </c>
      <c r="AD1619" t="s">
        <v>696</v>
      </c>
    </row>
    <row r="1620" spans="2:30">
      <c r="B1620">
        <v>1</v>
      </c>
      <c r="C1620">
        <v>1020</v>
      </c>
      <c r="D1620" t="s">
        <v>181</v>
      </c>
      <c r="E1620">
        <v>10192176</v>
      </c>
      <c r="F1620" t="s">
        <v>1715</v>
      </c>
      <c r="G1620" t="s">
        <v>52</v>
      </c>
      <c r="H1620" t="s">
        <v>44</v>
      </c>
      <c r="I1620" t="s">
        <v>183</v>
      </c>
      <c r="J1620" t="s">
        <v>45</v>
      </c>
      <c r="K1620" t="s">
        <v>35</v>
      </c>
      <c r="L1620" t="s">
        <v>36</v>
      </c>
      <c r="M1620" t="s">
        <v>117</v>
      </c>
      <c r="N1620">
        <v>4</v>
      </c>
      <c r="O1620">
        <v>3</v>
      </c>
      <c r="P1620">
        <v>1</v>
      </c>
      <c r="Q1620">
        <v>5</v>
      </c>
      <c r="R1620" s="4">
        <v>10940.69</v>
      </c>
      <c r="S1620" t="str">
        <f t="shared" si="125"/>
        <v>PZ: Alta Crit.</v>
      </c>
      <c r="T1620">
        <f t="shared" si="126"/>
        <v>0</v>
      </c>
      <c r="U1620">
        <f t="shared" si="127"/>
        <v>0</v>
      </c>
      <c r="V1620">
        <f t="shared" si="128"/>
        <v>0</v>
      </c>
      <c r="W1620">
        <f t="shared" si="129"/>
        <v>1</v>
      </c>
      <c r="X1620">
        <v>1</v>
      </c>
      <c r="Y1620" s="2">
        <v>45768</v>
      </c>
      <c r="Z1620" s="3" t="s">
        <v>118</v>
      </c>
      <c r="AA1620" t="s">
        <v>39</v>
      </c>
      <c r="AB1620" t="s">
        <v>40</v>
      </c>
      <c r="AC1620" t="s">
        <v>40</v>
      </c>
      <c r="AD1620" t="s">
        <v>184</v>
      </c>
    </row>
    <row r="1621" spans="2:30">
      <c r="B1621">
        <v>1</v>
      </c>
      <c r="C1621">
        <v>1020</v>
      </c>
      <c r="D1621" t="s">
        <v>181</v>
      </c>
      <c r="E1621">
        <v>10196778</v>
      </c>
      <c r="F1621" t="s">
        <v>1716</v>
      </c>
      <c r="G1621" t="s">
        <v>52</v>
      </c>
      <c r="H1621" t="s">
        <v>44</v>
      </c>
      <c r="I1621" t="s">
        <v>183</v>
      </c>
      <c r="J1621" t="s">
        <v>45</v>
      </c>
      <c r="K1621" t="s">
        <v>35</v>
      </c>
      <c r="L1621" t="s">
        <v>36</v>
      </c>
      <c r="M1621" t="s">
        <v>46</v>
      </c>
      <c r="N1621">
        <v>5</v>
      </c>
      <c r="O1621">
        <v>3</v>
      </c>
      <c r="P1621">
        <v>0</v>
      </c>
      <c r="Q1621">
        <v>3</v>
      </c>
      <c r="R1621">
        <v>0</v>
      </c>
      <c r="S1621" t="str">
        <f t="shared" si="125"/>
        <v>PZ: Alta Crit.</v>
      </c>
      <c r="T1621">
        <f t="shared" si="126"/>
        <v>0</v>
      </c>
      <c r="U1621">
        <f t="shared" si="127"/>
        <v>0</v>
      </c>
      <c r="V1621">
        <f t="shared" si="128"/>
        <v>1</v>
      </c>
      <c r="W1621">
        <f t="shared" si="129"/>
        <v>0</v>
      </c>
      <c r="X1621">
        <v>1</v>
      </c>
      <c r="Y1621" s="2">
        <v>45768</v>
      </c>
      <c r="Z1621" s="3" t="s">
        <v>47</v>
      </c>
      <c r="AA1621" t="s">
        <v>39</v>
      </c>
      <c r="AB1621" t="s">
        <v>40</v>
      </c>
      <c r="AC1621" t="s">
        <v>40</v>
      </c>
      <c r="AD1621" t="s">
        <v>184</v>
      </c>
    </row>
    <row r="1622" spans="2:30">
      <c r="B1622">
        <v>1</v>
      </c>
      <c r="C1622">
        <v>1020</v>
      </c>
      <c r="D1622" t="s">
        <v>388</v>
      </c>
      <c r="E1622">
        <v>10275779</v>
      </c>
      <c r="F1622" t="s">
        <v>1717</v>
      </c>
      <c r="G1622" t="s">
        <v>52</v>
      </c>
      <c r="H1622" t="s">
        <v>32</v>
      </c>
      <c r="I1622" t="s">
        <v>390</v>
      </c>
      <c r="J1622" t="s">
        <v>45</v>
      </c>
      <c r="K1622" t="s">
        <v>35</v>
      </c>
      <c r="L1622" t="s">
        <v>175</v>
      </c>
      <c r="M1622" t="s">
        <v>69</v>
      </c>
      <c r="N1622">
        <v>0</v>
      </c>
      <c r="O1622">
        <v>0</v>
      </c>
      <c r="P1622">
        <v>1</v>
      </c>
      <c r="Q1622">
        <v>0</v>
      </c>
      <c r="R1622">
        <v>0</v>
      </c>
      <c r="S1622" t="str">
        <f t="shared" si="125"/>
        <v>PZ: Alta Crit.</v>
      </c>
      <c r="T1622">
        <f t="shared" si="126"/>
        <v>1</v>
      </c>
      <c r="U1622">
        <f t="shared" si="127"/>
        <v>0</v>
      </c>
      <c r="V1622">
        <f t="shared" si="128"/>
        <v>0</v>
      </c>
      <c r="W1622">
        <f t="shared" si="129"/>
        <v>0</v>
      </c>
      <c r="X1622">
        <v>1</v>
      </c>
      <c r="Y1622" s="2">
        <v>45768</v>
      </c>
      <c r="Z1622" s="3" t="s">
        <v>70</v>
      </c>
      <c r="AA1622" t="s">
        <v>39</v>
      </c>
      <c r="AB1622" t="s">
        <v>76</v>
      </c>
      <c r="AC1622" s="5" t="s">
        <v>77</v>
      </c>
      <c r="AD1622" t="s">
        <v>391</v>
      </c>
    </row>
    <row r="1623" spans="2:30">
      <c r="B1623">
        <v>1</v>
      </c>
      <c r="C1623">
        <v>1020</v>
      </c>
      <c r="D1623" t="s">
        <v>384</v>
      </c>
      <c r="E1623">
        <v>10284547</v>
      </c>
      <c r="F1623" t="s">
        <v>1718</v>
      </c>
      <c r="G1623" t="s">
        <v>52</v>
      </c>
      <c r="H1623" t="s">
        <v>32</v>
      </c>
      <c r="I1623" t="s">
        <v>386</v>
      </c>
      <c r="J1623" t="s">
        <v>45</v>
      </c>
      <c r="K1623" t="s">
        <v>35</v>
      </c>
      <c r="L1623" t="s">
        <v>175</v>
      </c>
      <c r="M1623" t="s">
        <v>46</v>
      </c>
      <c r="N1623">
        <v>0</v>
      </c>
      <c r="O1623">
        <v>0</v>
      </c>
      <c r="P1623">
        <v>0</v>
      </c>
      <c r="Q1623">
        <v>0</v>
      </c>
      <c r="R1623">
        <v>0</v>
      </c>
      <c r="S1623" t="str">
        <f t="shared" si="125"/>
        <v>PZ: Alta Crit.</v>
      </c>
      <c r="T1623">
        <f t="shared" si="126"/>
        <v>1</v>
      </c>
      <c r="U1623">
        <f t="shared" si="127"/>
        <v>0</v>
      </c>
      <c r="V1623">
        <f t="shared" si="128"/>
        <v>0</v>
      </c>
      <c r="W1623">
        <f t="shared" si="129"/>
        <v>0</v>
      </c>
      <c r="X1623">
        <v>1</v>
      </c>
      <c r="Y1623" s="2">
        <v>45768</v>
      </c>
      <c r="Z1623" s="3" t="s">
        <v>47</v>
      </c>
      <c r="AA1623" t="s">
        <v>39</v>
      </c>
      <c r="AB1623" t="s">
        <v>40</v>
      </c>
      <c r="AC1623" t="s">
        <v>40</v>
      </c>
      <c r="AD1623" t="s">
        <v>387</v>
      </c>
    </row>
    <row r="1624" spans="2:30">
      <c r="B1624">
        <v>1</v>
      </c>
      <c r="C1624">
        <v>1020</v>
      </c>
      <c r="D1624" t="s">
        <v>181</v>
      </c>
      <c r="E1624">
        <v>10291731</v>
      </c>
      <c r="F1624" t="s">
        <v>1719</v>
      </c>
      <c r="G1624" t="s">
        <v>43</v>
      </c>
      <c r="H1624" t="s">
        <v>32</v>
      </c>
      <c r="I1624" t="s">
        <v>183</v>
      </c>
      <c r="J1624" t="s">
        <v>45</v>
      </c>
      <c r="K1624" t="s">
        <v>35</v>
      </c>
      <c r="L1624" t="s">
        <v>36</v>
      </c>
      <c r="M1624" t="s">
        <v>37</v>
      </c>
      <c r="N1624">
        <v>8</v>
      </c>
      <c r="O1624">
        <v>6</v>
      </c>
      <c r="P1624">
        <v>3</v>
      </c>
      <c r="Q1624">
        <v>4</v>
      </c>
      <c r="R1624">
        <v>0</v>
      </c>
      <c r="S1624" t="str">
        <f t="shared" si="125"/>
        <v>PY: Media Crit.</v>
      </c>
      <c r="T1624">
        <f t="shared" si="126"/>
        <v>0</v>
      </c>
      <c r="U1624">
        <f t="shared" si="127"/>
        <v>0</v>
      </c>
      <c r="V1624">
        <f t="shared" si="128"/>
        <v>1</v>
      </c>
      <c r="W1624">
        <f t="shared" si="129"/>
        <v>0</v>
      </c>
      <c r="X1624">
        <v>1</v>
      </c>
      <c r="Y1624" s="2">
        <v>45768</v>
      </c>
      <c r="Z1624" s="3" t="s">
        <v>38</v>
      </c>
      <c r="AA1624" t="s">
        <v>39</v>
      </c>
      <c r="AB1624" t="s">
        <v>49</v>
      </c>
      <c r="AC1624" s="5" t="s">
        <v>50</v>
      </c>
      <c r="AD1624" t="s">
        <v>184</v>
      </c>
    </row>
    <row r="1625" spans="2:30">
      <c r="B1625">
        <v>1</v>
      </c>
      <c r="C1625">
        <v>1020</v>
      </c>
      <c r="D1625" t="s">
        <v>181</v>
      </c>
      <c r="E1625">
        <v>10291801</v>
      </c>
      <c r="F1625" t="s">
        <v>1720</v>
      </c>
      <c r="G1625" t="s">
        <v>43</v>
      </c>
      <c r="H1625" t="s">
        <v>32</v>
      </c>
      <c r="I1625" t="s">
        <v>183</v>
      </c>
      <c r="J1625" t="s">
        <v>45</v>
      </c>
      <c r="K1625" t="s">
        <v>252</v>
      </c>
      <c r="L1625" t="s">
        <v>36</v>
      </c>
      <c r="M1625" t="s">
        <v>46</v>
      </c>
      <c r="N1625">
        <v>20</v>
      </c>
      <c r="O1625">
        <v>20</v>
      </c>
      <c r="P1625">
        <v>0</v>
      </c>
      <c r="Q1625">
        <v>50</v>
      </c>
      <c r="R1625" s="4">
        <v>1810.64</v>
      </c>
      <c r="S1625" t="str">
        <f t="shared" si="125"/>
        <v>PY: Media Crit.</v>
      </c>
      <c r="T1625">
        <f t="shared" si="126"/>
        <v>0</v>
      </c>
      <c r="U1625">
        <f t="shared" si="127"/>
        <v>0</v>
      </c>
      <c r="V1625">
        <f t="shared" si="128"/>
        <v>0</v>
      </c>
      <c r="W1625">
        <f t="shared" si="129"/>
        <v>1</v>
      </c>
      <c r="X1625">
        <v>1</v>
      </c>
      <c r="Y1625" s="2">
        <v>45768</v>
      </c>
      <c r="Z1625" s="3" t="s">
        <v>47</v>
      </c>
      <c r="AA1625" t="s">
        <v>39</v>
      </c>
      <c r="AB1625" t="s">
        <v>40</v>
      </c>
      <c r="AC1625" t="s">
        <v>40</v>
      </c>
      <c r="AD1625" t="s">
        <v>184</v>
      </c>
    </row>
    <row r="1626" spans="2:30">
      <c r="B1626">
        <v>1</v>
      </c>
      <c r="C1626">
        <v>1020</v>
      </c>
      <c r="D1626" t="s">
        <v>181</v>
      </c>
      <c r="E1626">
        <v>10292062</v>
      </c>
      <c r="F1626" t="s">
        <v>1721</v>
      </c>
      <c r="G1626" t="s">
        <v>43</v>
      </c>
      <c r="H1626" t="s">
        <v>32</v>
      </c>
      <c r="I1626" t="s">
        <v>183</v>
      </c>
      <c r="J1626" t="s">
        <v>45</v>
      </c>
      <c r="K1626" t="s">
        <v>35</v>
      </c>
      <c r="L1626" t="s">
        <v>36</v>
      </c>
      <c r="M1626" t="s">
        <v>37</v>
      </c>
      <c r="N1626">
        <v>3</v>
      </c>
      <c r="O1626">
        <v>3</v>
      </c>
      <c r="P1626">
        <v>1</v>
      </c>
      <c r="Q1626">
        <v>5</v>
      </c>
      <c r="R1626" s="4">
        <v>1322.86</v>
      </c>
      <c r="S1626" t="str">
        <f t="shared" si="125"/>
        <v>PY: Media Crit.</v>
      </c>
      <c r="T1626">
        <f t="shared" si="126"/>
        <v>0</v>
      </c>
      <c r="U1626">
        <f t="shared" si="127"/>
        <v>0</v>
      </c>
      <c r="V1626">
        <f t="shared" si="128"/>
        <v>0</v>
      </c>
      <c r="W1626">
        <f t="shared" si="129"/>
        <v>1</v>
      </c>
      <c r="X1626">
        <v>1</v>
      </c>
      <c r="Y1626" s="2">
        <v>45768</v>
      </c>
      <c r="Z1626" s="3" t="s">
        <v>38</v>
      </c>
      <c r="AA1626" t="s">
        <v>39</v>
      </c>
      <c r="AB1626" t="s">
        <v>40</v>
      </c>
      <c r="AC1626" t="s">
        <v>40</v>
      </c>
      <c r="AD1626" t="s">
        <v>184</v>
      </c>
    </row>
    <row r="1627" spans="2:30">
      <c r="B1627">
        <v>1</v>
      </c>
      <c r="C1627">
        <v>1020</v>
      </c>
      <c r="D1627" t="s">
        <v>181</v>
      </c>
      <c r="E1627">
        <v>10293107</v>
      </c>
      <c r="F1627" t="s">
        <v>1722</v>
      </c>
      <c r="G1627" t="s">
        <v>52</v>
      </c>
      <c r="H1627" t="s">
        <v>32</v>
      </c>
      <c r="I1627" t="s">
        <v>183</v>
      </c>
      <c r="J1627" t="s">
        <v>45</v>
      </c>
      <c r="K1627" t="s">
        <v>35</v>
      </c>
      <c r="L1627" t="s">
        <v>36</v>
      </c>
      <c r="M1627" t="s">
        <v>46</v>
      </c>
      <c r="N1627">
        <v>5</v>
      </c>
      <c r="O1627">
        <v>3</v>
      </c>
      <c r="P1627">
        <v>0</v>
      </c>
      <c r="Q1627">
        <v>5</v>
      </c>
      <c r="R1627" s="4">
        <v>5365.05</v>
      </c>
      <c r="S1627" t="str">
        <f t="shared" si="125"/>
        <v>PZ: Alta Crit.</v>
      </c>
      <c r="T1627">
        <f t="shared" si="126"/>
        <v>0</v>
      </c>
      <c r="U1627">
        <f t="shared" si="127"/>
        <v>0</v>
      </c>
      <c r="V1627">
        <f t="shared" si="128"/>
        <v>1</v>
      </c>
      <c r="W1627">
        <f t="shared" si="129"/>
        <v>0</v>
      </c>
      <c r="X1627">
        <v>1</v>
      </c>
      <c r="Y1627" s="2">
        <v>45768</v>
      </c>
      <c r="Z1627" s="3" t="s">
        <v>47</v>
      </c>
      <c r="AA1627" t="s">
        <v>39</v>
      </c>
      <c r="AB1627" t="s">
        <v>76</v>
      </c>
      <c r="AC1627" s="5" t="s">
        <v>77</v>
      </c>
      <c r="AD1627" t="s">
        <v>184</v>
      </c>
    </row>
    <row r="1628" spans="2:30">
      <c r="B1628">
        <v>1</v>
      </c>
      <c r="C1628">
        <v>1020</v>
      </c>
      <c r="D1628" t="s">
        <v>388</v>
      </c>
      <c r="E1628">
        <v>10293123</v>
      </c>
      <c r="F1628" t="s">
        <v>1723</v>
      </c>
      <c r="G1628" t="s">
        <v>52</v>
      </c>
      <c r="H1628" t="s">
        <v>32</v>
      </c>
      <c r="I1628" t="s">
        <v>390</v>
      </c>
      <c r="J1628" t="s">
        <v>45</v>
      </c>
      <c r="K1628" t="s">
        <v>35</v>
      </c>
      <c r="L1628" t="s">
        <v>175</v>
      </c>
      <c r="M1628" t="s">
        <v>69</v>
      </c>
      <c r="N1628">
        <v>0</v>
      </c>
      <c r="O1628">
        <v>0</v>
      </c>
      <c r="P1628">
        <v>1</v>
      </c>
      <c r="Q1628">
        <v>0</v>
      </c>
      <c r="R1628">
        <v>0</v>
      </c>
      <c r="S1628" t="str">
        <f t="shared" si="125"/>
        <v>PZ: Alta Crit.</v>
      </c>
      <c r="T1628">
        <f t="shared" si="126"/>
        <v>1</v>
      </c>
      <c r="U1628">
        <f t="shared" si="127"/>
        <v>0</v>
      </c>
      <c r="V1628">
        <f t="shared" si="128"/>
        <v>0</v>
      </c>
      <c r="W1628">
        <f t="shared" si="129"/>
        <v>0</v>
      </c>
      <c r="X1628">
        <v>1</v>
      </c>
      <c r="Y1628" s="2">
        <v>45768</v>
      </c>
      <c r="Z1628" s="3" t="s">
        <v>70</v>
      </c>
      <c r="AA1628" t="s">
        <v>39</v>
      </c>
      <c r="AB1628" t="s">
        <v>49</v>
      </c>
      <c r="AC1628" s="5" t="s">
        <v>50</v>
      </c>
      <c r="AD1628" t="s">
        <v>391</v>
      </c>
    </row>
    <row r="1629" spans="2:30">
      <c r="B1629">
        <v>1</v>
      </c>
      <c r="C1629">
        <v>1020</v>
      </c>
      <c r="D1629" t="s">
        <v>181</v>
      </c>
      <c r="E1629">
        <v>10293234</v>
      </c>
      <c r="F1629" t="s">
        <v>1724</v>
      </c>
      <c r="G1629" t="s">
        <v>31</v>
      </c>
      <c r="H1629" t="s">
        <v>32</v>
      </c>
      <c r="I1629" t="s">
        <v>183</v>
      </c>
      <c r="J1629" t="s">
        <v>45</v>
      </c>
      <c r="K1629" t="s">
        <v>35</v>
      </c>
      <c r="L1629" t="s">
        <v>36</v>
      </c>
      <c r="M1629" t="s">
        <v>69</v>
      </c>
      <c r="N1629">
        <v>5</v>
      </c>
      <c r="O1629">
        <v>5</v>
      </c>
      <c r="P1629">
        <v>0</v>
      </c>
      <c r="Q1629">
        <v>5</v>
      </c>
      <c r="R1629" s="4">
        <v>1503.34</v>
      </c>
      <c r="S1629" t="str">
        <f t="shared" si="125"/>
        <v>PX: Baja Crit.</v>
      </c>
      <c r="T1629">
        <f t="shared" si="126"/>
        <v>0</v>
      </c>
      <c r="U1629">
        <f t="shared" si="127"/>
        <v>0</v>
      </c>
      <c r="V1629">
        <f t="shared" si="128"/>
        <v>1</v>
      </c>
      <c r="W1629">
        <f t="shared" si="129"/>
        <v>0</v>
      </c>
      <c r="X1629">
        <v>1</v>
      </c>
      <c r="Y1629" s="2">
        <v>45768</v>
      </c>
      <c r="Z1629" s="3" t="s">
        <v>70</v>
      </c>
      <c r="AA1629" t="s">
        <v>39</v>
      </c>
      <c r="AB1629" t="s">
        <v>40</v>
      </c>
      <c r="AC1629" t="s">
        <v>40</v>
      </c>
      <c r="AD1629" t="s">
        <v>184</v>
      </c>
    </row>
    <row r="1630" spans="2:30">
      <c r="B1630">
        <v>1</v>
      </c>
      <c r="C1630">
        <v>1020</v>
      </c>
      <c r="D1630" t="s">
        <v>388</v>
      </c>
      <c r="E1630">
        <v>10293236</v>
      </c>
      <c r="F1630" t="s">
        <v>1725</v>
      </c>
      <c r="G1630" t="s">
        <v>31</v>
      </c>
      <c r="H1630" t="s">
        <v>32</v>
      </c>
      <c r="I1630" t="s">
        <v>390</v>
      </c>
      <c r="J1630" t="s">
        <v>45</v>
      </c>
      <c r="K1630" t="s">
        <v>35</v>
      </c>
      <c r="L1630" t="s">
        <v>175</v>
      </c>
      <c r="M1630" t="s">
        <v>69</v>
      </c>
      <c r="N1630">
        <v>0</v>
      </c>
      <c r="O1630">
        <v>0</v>
      </c>
      <c r="P1630">
        <v>1</v>
      </c>
      <c r="Q1630">
        <v>1</v>
      </c>
      <c r="R1630">
        <v>0</v>
      </c>
      <c r="S1630" t="str">
        <f t="shared" si="125"/>
        <v>PX: Baja Crit.</v>
      </c>
      <c r="T1630">
        <f t="shared" si="126"/>
        <v>0</v>
      </c>
      <c r="U1630">
        <f t="shared" si="127"/>
        <v>1</v>
      </c>
      <c r="V1630">
        <f t="shared" si="128"/>
        <v>0</v>
      </c>
      <c r="W1630">
        <f t="shared" si="129"/>
        <v>1</v>
      </c>
      <c r="X1630">
        <v>1</v>
      </c>
      <c r="Y1630" s="2">
        <v>45768</v>
      </c>
      <c r="Z1630" s="3" t="s">
        <v>70</v>
      </c>
      <c r="AA1630" t="s">
        <v>39</v>
      </c>
      <c r="AB1630" t="s">
        <v>40</v>
      </c>
      <c r="AC1630" t="s">
        <v>40</v>
      </c>
      <c r="AD1630" t="s">
        <v>391</v>
      </c>
    </row>
    <row r="1631" spans="2:30">
      <c r="B1631">
        <v>1</v>
      </c>
      <c r="C1631">
        <v>1020</v>
      </c>
      <c r="D1631" t="s">
        <v>181</v>
      </c>
      <c r="E1631">
        <v>10293259</v>
      </c>
      <c r="F1631" t="s">
        <v>1726</v>
      </c>
      <c r="G1631" t="s">
        <v>31</v>
      </c>
      <c r="H1631" t="s">
        <v>32</v>
      </c>
      <c r="I1631" t="s">
        <v>183</v>
      </c>
      <c r="J1631" t="s">
        <v>45</v>
      </c>
      <c r="K1631" t="s">
        <v>35</v>
      </c>
      <c r="L1631" t="s">
        <v>36</v>
      </c>
      <c r="M1631" t="s">
        <v>46</v>
      </c>
      <c r="N1631">
        <v>2</v>
      </c>
      <c r="O1631">
        <v>2</v>
      </c>
      <c r="P1631">
        <v>1</v>
      </c>
      <c r="Q1631">
        <v>4</v>
      </c>
      <c r="R1631" s="4">
        <v>27566.49</v>
      </c>
      <c r="S1631" t="str">
        <f t="shared" si="125"/>
        <v>PX: Baja Crit.</v>
      </c>
      <c r="T1631">
        <f t="shared" si="126"/>
        <v>0</v>
      </c>
      <c r="U1631">
        <f t="shared" si="127"/>
        <v>0</v>
      </c>
      <c r="V1631">
        <f t="shared" si="128"/>
        <v>0</v>
      </c>
      <c r="W1631">
        <f t="shared" si="129"/>
        <v>1</v>
      </c>
      <c r="X1631">
        <v>1</v>
      </c>
      <c r="Y1631" s="2">
        <v>45768</v>
      </c>
      <c r="Z1631" s="3" t="s">
        <v>47</v>
      </c>
      <c r="AA1631" t="s">
        <v>39</v>
      </c>
      <c r="AB1631" t="s">
        <v>40</v>
      </c>
      <c r="AC1631" t="s">
        <v>40</v>
      </c>
      <c r="AD1631" t="s">
        <v>184</v>
      </c>
    </row>
    <row r="1632" spans="2:30">
      <c r="B1632">
        <v>1</v>
      </c>
      <c r="C1632">
        <v>1020</v>
      </c>
      <c r="D1632" t="s">
        <v>181</v>
      </c>
      <c r="E1632">
        <v>10293284</v>
      </c>
      <c r="F1632" t="s">
        <v>1727</v>
      </c>
      <c r="G1632" t="s">
        <v>31</v>
      </c>
      <c r="H1632" t="s">
        <v>32</v>
      </c>
      <c r="I1632" t="s">
        <v>183</v>
      </c>
      <c r="J1632" t="s">
        <v>45</v>
      </c>
      <c r="K1632" t="s">
        <v>35</v>
      </c>
      <c r="L1632" t="s">
        <v>36</v>
      </c>
      <c r="M1632" t="s">
        <v>69</v>
      </c>
      <c r="N1632">
        <v>100</v>
      </c>
      <c r="O1632">
        <v>100</v>
      </c>
      <c r="P1632">
        <v>0</v>
      </c>
      <c r="Q1632">
        <v>100</v>
      </c>
      <c r="R1632" s="4">
        <v>4401.68</v>
      </c>
      <c r="S1632" t="str">
        <f t="shared" si="125"/>
        <v>PX: Baja Crit.</v>
      </c>
      <c r="T1632">
        <f t="shared" si="126"/>
        <v>0</v>
      </c>
      <c r="U1632">
        <f t="shared" si="127"/>
        <v>0</v>
      </c>
      <c r="V1632">
        <f t="shared" si="128"/>
        <v>1</v>
      </c>
      <c r="W1632">
        <f t="shared" si="129"/>
        <v>0</v>
      </c>
      <c r="X1632">
        <v>1</v>
      </c>
      <c r="Y1632" s="2">
        <v>45768</v>
      </c>
      <c r="Z1632" s="3" t="s">
        <v>70</v>
      </c>
      <c r="AA1632" t="s">
        <v>39</v>
      </c>
      <c r="AB1632" t="s">
        <v>40</v>
      </c>
      <c r="AC1632" t="s">
        <v>40</v>
      </c>
      <c r="AD1632" t="s">
        <v>184</v>
      </c>
    </row>
    <row r="1633" spans="2:30">
      <c r="B1633">
        <v>1</v>
      </c>
      <c r="C1633">
        <v>1020</v>
      </c>
      <c r="D1633" t="s">
        <v>388</v>
      </c>
      <c r="E1633">
        <v>10293320</v>
      </c>
      <c r="F1633" t="s">
        <v>1728</v>
      </c>
      <c r="G1633" t="s">
        <v>52</v>
      </c>
      <c r="H1633" t="s">
        <v>32</v>
      </c>
      <c r="I1633" t="s">
        <v>390</v>
      </c>
      <c r="J1633" t="s">
        <v>45</v>
      </c>
      <c r="K1633" t="s">
        <v>35</v>
      </c>
      <c r="L1633" t="s">
        <v>175</v>
      </c>
      <c r="M1633" t="s">
        <v>69</v>
      </c>
      <c r="N1633">
        <v>0</v>
      </c>
      <c r="O1633">
        <v>0</v>
      </c>
      <c r="P1633">
        <v>1</v>
      </c>
      <c r="Q1633">
        <v>0</v>
      </c>
      <c r="R1633">
        <v>0</v>
      </c>
      <c r="S1633" t="str">
        <f t="shared" si="125"/>
        <v>PZ: Alta Crit.</v>
      </c>
      <c r="T1633">
        <f t="shared" si="126"/>
        <v>1</v>
      </c>
      <c r="U1633">
        <f t="shared" si="127"/>
        <v>0</v>
      </c>
      <c r="V1633">
        <f t="shared" si="128"/>
        <v>0</v>
      </c>
      <c r="W1633">
        <f t="shared" si="129"/>
        <v>0</v>
      </c>
      <c r="X1633">
        <v>1</v>
      </c>
      <c r="Y1633" s="2">
        <v>45768</v>
      </c>
      <c r="Z1633" s="3" t="s">
        <v>70</v>
      </c>
      <c r="AA1633" t="s">
        <v>39</v>
      </c>
      <c r="AB1633" t="s">
        <v>49</v>
      </c>
      <c r="AC1633" s="5" t="s">
        <v>50</v>
      </c>
      <c r="AD1633" t="s">
        <v>391</v>
      </c>
    </row>
    <row r="1634" spans="2:30">
      <c r="B1634">
        <v>1</v>
      </c>
      <c r="C1634">
        <v>1020</v>
      </c>
      <c r="D1634" t="s">
        <v>388</v>
      </c>
      <c r="E1634">
        <v>10293325</v>
      </c>
      <c r="F1634" t="s">
        <v>1729</v>
      </c>
      <c r="G1634" t="s">
        <v>52</v>
      </c>
      <c r="H1634" t="s">
        <v>32</v>
      </c>
      <c r="I1634" t="s">
        <v>390</v>
      </c>
      <c r="J1634" t="s">
        <v>45</v>
      </c>
      <c r="K1634" t="s">
        <v>260</v>
      </c>
      <c r="L1634" t="s">
        <v>175</v>
      </c>
      <c r="M1634" t="s">
        <v>69</v>
      </c>
      <c r="N1634">
        <v>0</v>
      </c>
      <c r="O1634">
        <v>0</v>
      </c>
      <c r="P1634">
        <v>1</v>
      </c>
      <c r="Q1634">
        <v>0</v>
      </c>
      <c r="R1634">
        <v>0</v>
      </c>
      <c r="S1634" t="str">
        <f t="shared" si="125"/>
        <v>PZ: Alta Crit.</v>
      </c>
      <c r="T1634">
        <f t="shared" si="126"/>
        <v>1</v>
      </c>
      <c r="U1634">
        <f t="shared" si="127"/>
        <v>0</v>
      </c>
      <c r="V1634">
        <f t="shared" si="128"/>
        <v>0</v>
      </c>
      <c r="W1634">
        <f t="shared" si="129"/>
        <v>0</v>
      </c>
      <c r="X1634">
        <v>1</v>
      </c>
      <c r="Y1634" s="2">
        <v>45768</v>
      </c>
      <c r="Z1634" s="3" t="s">
        <v>70</v>
      </c>
      <c r="AA1634" t="s">
        <v>39</v>
      </c>
      <c r="AB1634" t="s">
        <v>49</v>
      </c>
      <c r="AC1634" s="5" t="s">
        <v>50</v>
      </c>
      <c r="AD1634" t="s">
        <v>391</v>
      </c>
    </row>
    <row r="1635" spans="2:30">
      <c r="B1635">
        <v>1</v>
      </c>
      <c r="C1635">
        <v>1020</v>
      </c>
      <c r="D1635" t="s">
        <v>388</v>
      </c>
      <c r="E1635">
        <v>10293640</v>
      </c>
      <c r="F1635" t="s">
        <v>1730</v>
      </c>
      <c r="G1635" t="s">
        <v>43</v>
      </c>
      <c r="H1635" t="s">
        <v>32</v>
      </c>
      <c r="I1635" t="s">
        <v>390</v>
      </c>
      <c r="J1635" t="s">
        <v>45</v>
      </c>
      <c r="K1635" t="s">
        <v>35</v>
      </c>
      <c r="L1635" t="s">
        <v>175</v>
      </c>
      <c r="M1635" t="s">
        <v>69</v>
      </c>
      <c r="N1635">
        <v>0</v>
      </c>
      <c r="O1635">
        <v>0</v>
      </c>
      <c r="P1635">
        <v>1</v>
      </c>
      <c r="Q1635">
        <v>1</v>
      </c>
      <c r="R1635" s="4">
        <v>4857.57</v>
      </c>
      <c r="S1635" t="str">
        <f t="shared" si="125"/>
        <v>PY: Media Crit.</v>
      </c>
      <c r="T1635">
        <f t="shared" si="126"/>
        <v>0</v>
      </c>
      <c r="U1635">
        <f t="shared" si="127"/>
        <v>1</v>
      </c>
      <c r="V1635">
        <f t="shared" si="128"/>
        <v>0</v>
      </c>
      <c r="W1635">
        <f t="shared" si="129"/>
        <v>1</v>
      </c>
      <c r="X1635">
        <v>1</v>
      </c>
      <c r="Y1635" s="2">
        <v>45768</v>
      </c>
      <c r="Z1635" s="3" t="s">
        <v>70</v>
      </c>
      <c r="AA1635" t="s">
        <v>39</v>
      </c>
      <c r="AB1635" t="s">
        <v>40</v>
      </c>
      <c r="AC1635" t="s">
        <v>40</v>
      </c>
      <c r="AD1635" t="s">
        <v>391</v>
      </c>
    </row>
    <row r="1636" spans="2:30">
      <c r="B1636">
        <v>1</v>
      </c>
      <c r="C1636">
        <v>1020</v>
      </c>
      <c r="D1636" t="s">
        <v>384</v>
      </c>
      <c r="E1636">
        <v>10293871</v>
      </c>
      <c r="F1636" t="s">
        <v>1731</v>
      </c>
      <c r="G1636" t="s">
        <v>43</v>
      </c>
      <c r="H1636" t="s">
        <v>32</v>
      </c>
      <c r="I1636" t="s">
        <v>386</v>
      </c>
      <c r="J1636" t="s">
        <v>45</v>
      </c>
      <c r="K1636" t="s">
        <v>35</v>
      </c>
      <c r="L1636" t="s">
        <v>175</v>
      </c>
      <c r="M1636" t="s">
        <v>69</v>
      </c>
      <c r="N1636">
        <v>0</v>
      </c>
      <c r="O1636">
        <v>0</v>
      </c>
      <c r="P1636">
        <v>0</v>
      </c>
      <c r="Q1636">
        <v>3</v>
      </c>
      <c r="R1636">
        <v>0</v>
      </c>
      <c r="S1636" t="str">
        <f t="shared" si="125"/>
        <v>PY: Media Crit.</v>
      </c>
      <c r="T1636">
        <f t="shared" si="126"/>
        <v>0</v>
      </c>
      <c r="U1636">
        <f t="shared" si="127"/>
        <v>0</v>
      </c>
      <c r="V1636">
        <f t="shared" si="128"/>
        <v>0</v>
      </c>
      <c r="W1636">
        <f t="shared" si="129"/>
        <v>1</v>
      </c>
      <c r="X1636">
        <v>1</v>
      </c>
      <c r="Y1636" s="2">
        <v>45768</v>
      </c>
      <c r="Z1636" s="3" t="s">
        <v>70</v>
      </c>
      <c r="AA1636" t="s">
        <v>39</v>
      </c>
      <c r="AB1636" t="s">
        <v>40</v>
      </c>
      <c r="AC1636" t="s">
        <v>40</v>
      </c>
      <c r="AD1636" t="s">
        <v>387</v>
      </c>
    </row>
    <row r="1637" spans="2:30">
      <c r="B1637">
        <v>1</v>
      </c>
      <c r="C1637">
        <v>1020</v>
      </c>
      <c r="D1637" t="s">
        <v>388</v>
      </c>
      <c r="E1637">
        <v>10293894</v>
      </c>
      <c r="F1637" t="s">
        <v>1732</v>
      </c>
      <c r="G1637" t="s">
        <v>52</v>
      </c>
      <c r="H1637" t="s">
        <v>32</v>
      </c>
      <c r="I1637" t="s">
        <v>390</v>
      </c>
      <c r="J1637" t="s">
        <v>45</v>
      </c>
      <c r="K1637" t="s">
        <v>35</v>
      </c>
      <c r="L1637" t="s">
        <v>175</v>
      </c>
      <c r="M1637" t="s">
        <v>117</v>
      </c>
      <c r="N1637">
        <v>0</v>
      </c>
      <c r="O1637">
        <v>0</v>
      </c>
      <c r="P1637">
        <v>1</v>
      </c>
      <c r="Q1637">
        <v>0</v>
      </c>
      <c r="R1637">
        <v>0</v>
      </c>
      <c r="S1637" t="str">
        <f t="shared" si="125"/>
        <v>PZ: Alta Crit.</v>
      </c>
      <c r="T1637">
        <f t="shared" si="126"/>
        <v>1</v>
      </c>
      <c r="U1637">
        <f t="shared" si="127"/>
        <v>0</v>
      </c>
      <c r="V1637">
        <f t="shared" si="128"/>
        <v>0</v>
      </c>
      <c r="W1637">
        <f t="shared" si="129"/>
        <v>0</v>
      </c>
      <c r="X1637">
        <v>1</v>
      </c>
      <c r="Y1637" s="2">
        <v>45768</v>
      </c>
      <c r="Z1637" s="3" t="s">
        <v>118</v>
      </c>
      <c r="AA1637" t="s">
        <v>39</v>
      </c>
      <c r="AB1637" t="s">
        <v>49</v>
      </c>
      <c r="AC1637" s="5" t="s">
        <v>50</v>
      </c>
      <c r="AD1637" t="s">
        <v>391</v>
      </c>
    </row>
    <row r="1638" spans="2:30">
      <c r="B1638">
        <v>1</v>
      </c>
      <c r="C1638">
        <v>1020</v>
      </c>
      <c r="D1638" t="s">
        <v>181</v>
      </c>
      <c r="E1638">
        <v>10294085</v>
      </c>
      <c r="F1638" t="s">
        <v>1733</v>
      </c>
      <c r="G1638" t="s">
        <v>43</v>
      </c>
      <c r="H1638" t="s">
        <v>32</v>
      </c>
      <c r="I1638" t="s">
        <v>183</v>
      </c>
      <c r="J1638" t="s">
        <v>45</v>
      </c>
      <c r="K1638" t="s">
        <v>35</v>
      </c>
      <c r="L1638" t="s">
        <v>36</v>
      </c>
      <c r="M1638" t="s">
        <v>37</v>
      </c>
      <c r="N1638">
        <v>1</v>
      </c>
      <c r="O1638">
        <v>1</v>
      </c>
      <c r="P1638">
        <v>0</v>
      </c>
      <c r="Q1638">
        <v>0</v>
      </c>
      <c r="R1638">
        <v>0</v>
      </c>
      <c r="S1638" t="str">
        <f t="shared" si="125"/>
        <v>PY: Media Crit.</v>
      </c>
      <c r="T1638">
        <f t="shared" si="126"/>
        <v>1</v>
      </c>
      <c r="U1638">
        <f t="shared" si="127"/>
        <v>0</v>
      </c>
      <c r="V1638">
        <f t="shared" si="128"/>
        <v>0</v>
      </c>
      <c r="W1638">
        <f t="shared" si="129"/>
        <v>0</v>
      </c>
      <c r="X1638">
        <v>1</v>
      </c>
      <c r="Y1638" s="2">
        <v>45768</v>
      </c>
      <c r="Z1638" s="3" t="s">
        <v>38</v>
      </c>
      <c r="AA1638" t="s">
        <v>39</v>
      </c>
      <c r="AB1638" t="s">
        <v>49</v>
      </c>
      <c r="AC1638" s="5" t="s">
        <v>50</v>
      </c>
      <c r="AD1638" t="s">
        <v>184</v>
      </c>
    </row>
    <row r="1639" spans="2:30">
      <c r="B1639">
        <v>1</v>
      </c>
      <c r="C1639">
        <v>1020</v>
      </c>
      <c r="D1639" t="s">
        <v>388</v>
      </c>
      <c r="E1639">
        <v>10294094</v>
      </c>
      <c r="F1639" t="s">
        <v>1734</v>
      </c>
      <c r="G1639" t="s">
        <v>43</v>
      </c>
      <c r="H1639" t="s">
        <v>32</v>
      </c>
      <c r="I1639" t="s">
        <v>390</v>
      </c>
      <c r="J1639" t="s">
        <v>45</v>
      </c>
      <c r="K1639" t="s">
        <v>35</v>
      </c>
      <c r="L1639" t="s">
        <v>175</v>
      </c>
      <c r="M1639" t="s">
        <v>69</v>
      </c>
      <c r="N1639">
        <v>0</v>
      </c>
      <c r="O1639">
        <v>0</v>
      </c>
      <c r="P1639">
        <v>1</v>
      </c>
      <c r="Q1639">
        <v>1</v>
      </c>
      <c r="R1639">
        <v>0</v>
      </c>
      <c r="S1639" t="str">
        <f t="shared" si="125"/>
        <v>PY: Media Crit.</v>
      </c>
      <c r="T1639">
        <f t="shared" si="126"/>
        <v>0</v>
      </c>
      <c r="U1639">
        <f t="shared" si="127"/>
        <v>1</v>
      </c>
      <c r="V1639">
        <f t="shared" si="128"/>
        <v>0</v>
      </c>
      <c r="W1639">
        <f t="shared" si="129"/>
        <v>1</v>
      </c>
      <c r="X1639">
        <v>1</v>
      </c>
      <c r="Y1639" s="2">
        <v>45768</v>
      </c>
      <c r="Z1639" s="3" t="s">
        <v>70</v>
      </c>
      <c r="AA1639" t="s">
        <v>39</v>
      </c>
      <c r="AB1639" t="s">
        <v>40</v>
      </c>
      <c r="AC1639" t="s">
        <v>40</v>
      </c>
      <c r="AD1639" t="s">
        <v>391</v>
      </c>
    </row>
    <row r="1640" spans="2:30">
      <c r="B1640">
        <v>1</v>
      </c>
      <c r="C1640">
        <v>1020</v>
      </c>
      <c r="D1640" t="s">
        <v>181</v>
      </c>
      <c r="E1640">
        <v>10294097</v>
      </c>
      <c r="F1640" t="s">
        <v>1735</v>
      </c>
      <c r="G1640" t="s">
        <v>31</v>
      </c>
      <c r="H1640" t="s">
        <v>60</v>
      </c>
      <c r="I1640" t="s">
        <v>183</v>
      </c>
      <c r="J1640" t="s">
        <v>45</v>
      </c>
      <c r="K1640" t="s">
        <v>35</v>
      </c>
      <c r="L1640" t="s">
        <v>36</v>
      </c>
      <c r="M1640" t="s">
        <v>37</v>
      </c>
      <c r="N1640">
        <v>1</v>
      </c>
      <c r="O1640">
        <v>1</v>
      </c>
      <c r="P1640">
        <v>0</v>
      </c>
      <c r="Q1640">
        <v>0</v>
      </c>
      <c r="R1640">
        <v>0</v>
      </c>
      <c r="S1640" t="str">
        <f t="shared" si="125"/>
        <v>PX: Baja Crit.</v>
      </c>
      <c r="T1640">
        <f t="shared" si="126"/>
        <v>1</v>
      </c>
      <c r="U1640">
        <f t="shared" si="127"/>
        <v>0</v>
      </c>
      <c r="V1640">
        <f t="shared" si="128"/>
        <v>0</v>
      </c>
      <c r="W1640">
        <f t="shared" si="129"/>
        <v>0</v>
      </c>
      <c r="X1640">
        <v>1</v>
      </c>
      <c r="Y1640" s="2">
        <v>45768</v>
      </c>
      <c r="Z1640" s="3" t="s">
        <v>38</v>
      </c>
      <c r="AA1640" t="s">
        <v>39</v>
      </c>
      <c r="AB1640" t="s">
        <v>49</v>
      </c>
      <c r="AC1640" s="5" t="s">
        <v>50</v>
      </c>
      <c r="AD1640" t="s">
        <v>184</v>
      </c>
    </row>
    <row r="1641" spans="2:30">
      <c r="B1641">
        <v>1</v>
      </c>
      <c r="C1641">
        <v>1020</v>
      </c>
      <c r="D1641" t="s">
        <v>693</v>
      </c>
      <c r="E1641">
        <v>10294242</v>
      </c>
      <c r="F1641" t="s">
        <v>1736</v>
      </c>
      <c r="G1641" t="s">
        <v>43</v>
      </c>
      <c r="H1641" t="s">
        <v>32</v>
      </c>
      <c r="I1641" t="s">
        <v>695</v>
      </c>
      <c r="J1641" t="s">
        <v>45</v>
      </c>
      <c r="K1641" t="s">
        <v>35</v>
      </c>
      <c r="L1641" t="s">
        <v>175</v>
      </c>
      <c r="M1641" t="s">
        <v>69</v>
      </c>
      <c r="N1641">
        <v>0</v>
      </c>
      <c r="O1641">
        <v>0</v>
      </c>
      <c r="P1641">
        <v>0</v>
      </c>
      <c r="Q1641">
        <v>0</v>
      </c>
      <c r="R1641">
        <v>0</v>
      </c>
      <c r="S1641" t="str">
        <f t="shared" si="125"/>
        <v>PY: Media Crit.</v>
      </c>
      <c r="T1641">
        <f t="shared" si="126"/>
        <v>1</v>
      </c>
      <c r="U1641">
        <f t="shared" si="127"/>
        <v>0</v>
      </c>
      <c r="V1641">
        <f t="shared" si="128"/>
        <v>0</v>
      </c>
      <c r="W1641">
        <f t="shared" si="129"/>
        <v>0</v>
      </c>
      <c r="X1641">
        <v>1</v>
      </c>
      <c r="Y1641" s="2">
        <v>45768</v>
      </c>
      <c r="Z1641" s="3" t="s">
        <v>70</v>
      </c>
      <c r="AA1641" t="s">
        <v>39</v>
      </c>
      <c r="AB1641" t="s">
        <v>40</v>
      </c>
      <c r="AC1641" t="s">
        <v>40</v>
      </c>
      <c r="AD1641" t="s">
        <v>696</v>
      </c>
    </row>
    <row r="1642" spans="2:30">
      <c r="B1642">
        <v>1</v>
      </c>
      <c r="C1642">
        <v>1020</v>
      </c>
      <c r="D1642" t="s">
        <v>388</v>
      </c>
      <c r="E1642">
        <v>10295098</v>
      </c>
      <c r="F1642" t="s">
        <v>1737</v>
      </c>
      <c r="G1642" t="s">
        <v>52</v>
      </c>
      <c r="H1642" t="s">
        <v>32</v>
      </c>
      <c r="I1642" t="s">
        <v>1002</v>
      </c>
      <c r="J1642" t="s">
        <v>45</v>
      </c>
      <c r="K1642" t="s">
        <v>35</v>
      </c>
      <c r="L1642" t="s">
        <v>175</v>
      </c>
      <c r="M1642" t="s">
        <v>37</v>
      </c>
      <c r="N1642">
        <v>0</v>
      </c>
      <c r="O1642">
        <v>0</v>
      </c>
      <c r="P1642">
        <v>1</v>
      </c>
      <c r="Q1642">
        <v>1</v>
      </c>
      <c r="R1642" s="4">
        <v>40546.75</v>
      </c>
      <c r="S1642" t="str">
        <f t="shared" si="125"/>
        <v>PZ: Alta Crit.</v>
      </c>
      <c r="T1642">
        <f t="shared" si="126"/>
        <v>0</v>
      </c>
      <c r="U1642">
        <f t="shared" si="127"/>
        <v>1</v>
      </c>
      <c r="V1642">
        <f t="shared" si="128"/>
        <v>0</v>
      </c>
      <c r="W1642">
        <f t="shared" si="129"/>
        <v>1</v>
      </c>
      <c r="X1642">
        <v>1</v>
      </c>
      <c r="Y1642" s="2">
        <v>45768</v>
      </c>
      <c r="Z1642" s="3" t="s">
        <v>38</v>
      </c>
      <c r="AA1642" t="s">
        <v>39</v>
      </c>
      <c r="AB1642" t="s">
        <v>40</v>
      </c>
      <c r="AC1642" t="s">
        <v>40</v>
      </c>
      <c r="AD1642" t="s">
        <v>391</v>
      </c>
    </row>
    <row r="1643" spans="2:30">
      <c r="B1643">
        <v>1</v>
      </c>
      <c r="C1643">
        <v>1020</v>
      </c>
      <c r="D1643" t="s">
        <v>388</v>
      </c>
      <c r="E1643">
        <v>10295112</v>
      </c>
      <c r="F1643" t="s">
        <v>1738</v>
      </c>
      <c r="G1643" t="s">
        <v>52</v>
      </c>
      <c r="H1643" t="s">
        <v>32</v>
      </c>
      <c r="I1643" t="s">
        <v>390</v>
      </c>
      <c r="J1643" t="s">
        <v>45</v>
      </c>
      <c r="K1643" t="s">
        <v>35</v>
      </c>
      <c r="L1643" t="s">
        <v>175</v>
      </c>
      <c r="M1643" t="s">
        <v>69</v>
      </c>
      <c r="N1643">
        <v>0</v>
      </c>
      <c r="O1643">
        <v>0</v>
      </c>
      <c r="P1643">
        <v>6</v>
      </c>
      <c r="Q1643">
        <v>6</v>
      </c>
      <c r="R1643" s="4">
        <v>8113.69</v>
      </c>
      <c r="S1643" t="str">
        <f t="shared" si="125"/>
        <v>PZ: Alta Crit.</v>
      </c>
      <c r="T1643">
        <f t="shared" si="126"/>
        <v>0</v>
      </c>
      <c r="U1643">
        <f t="shared" si="127"/>
        <v>1</v>
      </c>
      <c r="V1643">
        <f t="shared" si="128"/>
        <v>0</v>
      </c>
      <c r="W1643">
        <f t="shared" si="129"/>
        <v>1</v>
      </c>
      <c r="X1643">
        <v>1</v>
      </c>
      <c r="Y1643" s="2">
        <v>45768</v>
      </c>
      <c r="Z1643" s="3" t="s">
        <v>70</v>
      </c>
      <c r="AA1643" t="s">
        <v>39</v>
      </c>
      <c r="AB1643" t="s">
        <v>76</v>
      </c>
      <c r="AC1643" s="5" t="s">
        <v>77</v>
      </c>
      <c r="AD1643" t="s">
        <v>391</v>
      </c>
    </row>
    <row r="1644" spans="2:30">
      <c r="B1644">
        <v>1</v>
      </c>
      <c r="C1644">
        <v>1020</v>
      </c>
      <c r="D1644" t="s">
        <v>388</v>
      </c>
      <c r="E1644">
        <v>10295511</v>
      </c>
      <c r="F1644" t="s">
        <v>1739</v>
      </c>
      <c r="G1644" t="s">
        <v>52</v>
      </c>
      <c r="H1644" t="s">
        <v>32</v>
      </c>
      <c r="I1644" t="s">
        <v>390</v>
      </c>
      <c r="J1644" t="s">
        <v>45</v>
      </c>
      <c r="K1644" t="s">
        <v>35</v>
      </c>
      <c r="L1644" t="s">
        <v>175</v>
      </c>
      <c r="M1644" t="s">
        <v>46</v>
      </c>
      <c r="N1644">
        <v>0</v>
      </c>
      <c r="O1644">
        <v>0</v>
      </c>
      <c r="P1644">
        <v>1</v>
      </c>
      <c r="Q1644">
        <v>1</v>
      </c>
      <c r="R1644" s="4">
        <v>3704.58</v>
      </c>
      <c r="S1644" t="str">
        <f t="shared" si="125"/>
        <v>PZ: Alta Crit.</v>
      </c>
      <c r="T1644">
        <f t="shared" si="126"/>
        <v>0</v>
      </c>
      <c r="U1644">
        <f t="shared" si="127"/>
        <v>1</v>
      </c>
      <c r="V1644">
        <f t="shared" si="128"/>
        <v>0</v>
      </c>
      <c r="W1644">
        <f t="shared" si="129"/>
        <v>1</v>
      </c>
      <c r="X1644">
        <v>1</v>
      </c>
      <c r="Y1644" s="2">
        <v>45768</v>
      </c>
      <c r="Z1644" s="3" t="s">
        <v>47</v>
      </c>
      <c r="AA1644" t="s">
        <v>39</v>
      </c>
      <c r="AB1644" t="s">
        <v>40</v>
      </c>
      <c r="AC1644" t="s">
        <v>40</v>
      </c>
      <c r="AD1644" t="s">
        <v>391</v>
      </c>
    </row>
    <row r="1645" spans="2:30">
      <c r="B1645">
        <v>1</v>
      </c>
      <c r="C1645">
        <v>1020</v>
      </c>
      <c r="D1645" t="s">
        <v>693</v>
      </c>
      <c r="E1645">
        <v>10295929</v>
      </c>
      <c r="F1645" t="s">
        <v>1740</v>
      </c>
      <c r="G1645" t="s">
        <v>52</v>
      </c>
      <c r="H1645" t="s">
        <v>32</v>
      </c>
      <c r="I1645" t="s">
        <v>695</v>
      </c>
      <c r="J1645" t="s">
        <v>45</v>
      </c>
      <c r="K1645" t="s">
        <v>35</v>
      </c>
      <c r="L1645" t="s">
        <v>175</v>
      </c>
      <c r="M1645" t="s">
        <v>46</v>
      </c>
      <c r="N1645">
        <v>0</v>
      </c>
      <c r="O1645">
        <v>0</v>
      </c>
      <c r="P1645">
        <v>0</v>
      </c>
      <c r="Q1645">
        <v>0</v>
      </c>
      <c r="R1645">
        <v>0</v>
      </c>
      <c r="S1645" t="str">
        <f t="shared" si="125"/>
        <v>PZ: Alta Crit.</v>
      </c>
      <c r="T1645">
        <f t="shared" si="126"/>
        <v>1</v>
      </c>
      <c r="U1645">
        <f t="shared" si="127"/>
        <v>0</v>
      </c>
      <c r="V1645">
        <f t="shared" si="128"/>
        <v>0</v>
      </c>
      <c r="W1645">
        <f t="shared" si="129"/>
        <v>0</v>
      </c>
      <c r="X1645">
        <v>1</v>
      </c>
      <c r="Y1645" s="2">
        <v>45768</v>
      </c>
      <c r="Z1645" s="3" t="s">
        <v>47</v>
      </c>
      <c r="AA1645" t="s">
        <v>39</v>
      </c>
      <c r="AB1645" t="s">
        <v>49</v>
      </c>
      <c r="AC1645" s="5" t="s">
        <v>50</v>
      </c>
      <c r="AD1645" t="s">
        <v>696</v>
      </c>
    </row>
    <row r="1646" spans="2:30">
      <c r="B1646">
        <v>1</v>
      </c>
      <c r="C1646">
        <v>1020</v>
      </c>
      <c r="D1646" t="s">
        <v>693</v>
      </c>
      <c r="E1646">
        <v>10296141</v>
      </c>
      <c r="F1646" t="s">
        <v>1741</v>
      </c>
      <c r="G1646" t="s">
        <v>52</v>
      </c>
      <c r="H1646" t="s">
        <v>32</v>
      </c>
      <c r="I1646" t="s">
        <v>695</v>
      </c>
      <c r="J1646" t="s">
        <v>45</v>
      </c>
      <c r="K1646" t="s">
        <v>35</v>
      </c>
      <c r="L1646" t="s">
        <v>175</v>
      </c>
      <c r="M1646" t="s">
        <v>46</v>
      </c>
      <c r="N1646">
        <v>0</v>
      </c>
      <c r="O1646">
        <v>0</v>
      </c>
      <c r="P1646">
        <v>0</v>
      </c>
      <c r="Q1646">
        <v>0</v>
      </c>
      <c r="R1646">
        <v>0</v>
      </c>
      <c r="S1646" t="str">
        <f t="shared" si="125"/>
        <v>PZ: Alta Crit.</v>
      </c>
      <c r="T1646">
        <f t="shared" si="126"/>
        <v>1</v>
      </c>
      <c r="U1646">
        <f t="shared" si="127"/>
        <v>0</v>
      </c>
      <c r="V1646">
        <f t="shared" si="128"/>
        <v>0</v>
      </c>
      <c r="W1646">
        <f t="shared" si="129"/>
        <v>0</v>
      </c>
      <c r="X1646">
        <v>1</v>
      </c>
      <c r="Y1646" s="2">
        <v>45768</v>
      </c>
      <c r="Z1646" s="3" t="s">
        <v>47</v>
      </c>
      <c r="AA1646" t="s">
        <v>39</v>
      </c>
      <c r="AB1646" t="s">
        <v>49</v>
      </c>
      <c r="AC1646" s="5" t="s">
        <v>50</v>
      </c>
      <c r="AD1646" t="s">
        <v>696</v>
      </c>
    </row>
    <row r="1647" spans="2:30">
      <c r="B1647">
        <v>1</v>
      </c>
      <c r="C1647">
        <v>1020</v>
      </c>
      <c r="D1647" t="s">
        <v>181</v>
      </c>
      <c r="E1647">
        <v>10296679</v>
      </c>
      <c r="F1647" t="s">
        <v>1742</v>
      </c>
      <c r="G1647" t="s">
        <v>43</v>
      </c>
      <c r="H1647" t="s">
        <v>32</v>
      </c>
      <c r="I1647" t="s">
        <v>183</v>
      </c>
      <c r="J1647" t="s">
        <v>45</v>
      </c>
      <c r="K1647" t="s">
        <v>35</v>
      </c>
      <c r="L1647" t="s">
        <v>36</v>
      </c>
      <c r="M1647" t="s">
        <v>88</v>
      </c>
      <c r="N1647" s="8">
        <v>1000</v>
      </c>
      <c r="O1647">
        <v>501</v>
      </c>
      <c r="P1647">
        <v>0</v>
      </c>
      <c r="Q1647" s="8">
        <v>2330</v>
      </c>
      <c r="R1647" s="4">
        <v>5174.63</v>
      </c>
      <c r="S1647" t="str">
        <f t="shared" si="125"/>
        <v>PY: Media Crit.</v>
      </c>
      <c r="T1647">
        <f t="shared" si="126"/>
        <v>0</v>
      </c>
      <c r="U1647">
        <f t="shared" si="127"/>
        <v>0</v>
      </c>
      <c r="V1647">
        <f t="shared" si="128"/>
        <v>0</v>
      </c>
      <c r="W1647">
        <f t="shared" si="129"/>
        <v>1</v>
      </c>
      <c r="X1647">
        <v>1</v>
      </c>
      <c r="Y1647" s="2">
        <v>45768</v>
      </c>
      <c r="Z1647" s="3" t="s">
        <v>89</v>
      </c>
      <c r="AA1647" t="s">
        <v>39</v>
      </c>
      <c r="AB1647" t="s">
        <v>40</v>
      </c>
      <c r="AC1647" t="s">
        <v>40</v>
      </c>
      <c r="AD1647" t="s">
        <v>184</v>
      </c>
    </row>
    <row r="1648" spans="2:30">
      <c r="B1648">
        <v>1</v>
      </c>
      <c r="C1648">
        <v>1020</v>
      </c>
      <c r="D1648" t="s">
        <v>181</v>
      </c>
      <c r="E1648">
        <v>10296977</v>
      </c>
      <c r="F1648" t="s">
        <v>1743</v>
      </c>
      <c r="G1648" t="s">
        <v>43</v>
      </c>
      <c r="H1648" t="s">
        <v>32</v>
      </c>
      <c r="I1648" t="s">
        <v>183</v>
      </c>
      <c r="J1648" t="s">
        <v>45</v>
      </c>
      <c r="K1648" t="s">
        <v>35</v>
      </c>
      <c r="L1648" t="s">
        <v>36</v>
      </c>
      <c r="M1648" t="s">
        <v>46</v>
      </c>
      <c r="N1648">
        <v>1</v>
      </c>
      <c r="O1648">
        <v>1</v>
      </c>
      <c r="P1648">
        <v>1</v>
      </c>
      <c r="Q1648">
        <v>1</v>
      </c>
      <c r="R1648" s="4">
        <v>27119.29</v>
      </c>
      <c r="S1648" t="str">
        <f t="shared" si="125"/>
        <v>PY: Media Crit.</v>
      </c>
      <c r="T1648">
        <f t="shared" si="126"/>
        <v>0</v>
      </c>
      <c r="U1648">
        <f t="shared" si="127"/>
        <v>1</v>
      </c>
      <c r="V1648">
        <f t="shared" si="128"/>
        <v>0</v>
      </c>
      <c r="W1648">
        <f t="shared" si="129"/>
        <v>0</v>
      </c>
      <c r="X1648">
        <v>1</v>
      </c>
      <c r="Y1648" s="2">
        <v>45768</v>
      </c>
      <c r="Z1648" s="3" t="s">
        <v>47</v>
      </c>
      <c r="AA1648" t="s">
        <v>39</v>
      </c>
      <c r="AB1648" t="s">
        <v>40</v>
      </c>
      <c r="AC1648" t="s">
        <v>40</v>
      </c>
      <c r="AD1648" t="s">
        <v>184</v>
      </c>
    </row>
    <row r="1649" spans="2:30">
      <c r="B1649">
        <v>1</v>
      </c>
      <c r="C1649">
        <v>1020</v>
      </c>
      <c r="D1649" t="s">
        <v>388</v>
      </c>
      <c r="E1649">
        <v>10296978</v>
      </c>
      <c r="F1649" t="s">
        <v>1744</v>
      </c>
      <c r="G1649" t="s">
        <v>52</v>
      </c>
      <c r="H1649" t="s">
        <v>32</v>
      </c>
      <c r="I1649" t="s">
        <v>390</v>
      </c>
      <c r="J1649" t="s">
        <v>45</v>
      </c>
      <c r="K1649" t="s">
        <v>35</v>
      </c>
      <c r="L1649" t="s">
        <v>175</v>
      </c>
      <c r="M1649" t="s">
        <v>46</v>
      </c>
      <c r="N1649">
        <v>0</v>
      </c>
      <c r="O1649">
        <v>0</v>
      </c>
      <c r="P1649">
        <v>1</v>
      </c>
      <c r="Q1649">
        <v>1</v>
      </c>
      <c r="R1649" s="4">
        <v>30581.11</v>
      </c>
      <c r="S1649" t="str">
        <f t="shared" si="125"/>
        <v>PZ: Alta Crit.</v>
      </c>
      <c r="T1649">
        <f t="shared" si="126"/>
        <v>0</v>
      </c>
      <c r="U1649">
        <f t="shared" si="127"/>
        <v>1</v>
      </c>
      <c r="V1649">
        <f t="shared" si="128"/>
        <v>0</v>
      </c>
      <c r="W1649">
        <f t="shared" si="129"/>
        <v>1</v>
      </c>
      <c r="X1649">
        <v>1</v>
      </c>
      <c r="Y1649" s="2">
        <v>45768</v>
      </c>
      <c r="Z1649" s="3" t="s">
        <v>47</v>
      </c>
      <c r="AA1649" t="s">
        <v>39</v>
      </c>
      <c r="AB1649" t="s">
        <v>40</v>
      </c>
      <c r="AC1649" t="s">
        <v>40</v>
      </c>
      <c r="AD1649" t="s">
        <v>391</v>
      </c>
    </row>
    <row r="1650" spans="2:30">
      <c r="B1650">
        <v>1</v>
      </c>
      <c r="C1650">
        <v>1020</v>
      </c>
      <c r="D1650" t="s">
        <v>388</v>
      </c>
      <c r="E1650">
        <v>10297272</v>
      </c>
      <c r="F1650" t="s">
        <v>1745</v>
      </c>
      <c r="G1650" t="s">
        <v>43</v>
      </c>
      <c r="H1650" t="s">
        <v>32</v>
      </c>
      <c r="I1650" t="s">
        <v>390</v>
      </c>
      <c r="J1650" t="s">
        <v>45</v>
      </c>
      <c r="K1650" t="s">
        <v>35</v>
      </c>
      <c r="L1650" t="s">
        <v>175</v>
      </c>
      <c r="M1650" t="s">
        <v>37</v>
      </c>
      <c r="N1650">
        <v>0</v>
      </c>
      <c r="O1650">
        <v>0</v>
      </c>
      <c r="P1650">
        <v>1</v>
      </c>
      <c r="Q1650">
        <v>1</v>
      </c>
      <c r="R1650" s="4">
        <v>101231.55</v>
      </c>
      <c r="S1650" t="str">
        <f t="shared" si="125"/>
        <v>PY: Media Crit.</v>
      </c>
      <c r="T1650">
        <f t="shared" si="126"/>
        <v>0</v>
      </c>
      <c r="U1650">
        <f t="shared" si="127"/>
        <v>1</v>
      </c>
      <c r="V1650">
        <f t="shared" si="128"/>
        <v>0</v>
      </c>
      <c r="W1650">
        <f t="shared" si="129"/>
        <v>1</v>
      </c>
      <c r="X1650">
        <v>1</v>
      </c>
      <c r="Y1650" s="2">
        <v>45768</v>
      </c>
      <c r="Z1650" s="3" t="s">
        <v>38</v>
      </c>
      <c r="AA1650" t="s">
        <v>39</v>
      </c>
      <c r="AB1650" t="s">
        <v>40</v>
      </c>
      <c r="AC1650" t="s">
        <v>40</v>
      </c>
      <c r="AD1650" t="s">
        <v>391</v>
      </c>
    </row>
    <row r="1651" spans="2:30">
      <c r="B1651">
        <v>1</v>
      </c>
      <c r="C1651">
        <v>1020</v>
      </c>
      <c r="D1651" t="s">
        <v>388</v>
      </c>
      <c r="E1651">
        <v>10297506</v>
      </c>
      <c r="F1651" t="s">
        <v>1746</v>
      </c>
      <c r="G1651" t="s">
        <v>52</v>
      </c>
      <c r="H1651" t="s">
        <v>32</v>
      </c>
      <c r="I1651" t="s">
        <v>390</v>
      </c>
      <c r="J1651" t="s">
        <v>45</v>
      </c>
      <c r="K1651" t="s">
        <v>35</v>
      </c>
      <c r="L1651" t="s">
        <v>175</v>
      </c>
      <c r="M1651" t="s">
        <v>46</v>
      </c>
      <c r="N1651">
        <v>0</v>
      </c>
      <c r="O1651">
        <v>0</v>
      </c>
      <c r="P1651">
        <v>1</v>
      </c>
      <c r="Q1651">
        <v>1</v>
      </c>
      <c r="R1651" s="4">
        <v>1524.62</v>
      </c>
      <c r="S1651" t="str">
        <f t="shared" si="125"/>
        <v>PZ: Alta Crit.</v>
      </c>
      <c r="T1651">
        <f t="shared" si="126"/>
        <v>0</v>
      </c>
      <c r="U1651">
        <f t="shared" si="127"/>
        <v>1</v>
      </c>
      <c r="V1651">
        <f t="shared" si="128"/>
        <v>0</v>
      </c>
      <c r="W1651">
        <f t="shared" si="129"/>
        <v>1</v>
      </c>
      <c r="X1651">
        <v>1</v>
      </c>
      <c r="Y1651" s="2">
        <v>45768</v>
      </c>
      <c r="Z1651" s="3" t="s">
        <v>47</v>
      </c>
      <c r="AA1651" t="s">
        <v>39</v>
      </c>
      <c r="AB1651" t="s">
        <v>40</v>
      </c>
      <c r="AC1651" t="s">
        <v>40</v>
      </c>
      <c r="AD1651" t="s">
        <v>391</v>
      </c>
    </row>
    <row r="1652" spans="2:30">
      <c r="B1652">
        <v>1</v>
      </c>
      <c r="C1652">
        <v>1020</v>
      </c>
      <c r="D1652" t="s">
        <v>181</v>
      </c>
      <c r="E1652">
        <v>10297508</v>
      </c>
      <c r="F1652" t="s">
        <v>1747</v>
      </c>
      <c r="G1652" t="s">
        <v>52</v>
      </c>
      <c r="H1652" t="s">
        <v>32</v>
      </c>
      <c r="I1652" t="s">
        <v>183</v>
      </c>
      <c r="J1652" t="s">
        <v>45</v>
      </c>
      <c r="K1652" t="s">
        <v>35</v>
      </c>
      <c r="L1652" t="s">
        <v>36</v>
      </c>
      <c r="M1652" t="s">
        <v>46</v>
      </c>
      <c r="N1652">
        <v>2</v>
      </c>
      <c r="O1652">
        <v>1</v>
      </c>
      <c r="P1652">
        <v>0</v>
      </c>
      <c r="Q1652">
        <v>2</v>
      </c>
      <c r="R1652" s="4">
        <v>2206.6999999999998</v>
      </c>
      <c r="S1652" t="str">
        <f t="shared" si="125"/>
        <v>PZ: Alta Crit.</v>
      </c>
      <c r="T1652">
        <f t="shared" si="126"/>
        <v>0</v>
      </c>
      <c r="U1652">
        <f t="shared" si="127"/>
        <v>0</v>
      </c>
      <c r="V1652">
        <f t="shared" si="128"/>
        <v>1</v>
      </c>
      <c r="W1652">
        <f t="shared" si="129"/>
        <v>0</v>
      </c>
      <c r="X1652">
        <v>1</v>
      </c>
      <c r="Y1652" s="2">
        <v>45768</v>
      </c>
      <c r="Z1652" s="3" t="s">
        <v>47</v>
      </c>
      <c r="AA1652" t="s">
        <v>39</v>
      </c>
      <c r="AB1652" t="s">
        <v>40</v>
      </c>
      <c r="AC1652" t="s">
        <v>40</v>
      </c>
      <c r="AD1652" t="s">
        <v>184</v>
      </c>
    </row>
    <row r="1653" spans="2:30">
      <c r="B1653">
        <v>1</v>
      </c>
      <c r="C1653">
        <v>1020</v>
      </c>
      <c r="D1653" t="s">
        <v>181</v>
      </c>
      <c r="E1653">
        <v>10297521</v>
      </c>
      <c r="F1653" t="s">
        <v>1748</v>
      </c>
      <c r="G1653" t="s">
        <v>43</v>
      </c>
      <c r="H1653" t="s">
        <v>60</v>
      </c>
      <c r="I1653" t="s">
        <v>183</v>
      </c>
      <c r="J1653" t="s">
        <v>45</v>
      </c>
      <c r="K1653" t="s">
        <v>35</v>
      </c>
      <c r="L1653" t="s">
        <v>36</v>
      </c>
      <c r="M1653" t="s">
        <v>69</v>
      </c>
      <c r="N1653">
        <v>4</v>
      </c>
      <c r="O1653">
        <v>3</v>
      </c>
      <c r="P1653">
        <v>1</v>
      </c>
      <c r="Q1653">
        <v>4</v>
      </c>
      <c r="R1653" s="4">
        <v>4151.74</v>
      </c>
      <c r="S1653" t="str">
        <f t="shared" si="125"/>
        <v>PY: Media Crit.</v>
      </c>
      <c r="T1653">
        <f t="shared" si="126"/>
        <v>0</v>
      </c>
      <c r="U1653">
        <f t="shared" si="127"/>
        <v>0</v>
      </c>
      <c r="V1653">
        <f t="shared" si="128"/>
        <v>1</v>
      </c>
      <c r="W1653">
        <f t="shared" si="129"/>
        <v>0</v>
      </c>
      <c r="X1653">
        <v>1</v>
      </c>
      <c r="Y1653" s="2">
        <v>45768</v>
      </c>
      <c r="Z1653" s="3" t="s">
        <v>70</v>
      </c>
      <c r="AA1653" t="s">
        <v>39</v>
      </c>
      <c r="AB1653" t="s">
        <v>40</v>
      </c>
      <c r="AC1653" t="s">
        <v>40</v>
      </c>
      <c r="AD1653" t="s">
        <v>184</v>
      </c>
    </row>
    <row r="1654" spans="2:30">
      <c r="B1654">
        <v>1</v>
      </c>
      <c r="C1654">
        <v>1020</v>
      </c>
      <c r="D1654" t="s">
        <v>181</v>
      </c>
      <c r="E1654">
        <v>10307379</v>
      </c>
      <c r="F1654" t="s">
        <v>1749</v>
      </c>
      <c r="G1654" t="s">
        <v>52</v>
      </c>
      <c r="H1654" t="s">
        <v>32</v>
      </c>
      <c r="I1654" t="s">
        <v>183</v>
      </c>
      <c r="J1654" t="s">
        <v>45</v>
      </c>
      <c r="K1654" t="s">
        <v>35</v>
      </c>
      <c r="L1654" t="s">
        <v>36</v>
      </c>
      <c r="M1654" t="s">
        <v>46</v>
      </c>
      <c r="N1654">
        <v>2</v>
      </c>
      <c r="O1654">
        <v>2</v>
      </c>
      <c r="P1654">
        <v>1</v>
      </c>
      <c r="Q1654">
        <v>17</v>
      </c>
      <c r="R1654" s="4">
        <v>2146.3200000000002</v>
      </c>
      <c r="S1654" t="str">
        <f t="shared" si="125"/>
        <v>PZ: Alta Crit.</v>
      </c>
      <c r="T1654">
        <f t="shared" si="126"/>
        <v>0</v>
      </c>
      <c r="U1654">
        <f t="shared" si="127"/>
        <v>0</v>
      </c>
      <c r="V1654">
        <f t="shared" si="128"/>
        <v>0</v>
      </c>
      <c r="W1654">
        <f t="shared" si="129"/>
        <v>1</v>
      </c>
      <c r="X1654">
        <v>1</v>
      </c>
      <c r="Y1654" s="2">
        <v>45768</v>
      </c>
      <c r="Z1654" s="3" t="s">
        <v>47</v>
      </c>
      <c r="AA1654" t="s">
        <v>39</v>
      </c>
      <c r="AB1654" t="s">
        <v>40</v>
      </c>
      <c r="AC1654" t="s">
        <v>40</v>
      </c>
      <c r="AD1654" t="s">
        <v>184</v>
      </c>
    </row>
    <row r="1655" spans="2:30">
      <c r="B1655">
        <v>1</v>
      </c>
      <c r="C1655">
        <v>1020</v>
      </c>
      <c r="D1655" t="s">
        <v>388</v>
      </c>
      <c r="E1655">
        <v>10363304</v>
      </c>
      <c r="F1655" t="s">
        <v>1750</v>
      </c>
      <c r="G1655" t="s">
        <v>52</v>
      </c>
      <c r="H1655" t="s">
        <v>32</v>
      </c>
      <c r="I1655" t="s">
        <v>390</v>
      </c>
      <c r="J1655" t="s">
        <v>45</v>
      </c>
      <c r="K1655" t="s">
        <v>35</v>
      </c>
      <c r="L1655" t="s">
        <v>175</v>
      </c>
      <c r="M1655" t="s">
        <v>46</v>
      </c>
      <c r="N1655">
        <v>0</v>
      </c>
      <c r="O1655">
        <v>0</v>
      </c>
      <c r="P1655">
        <v>1</v>
      </c>
      <c r="Q1655">
        <v>1</v>
      </c>
      <c r="R1655" s="4">
        <v>1122.01</v>
      </c>
      <c r="S1655" t="str">
        <f t="shared" si="125"/>
        <v>PZ: Alta Crit.</v>
      </c>
      <c r="T1655">
        <f t="shared" si="126"/>
        <v>0</v>
      </c>
      <c r="U1655">
        <f t="shared" si="127"/>
        <v>1</v>
      </c>
      <c r="V1655">
        <f t="shared" si="128"/>
        <v>0</v>
      </c>
      <c r="W1655">
        <f t="shared" si="129"/>
        <v>1</v>
      </c>
      <c r="X1655">
        <v>1</v>
      </c>
      <c r="Y1655" s="2">
        <v>45768</v>
      </c>
      <c r="Z1655" s="3" t="s">
        <v>47</v>
      </c>
      <c r="AA1655" t="s">
        <v>39</v>
      </c>
      <c r="AB1655" t="s">
        <v>40</v>
      </c>
      <c r="AC1655" t="s">
        <v>40</v>
      </c>
      <c r="AD1655" t="s">
        <v>391</v>
      </c>
    </row>
    <row r="1656" spans="2:30">
      <c r="B1656">
        <v>1</v>
      </c>
      <c r="C1656">
        <v>1020</v>
      </c>
      <c r="D1656" t="s">
        <v>181</v>
      </c>
      <c r="E1656">
        <v>10384790</v>
      </c>
      <c r="F1656" t="s">
        <v>1751</v>
      </c>
      <c r="G1656" t="s">
        <v>52</v>
      </c>
      <c r="H1656" t="s">
        <v>32</v>
      </c>
      <c r="I1656" t="s">
        <v>183</v>
      </c>
      <c r="J1656" t="s">
        <v>45</v>
      </c>
      <c r="K1656" t="s">
        <v>35</v>
      </c>
      <c r="L1656" t="s">
        <v>36</v>
      </c>
      <c r="M1656" t="s">
        <v>69</v>
      </c>
      <c r="N1656">
        <v>1</v>
      </c>
      <c r="O1656">
        <v>1</v>
      </c>
      <c r="P1656">
        <v>1</v>
      </c>
      <c r="Q1656">
        <v>1</v>
      </c>
      <c r="R1656" s="4">
        <v>1555.22</v>
      </c>
      <c r="S1656" t="str">
        <f t="shared" si="125"/>
        <v>PZ: Alta Crit.</v>
      </c>
      <c r="T1656">
        <f t="shared" si="126"/>
        <v>0</v>
      </c>
      <c r="U1656">
        <f t="shared" si="127"/>
        <v>1</v>
      </c>
      <c r="V1656">
        <f t="shared" si="128"/>
        <v>0</v>
      </c>
      <c r="W1656">
        <f t="shared" si="129"/>
        <v>0</v>
      </c>
      <c r="X1656">
        <v>1</v>
      </c>
      <c r="Y1656" s="2">
        <v>45768</v>
      </c>
      <c r="Z1656" s="3" t="s">
        <v>70</v>
      </c>
      <c r="AA1656" t="s">
        <v>39</v>
      </c>
      <c r="AB1656" t="s">
        <v>40</v>
      </c>
      <c r="AC1656" t="s">
        <v>40</v>
      </c>
      <c r="AD1656" t="s">
        <v>184</v>
      </c>
    </row>
    <row r="1657" spans="2:30">
      <c r="B1657">
        <v>1</v>
      </c>
      <c r="C1657">
        <v>1020</v>
      </c>
      <c r="D1657" t="s">
        <v>388</v>
      </c>
      <c r="E1657">
        <v>10410518</v>
      </c>
      <c r="F1657" t="s">
        <v>1752</v>
      </c>
      <c r="G1657" t="s">
        <v>52</v>
      </c>
      <c r="H1657" t="s">
        <v>32</v>
      </c>
      <c r="I1657" t="s">
        <v>390</v>
      </c>
      <c r="J1657" t="s">
        <v>45</v>
      </c>
      <c r="K1657" t="s">
        <v>35</v>
      </c>
      <c r="L1657" t="s">
        <v>175</v>
      </c>
      <c r="M1657" t="s">
        <v>69</v>
      </c>
      <c r="N1657">
        <v>0</v>
      </c>
      <c r="O1657">
        <v>0</v>
      </c>
      <c r="P1657">
        <v>1</v>
      </c>
      <c r="Q1657">
        <v>1</v>
      </c>
      <c r="R1657" s="4">
        <v>2501.63</v>
      </c>
      <c r="S1657" t="str">
        <f t="shared" si="125"/>
        <v>PZ: Alta Crit.</v>
      </c>
      <c r="T1657">
        <f t="shared" si="126"/>
        <v>0</v>
      </c>
      <c r="U1657">
        <f t="shared" si="127"/>
        <v>1</v>
      </c>
      <c r="V1657">
        <f t="shared" si="128"/>
        <v>0</v>
      </c>
      <c r="W1657">
        <f t="shared" si="129"/>
        <v>1</v>
      </c>
      <c r="X1657">
        <v>1</v>
      </c>
      <c r="Y1657" s="2">
        <v>45768</v>
      </c>
      <c r="Z1657" s="3" t="s">
        <v>70</v>
      </c>
      <c r="AA1657" t="s">
        <v>39</v>
      </c>
      <c r="AB1657" t="s">
        <v>40</v>
      </c>
      <c r="AC1657" t="s">
        <v>40</v>
      </c>
      <c r="AD1657" t="s">
        <v>391</v>
      </c>
    </row>
    <row r="1658" spans="2:30">
      <c r="B1658">
        <v>1</v>
      </c>
      <c r="C1658">
        <v>1020</v>
      </c>
      <c r="D1658" t="s">
        <v>388</v>
      </c>
      <c r="E1658">
        <v>10490103</v>
      </c>
      <c r="F1658" t="s">
        <v>1753</v>
      </c>
      <c r="G1658" t="s">
        <v>31</v>
      </c>
      <c r="H1658" t="s">
        <v>32</v>
      </c>
      <c r="I1658" t="s">
        <v>390</v>
      </c>
      <c r="J1658" t="s">
        <v>45</v>
      </c>
      <c r="K1658" t="s">
        <v>35</v>
      </c>
      <c r="L1658" t="s">
        <v>175</v>
      </c>
      <c r="M1658" t="s">
        <v>69</v>
      </c>
      <c r="N1658">
        <v>0</v>
      </c>
      <c r="O1658">
        <v>0</v>
      </c>
      <c r="P1658">
        <v>1</v>
      </c>
      <c r="Q1658">
        <v>1</v>
      </c>
      <c r="R1658">
        <v>695.71</v>
      </c>
      <c r="S1658" t="str">
        <f t="shared" si="125"/>
        <v>PX: Baja Crit.</v>
      </c>
      <c r="T1658">
        <f t="shared" si="126"/>
        <v>0</v>
      </c>
      <c r="U1658">
        <f t="shared" si="127"/>
        <v>1</v>
      </c>
      <c r="V1658">
        <f t="shared" si="128"/>
        <v>0</v>
      </c>
      <c r="W1658">
        <f t="shared" si="129"/>
        <v>1</v>
      </c>
      <c r="X1658">
        <v>1</v>
      </c>
      <c r="Y1658" s="2">
        <v>45768</v>
      </c>
      <c r="Z1658" s="3" t="s">
        <v>70</v>
      </c>
      <c r="AA1658" t="s">
        <v>39</v>
      </c>
      <c r="AB1658" t="s">
        <v>40</v>
      </c>
      <c r="AC1658" t="s">
        <v>40</v>
      </c>
      <c r="AD1658" t="s">
        <v>391</v>
      </c>
    </row>
    <row r="1659" spans="2:30">
      <c r="B1659">
        <v>1</v>
      </c>
      <c r="C1659">
        <v>1020</v>
      </c>
      <c r="D1659" t="s">
        <v>384</v>
      </c>
      <c r="E1659">
        <v>10598851</v>
      </c>
      <c r="F1659" t="s">
        <v>1754</v>
      </c>
      <c r="G1659" t="s">
        <v>43</v>
      </c>
      <c r="H1659" t="s">
        <v>32</v>
      </c>
      <c r="I1659" t="s">
        <v>386</v>
      </c>
      <c r="J1659" t="s">
        <v>45</v>
      </c>
      <c r="K1659" t="s">
        <v>35</v>
      </c>
      <c r="L1659" t="s">
        <v>175</v>
      </c>
      <c r="M1659" t="s">
        <v>46</v>
      </c>
      <c r="N1659">
        <v>0</v>
      </c>
      <c r="O1659">
        <v>0</v>
      </c>
      <c r="P1659">
        <v>0</v>
      </c>
      <c r="Q1659">
        <v>0</v>
      </c>
      <c r="R1659">
        <v>0</v>
      </c>
      <c r="S1659" t="str">
        <f t="shared" si="125"/>
        <v>PY: Media Crit.</v>
      </c>
      <c r="T1659">
        <f t="shared" si="126"/>
        <v>1</v>
      </c>
      <c r="U1659">
        <f t="shared" si="127"/>
        <v>0</v>
      </c>
      <c r="V1659">
        <f t="shared" si="128"/>
        <v>0</v>
      </c>
      <c r="W1659">
        <f t="shared" si="129"/>
        <v>0</v>
      </c>
      <c r="X1659">
        <v>1</v>
      </c>
      <c r="Y1659" s="2">
        <v>45768</v>
      </c>
      <c r="Z1659" s="3" t="s">
        <v>47</v>
      </c>
      <c r="AA1659" t="s">
        <v>39</v>
      </c>
      <c r="AB1659" t="s">
        <v>40</v>
      </c>
      <c r="AC1659" t="s">
        <v>40</v>
      </c>
      <c r="AD1659" t="s">
        <v>387</v>
      </c>
    </row>
    <row r="1660" spans="2:30">
      <c r="B1660">
        <v>1</v>
      </c>
      <c r="C1660">
        <v>1020</v>
      </c>
      <c r="D1660" t="s">
        <v>181</v>
      </c>
      <c r="E1660">
        <v>10599004</v>
      </c>
      <c r="F1660" t="s">
        <v>1755</v>
      </c>
      <c r="G1660" t="s">
        <v>43</v>
      </c>
      <c r="H1660" t="s">
        <v>32</v>
      </c>
      <c r="I1660" t="s">
        <v>183</v>
      </c>
      <c r="J1660" t="s">
        <v>45</v>
      </c>
      <c r="K1660" t="s">
        <v>260</v>
      </c>
      <c r="L1660" t="s">
        <v>36</v>
      </c>
      <c r="M1660" t="s">
        <v>37</v>
      </c>
      <c r="N1660">
        <v>2</v>
      </c>
      <c r="O1660">
        <v>2</v>
      </c>
      <c r="P1660">
        <v>1</v>
      </c>
      <c r="Q1660">
        <v>0</v>
      </c>
      <c r="R1660">
        <v>0</v>
      </c>
      <c r="S1660" t="str">
        <f t="shared" si="125"/>
        <v>PY: Media Crit.</v>
      </c>
      <c r="T1660">
        <f t="shared" si="126"/>
        <v>1</v>
      </c>
      <c r="U1660">
        <f t="shared" si="127"/>
        <v>0</v>
      </c>
      <c r="V1660">
        <f t="shared" si="128"/>
        <v>0</v>
      </c>
      <c r="W1660">
        <f t="shared" si="129"/>
        <v>0</v>
      </c>
      <c r="X1660">
        <v>1</v>
      </c>
      <c r="Y1660" s="2">
        <v>45768</v>
      </c>
      <c r="Z1660" s="3" t="s">
        <v>38</v>
      </c>
      <c r="AA1660" t="s">
        <v>39</v>
      </c>
      <c r="AB1660" t="s">
        <v>76</v>
      </c>
      <c r="AC1660" s="5" t="s">
        <v>77</v>
      </c>
      <c r="AD1660" t="s">
        <v>184</v>
      </c>
    </row>
    <row r="1661" spans="2:30">
      <c r="B1661">
        <v>1</v>
      </c>
      <c r="C1661">
        <v>1020</v>
      </c>
      <c r="D1661" t="s">
        <v>181</v>
      </c>
      <c r="E1661">
        <v>10599267</v>
      </c>
      <c r="F1661" t="s">
        <v>1756</v>
      </c>
      <c r="G1661" t="s">
        <v>43</v>
      </c>
      <c r="H1661" t="s">
        <v>32</v>
      </c>
      <c r="I1661" t="s">
        <v>183</v>
      </c>
      <c r="J1661" t="s">
        <v>45</v>
      </c>
      <c r="K1661" t="s">
        <v>35</v>
      </c>
      <c r="L1661" t="s">
        <v>36</v>
      </c>
      <c r="M1661" t="s">
        <v>117</v>
      </c>
      <c r="N1661">
        <v>4</v>
      </c>
      <c r="O1661">
        <v>3</v>
      </c>
      <c r="P1661">
        <v>2</v>
      </c>
      <c r="Q1661">
        <v>4</v>
      </c>
      <c r="R1661" s="4">
        <v>3695.62</v>
      </c>
      <c r="S1661" t="str">
        <f t="shared" si="125"/>
        <v>PY: Media Crit.</v>
      </c>
      <c r="T1661">
        <f t="shared" si="126"/>
        <v>0</v>
      </c>
      <c r="U1661">
        <f t="shared" si="127"/>
        <v>0</v>
      </c>
      <c r="V1661">
        <f t="shared" si="128"/>
        <v>1</v>
      </c>
      <c r="W1661">
        <f t="shared" si="129"/>
        <v>0</v>
      </c>
      <c r="X1661">
        <v>1</v>
      </c>
      <c r="Y1661" s="2">
        <v>45768</v>
      </c>
      <c r="Z1661" s="3" t="s">
        <v>118</v>
      </c>
      <c r="AA1661" t="s">
        <v>39</v>
      </c>
      <c r="AB1661" t="s">
        <v>40</v>
      </c>
      <c r="AC1661" t="s">
        <v>40</v>
      </c>
      <c r="AD1661" t="s">
        <v>184</v>
      </c>
    </row>
    <row r="1662" spans="2:30">
      <c r="B1662">
        <v>1</v>
      </c>
      <c r="C1662">
        <v>1020</v>
      </c>
      <c r="D1662" t="s">
        <v>181</v>
      </c>
      <c r="E1662">
        <v>10599304</v>
      </c>
      <c r="F1662" t="s">
        <v>1757</v>
      </c>
      <c r="G1662" t="s">
        <v>43</v>
      </c>
      <c r="H1662" t="s">
        <v>60</v>
      </c>
      <c r="I1662" t="s">
        <v>183</v>
      </c>
      <c r="J1662" t="s">
        <v>34</v>
      </c>
      <c r="K1662" t="s">
        <v>35</v>
      </c>
      <c r="L1662" t="s">
        <v>36</v>
      </c>
      <c r="M1662" t="s">
        <v>55</v>
      </c>
      <c r="N1662">
        <v>80</v>
      </c>
      <c r="O1662">
        <v>51</v>
      </c>
      <c r="P1662">
        <v>20</v>
      </c>
      <c r="Q1662">
        <v>80</v>
      </c>
      <c r="R1662">
        <v>750.94</v>
      </c>
      <c r="S1662" t="str">
        <f t="shared" si="125"/>
        <v>PY: Media Crit.</v>
      </c>
      <c r="T1662">
        <f t="shared" si="126"/>
        <v>0</v>
      </c>
      <c r="U1662">
        <f t="shared" si="127"/>
        <v>0</v>
      </c>
      <c r="V1662">
        <f t="shared" si="128"/>
        <v>1</v>
      </c>
      <c r="W1662">
        <f t="shared" si="129"/>
        <v>0</v>
      </c>
      <c r="X1662">
        <v>1</v>
      </c>
      <c r="Y1662" s="2">
        <v>45768</v>
      </c>
      <c r="Z1662" s="3" t="s">
        <v>56</v>
      </c>
      <c r="AA1662" t="s">
        <v>39</v>
      </c>
      <c r="AB1662" t="s">
        <v>40</v>
      </c>
      <c r="AC1662" t="s">
        <v>40</v>
      </c>
      <c r="AD1662" t="s">
        <v>184</v>
      </c>
    </row>
    <row r="1663" spans="2:30">
      <c r="B1663">
        <v>1</v>
      </c>
      <c r="C1663">
        <v>1020</v>
      </c>
      <c r="D1663" t="s">
        <v>172</v>
      </c>
      <c r="E1663">
        <v>10599382</v>
      </c>
      <c r="F1663" t="s">
        <v>1758</v>
      </c>
      <c r="G1663" t="s">
        <v>52</v>
      </c>
      <c r="H1663" t="s">
        <v>32</v>
      </c>
      <c r="I1663" t="s">
        <v>584</v>
      </c>
      <c r="J1663" t="s">
        <v>45</v>
      </c>
      <c r="K1663" t="s">
        <v>35</v>
      </c>
      <c r="L1663" t="s">
        <v>175</v>
      </c>
      <c r="M1663" t="s">
        <v>117</v>
      </c>
      <c r="N1663">
        <v>0</v>
      </c>
      <c r="O1663">
        <v>0</v>
      </c>
      <c r="P1663">
        <v>0</v>
      </c>
      <c r="Q1663">
        <v>0</v>
      </c>
      <c r="R1663">
        <v>0</v>
      </c>
      <c r="S1663" t="str">
        <f t="shared" si="125"/>
        <v>PZ: Alta Crit.</v>
      </c>
      <c r="T1663">
        <f t="shared" si="126"/>
        <v>1</v>
      </c>
      <c r="U1663">
        <f t="shared" si="127"/>
        <v>0</v>
      </c>
      <c r="V1663">
        <f t="shared" si="128"/>
        <v>0</v>
      </c>
      <c r="W1663">
        <f t="shared" si="129"/>
        <v>0</v>
      </c>
      <c r="X1663">
        <v>1</v>
      </c>
      <c r="Y1663" s="2">
        <v>45768</v>
      </c>
      <c r="Z1663" s="3" t="s">
        <v>118</v>
      </c>
      <c r="AA1663" t="s">
        <v>39</v>
      </c>
      <c r="AB1663" t="s">
        <v>40</v>
      </c>
      <c r="AC1663" t="s">
        <v>40</v>
      </c>
      <c r="AD1663" t="s">
        <v>585</v>
      </c>
    </row>
    <row r="1664" spans="2:30">
      <c r="B1664">
        <v>1</v>
      </c>
      <c r="C1664">
        <v>1020</v>
      </c>
      <c r="D1664" t="s">
        <v>181</v>
      </c>
      <c r="E1664">
        <v>10599486</v>
      </c>
      <c r="F1664" t="s">
        <v>1759</v>
      </c>
      <c r="G1664" t="s">
        <v>43</v>
      </c>
      <c r="H1664" t="s">
        <v>32</v>
      </c>
      <c r="I1664" t="s">
        <v>183</v>
      </c>
      <c r="J1664" t="s">
        <v>45</v>
      </c>
      <c r="K1664" t="s">
        <v>35</v>
      </c>
      <c r="L1664" t="s">
        <v>36</v>
      </c>
      <c r="M1664" t="s">
        <v>69</v>
      </c>
      <c r="N1664">
        <v>4</v>
      </c>
      <c r="O1664">
        <v>3</v>
      </c>
      <c r="P1664">
        <v>1</v>
      </c>
      <c r="Q1664">
        <v>4</v>
      </c>
      <c r="R1664" s="4">
        <v>1638.09</v>
      </c>
      <c r="S1664" t="str">
        <f t="shared" si="125"/>
        <v>PY: Media Crit.</v>
      </c>
      <c r="T1664">
        <f t="shared" si="126"/>
        <v>0</v>
      </c>
      <c r="U1664">
        <f t="shared" si="127"/>
        <v>0</v>
      </c>
      <c r="V1664">
        <f t="shared" si="128"/>
        <v>1</v>
      </c>
      <c r="W1664">
        <f t="shared" si="129"/>
        <v>0</v>
      </c>
      <c r="X1664">
        <v>1</v>
      </c>
      <c r="Y1664" s="2">
        <v>45768</v>
      </c>
      <c r="Z1664" s="3" t="s">
        <v>70</v>
      </c>
      <c r="AA1664" t="s">
        <v>39</v>
      </c>
      <c r="AB1664" t="s">
        <v>40</v>
      </c>
      <c r="AC1664" t="s">
        <v>40</v>
      </c>
      <c r="AD1664" t="s">
        <v>184</v>
      </c>
    </row>
    <row r="1665" spans="2:30">
      <c r="B1665">
        <v>1</v>
      </c>
      <c r="C1665">
        <v>1020</v>
      </c>
      <c r="D1665" t="s">
        <v>388</v>
      </c>
      <c r="E1665">
        <v>10600539</v>
      </c>
      <c r="F1665" t="s">
        <v>1760</v>
      </c>
      <c r="G1665" t="s">
        <v>52</v>
      </c>
      <c r="H1665" t="s">
        <v>32</v>
      </c>
      <c r="I1665" t="s">
        <v>390</v>
      </c>
      <c r="J1665" t="s">
        <v>45</v>
      </c>
      <c r="K1665" t="s">
        <v>35</v>
      </c>
      <c r="L1665" t="s">
        <v>175</v>
      </c>
      <c r="M1665" t="s">
        <v>69</v>
      </c>
      <c r="N1665">
        <v>0</v>
      </c>
      <c r="O1665">
        <v>0</v>
      </c>
      <c r="P1665">
        <v>2</v>
      </c>
      <c r="Q1665">
        <v>0</v>
      </c>
      <c r="R1665">
        <v>0</v>
      </c>
      <c r="S1665" t="str">
        <f t="shared" si="125"/>
        <v>PZ: Alta Crit.</v>
      </c>
      <c r="T1665">
        <f t="shared" si="126"/>
        <v>1</v>
      </c>
      <c r="U1665">
        <f t="shared" si="127"/>
        <v>0</v>
      </c>
      <c r="V1665">
        <f t="shared" si="128"/>
        <v>0</v>
      </c>
      <c r="W1665">
        <f t="shared" si="129"/>
        <v>0</v>
      </c>
      <c r="X1665">
        <v>1</v>
      </c>
      <c r="Y1665" s="2">
        <v>45768</v>
      </c>
      <c r="Z1665" s="3" t="s">
        <v>70</v>
      </c>
      <c r="AA1665" t="s">
        <v>39</v>
      </c>
      <c r="AB1665" t="s">
        <v>76</v>
      </c>
      <c r="AC1665" s="5" t="s">
        <v>77</v>
      </c>
      <c r="AD1665" t="s">
        <v>391</v>
      </c>
    </row>
    <row r="1666" spans="2:30">
      <c r="B1666">
        <v>1</v>
      </c>
      <c r="C1666">
        <v>1020</v>
      </c>
      <c r="D1666" t="s">
        <v>181</v>
      </c>
      <c r="E1666">
        <v>10601454</v>
      </c>
      <c r="F1666" t="s">
        <v>1761</v>
      </c>
      <c r="G1666" t="s">
        <v>31</v>
      </c>
      <c r="H1666" t="s">
        <v>60</v>
      </c>
      <c r="I1666" t="s">
        <v>183</v>
      </c>
      <c r="J1666" t="s">
        <v>45</v>
      </c>
      <c r="K1666" t="s">
        <v>35</v>
      </c>
      <c r="L1666" t="s">
        <v>36</v>
      </c>
      <c r="M1666" t="s">
        <v>69</v>
      </c>
      <c r="N1666">
        <v>4</v>
      </c>
      <c r="O1666">
        <v>2</v>
      </c>
      <c r="P1666">
        <v>1</v>
      </c>
      <c r="Q1666">
        <v>4</v>
      </c>
      <c r="R1666">
        <v>135.84</v>
      </c>
      <c r="S1666" t="str">
        <f t="shared" ref="S1666:S1729" si="130">+IF(G1666="PZ", "PZ: Alta Crit.",IF(G1666="PY","PY: Media Crit.", "PX: Baja Crit."))</f>
        <v>PX: Baja Crit.</v>
      </c>
      <c r="T1666">
        <f t="shared" ref="T1666:T1729" si="131">+IF(Q1666=0,1,0)</f>
        <v>0</v>
      </c>
      <c r="U1666">
        <f t="shared" ref="U1666:U1729" si="132">+IF(AND(Q1666&lt;=P1666,Q1666&gt;0),1,0)</f>
        <v>0</v>
      </c>
      <c r="V1666">
        <f t="shared" ref="V1666:V1729" si="133">+IF(AND(Q1666&gt;P1666,Q1666&lt;=N1666),1,0)</f>
        <v>1</v>
      </c>
      <c r="W1666">
        <f t="shared" ref="W1666:W1729" si="134">+IF(Q1666&gt;N1666,1,0)</f>
        <v>0</v>
      </c>
      <c r="X1666">
        <v>1</v>
      </c>
      <c r="Y1666" s="2">
        <v>45768</v>
      </c>
      <c r="Z1666" s="3" t="s">
        <v>70</v>
      </c>
      <c r="AA1666" t="s">
        <v>39</v>
      </c>
      <c r="AB1666" t="s">
        <v>40</v>
      </c>
      <c r="AC1666" t="s">
        <v>40</v>
      </c>
      <c r="AD1666" t="s">
        <v>184</v>
      </c>
    </row>
    <row r="1667" spans="2:30">
      <c r="B1667">
        <v>1</v>
      </c>
      <c r="C1667">
        <v>1020</v>
      </c>
      <c r="D1667" t="s">
        <v>181</v>
      </c>
      <c r="E1667">
        <v>10607072</v>
      </c>
      <c r="F1667" t="s">
        <v>1762</v>
      </c>
      <c r="G1667" t="s">
        <v>43</v>
      </c>
      <c r="H1667" t="s">
        <v>60</v>
      </c>
      <c r="I1667" t="s">
        <v>183</v>
      </c>
      <c r="J1667" t="s">
        <v>45</v>
      </c>
      <c r="K1667" t="s">
        <v>35</v>
      </c>
      <c r="L1667" t="s">
        <v>36</v>
      </c>
      <c r="M1667" t="s">
        <v>46</v>
      </c>
      <c r="N1667">
        <v>4</v>
      </c>
      <c r="O1667">
        <v>2</v>
      </c>
      <c r="P1667">
        <v>0</v>
      </c>
      <c r="Q1667">
        <v>4</v>
      </c>
      <c r="R1667">
        <v>583.54999999999995</v>
      </c>
      <c r="S1667" t="str">
        <f t="shared" si="130"/>
        <v>PY: Media Crit.</v>
      </c>
      <c r="T1667">
        <f t="shared" si="131"/>
        <v>0</v>
      </c>
      <c r="U1667">
        <f t="shared" si="132"/>
        <v>0</v>
      </c>
      <c r="V1667">
        <f t="shared" si="133"/>
        <v>1</v>
      </c>
      <c r="W1667">
        <f t="shared" si="134"/>
        <v>0</v>
      </c>
      <c r="X1667">
        <v>1</v>
      </c>
      <c r="Y1667" s="2">
        <v>45768</v>
      </c>
      <c r="Z1667" s="3" t="s">
        <v>47</v>
      </c>
      <c r="AA1667" t="s">
        <v>39</v>
      </c>
      <c r="AB1667" t="s">
        <v>40</v>
      </c>
      <c r="AC1667" t="s">
        <v>40</v>
      </c>
      <c r="AD1667" t="s">
        <v>184</v>
      </c>
    </row>
    <row r="1668" spans="2:30">
      <c r="B1668">
        <v>1</v>
      </c>
      <c r="C1668">
        <v>1020</v>
      </c>
      <c r="D1668" t="s">
        <v>181</v>
      </c>
      <c r="E1668">
        <v>10607074</v>
      </c>
      <c r="F1668" t="s">
        <v>1763</v>
      </c>
      <c r="G1668" t="s">
        <v>43</v>
      </c>
      <c r="H1668" t="s">
        <v>32</v>
      </c>
      <c r="I1668" t="s">
        <v>183</v>
      </c>
      <c r="J1668" t="s">
        <v>45</v>
      </c>
      <c r="K1668" t="s">
        <v>35</v>
      </c>
      <c r="L1668" t="s">
        <v>36</v>
      </c>
      <c r="M1668" t="s">
        <v>37</v>
      </c>
      <c r="N1668">
        <v>4</v>
      </c>
      <c r="O1668">
        <v>3</v>
      </c>
      <c r="P1668">
        <v>1</v>
      </c>
      <c r="Q1668">
        <v>4</v>
      </c>
      <c r="R1668">
        <v>386.41</v>
      </c>
      <c r="S1668" t="str">
        <f t="shared" si="130"/>
        <v>PY: Media Crit.</v>
      </c>
      <c r="T1668">
        <f t="shared" si="131"/>
        <v>0</v>
      </c>
      <c r="U1668">
        <f t="shared" si="132"/>
        <v>0</v>
      </c>
      <c r="V1668">
        <f t="shared" si="133"/>
        <v>1</v>
      </c>
      <c r="W1668">
        <f t="shared" si="134"/>
        <v>0</v>
      </c>
      <c r="X1668">
        <v>1</v>
      </c>
      <c r="Y1668" s="2">
        <v>45768</v>
      </c>
      <c r="Z1668" s="3" t="s">
        <v>38</v>
      </c>
      <c r="AA1668" t="s">
        <v>39</v>
      </c>
      <c r="AB1668" t="s">
        <v>40</v>
      </c>
      <c r="AC1668" t="s">
        <v>40</v>
      </c>
      <c r="AD1668" t="s">
        <v>184</v>
      </c>
    </row>
    <row r="1669" spans="2:30">
      <c r="B1669">
        <v>1</v>
      </c>
      <c r="C1669">
        <v>1020</v>
      </c>
      <c r="D1669" t="s">
        <v>181</v>
      </c>
      <c r="E1669">
        <v>10608342</v>
      </c>
      <c r="F1669" t="s">
        <v>1764</v>
      </c>
      <c r="G1669" t="s">
        <v>43</v>
      </c>
      <c r="H1669" t="s">
        <v>60</v>
      </c>
      <c r="I1669" t="s">
        <v>183</v>
      </c>
      <c r="J1669" t="s">
        <v>45</v>
      </c>
      <c r="K1669" t="s">
        <v>35</v>
      </c>
      <c r="L1669" t="s">
        <v>36</v>
      </c>
      <c r="M1669" t="s">
        <v>69</v>
      </c>
      <c r="N1669">
        <v>6</v>
      </c>
      <c r="O1669">
        <v>4</v>
      </c>
      <c r="P1669">
        <v>0</v>
      </c>
      <c r="Q1669">
        <v>4</v>
      </c>
      <c r="R1669" s="4">
        <v>3261.73</v>
      </c>
      <c r="S1669" t="str">
        <f t="shared" si="130"/>
        <v>PY: Media Crit.</v>
      </c>
      <c r="T1669">
        <f t="shared" si="131"/>
        <v>0</v>
      </c>
      <c r="U1669">
        <f t="shared" si="132"/>
        <v>0</v>
      </c>
      <c r="V1669">
        <f t="shared" si="133"/>
        <v>1</v>
      </c>
      <c r="W1669">
        <f t="shared" si="134"/>
        <v>0</v>
      </c>
      <c r="X1669">
        <v>1</v>
      </c>
      <c r="Y1669" s="2">
        <v>45768</v>
      </c>
      <c r="Z1669" s="3" t="s">
        <v>70</v>
      </c>
      <c r="AA1669" t="s">
        <v>39</v>
      </c>
      <c r="AB1669" t="s">
        <v>40</v>
      </c>
      <c r="AC1669" t="s">
        <v>40</v>
      </c>
      <c r="AD1669" t="s">
        <v>184</v>
      </c>
    </row>
    <row r="1670" spans="2:30">
      <c r="B1670">
        <v>1</v>
      </c>
      <c r="C1670">
        <v>1020</v>
      </c>
      <c r="D1670" t="s">
        <v>181</v>
      </c>
      <c r="E1670">
        <v>10608461</v>
      </c>
      <c r="F1670" t="s">
        <v>1765</v>
      </c>
      <c r="G1670" t="s">
        <v>31</v>
      </c>
      <c r="H1670" t="s">
        <v>32</v>
      </c>
      <c r="I1670" t="s">
        <v>183</v>
      </c>
      <c r="J1670" t="s">
        <v>45</v>
      </c>
      <c r="K1670" t="s">
        <v>35</v>
      </c>
      <c r="L1670" t="s">
        <v>36</v>
      </c>
      <c r="M1670" t="s">
        <v>69</v>
      </c>
      <c r="N1670">
        <v>1</v>
      </c>
      <c r="O1670">
        <v>1</v>
      </c>
      <c r="P1670">
        <v>1</v>
      </c>
      <c r="Q1670">
        <v>1</v>
      </c>
      <c r="R1670">
        <v>235.94</v>
      </c>
      <c r="S1670" t="str">
        <f t="shared" si="130"/>
        <v>PX: Baja Crit.</v>
      </c>
      <c r="T1670">
        <f t="shared" si="131"/>
        <v>0</v>
      </c>
      <c r="U1670">
        <f t="shared" si="132"/>
        <v>1</v>
      </c>
      <c r="V1670">
        <f t="shared" si="133"/>
        <v>0</v>
      </c>
      <c r="W1670">
        <f t="shared" si="134"/>
        <v>0</v>
      </c>
      <c r="X1670">
        <v>1</v>
      </c>
      <c r="Y1670" s="2">
        <v>45768</v>
      </c>
      <c r="Z1670" s="3" t="s">
        <v>70</v>
      </c>
      <c r="AA1670" t="s">
        <v>39</v>
      </c>
      <c r="AB1670" t="s">
        <v>40</v>
      </c>
      <c r="AC1670" t="s">
        <v>40</v>
      </c>
      <c r="AD1670" t="s">
        <v>184</v>
      </c>
    </row>
    <row r="1671" spans="2:30">
      <c r="B1671">
        <v>1</v>
      </c>
      <c r="C1671">
        <v>1020</v>
      </c>
      <c r="D1671" t="s">
        <v>181</v>
      </c>
      <c r="E1671">
        <v>10611335</v>
      </c>
      <c r="F1671" t="s">
        <v>1766</v>
      </c>
      <c r="G1671" t="s">
        <v>43</v>
      </c>
      <c r="H1671" t="s">
        <v>32</v>
      </c>
      <c r="I1671" t="s">
        <v>183</v>
      </c>
      <c r="J1671" t="s">
        <v>45</v>
      </c>
      <c r="K1671" t="s">
        <v>35</v>
      </c>
      <c r="L1671" t="s">
        <v>36</v>
      </c>
      <c r="M1671" t="s">
        <v>88</v>
      </c>
      <c r="N1671">
        <v>200</v>
      </c>
      <c r="O1671">
        <v>101</v>
      </c>
      <c r="P1671">
        <v>20</v>
      </c>
      <c r="Q1671">
        <v>200</v>
      </c>
      <c r="R1671">
        <v>102</v>
      </c>
      <c r="S1671" t="str">
        <f t="shared" si="130"/>
        <v>PY: Media Crit.</v>
      </c>
      <c r="T1671">
        <f t="shared" si="131"/>
        <v>0</v>
      </c>
      <c r="U1671">
        <f t="shared" si="132"/>
        <v>0</v>
      </c>
      <c r="V1671">
        <f t="shared" si="133"/>
        <v>1</v>
      </c>
      <c r="W1671">
        <f t="shared" si="134"/>
        <v>0</v>
      </c>
      <c r="X1671">
        <v>1</v>
      </c>
      <c r="Y1671" s="2">
        <v>45768</v>
      </c>
      <c r="Z1671" s="3" t="s">
        <v>89</v>
      </c>
      <c r="AA1671" t="s">
        <v>39</v>
      </c>
      <c r="AB1671" t="s">
        <v>40</v>
      </c>
      <c r="AC1671" t="s">
        <v>40</v>
      </c>
      <c r="AD1671" t="s">
        <v>184</v>
      </c>
    </row>
    <row r="1672" spans="2:30">
      <c r="B1672">
        <v>1</v>
      </c>
      <c r="C1672">
        <v>1020</v>
      </c>
      <c r="D1672" t="s">
        <v>388</v>
      </c>
      <c r="E1672">
        <v>10612111</v>
      </c>
      <c r="F1672" t="s">
        <v>1767</v>
      </c>
      <c r="G1672" t="s">
        <v>52</v>
      </c>
      <c r="H1672" t="s">
        <v>32</v>
      </c>
      <c r="I1672" t="s">
        <v>390</v>
      </c>
      <c r="J1672" t="s">
        <v>45</v>
      </c>
      <c r="K1672" t="s">
        <v>35</v>
      </c>
      <c r="L1672" t="s">
        <v>175</v>
      </c>
      <c r="M1672" t="s">
        <v>69</v>
      </c>
      <c r="N1672">
        <v>0</v>
      </c>
      <c r="O1672">
        <v>0</v>
      </c>
      <c r="P1672">
        <v>1</v>
      </c>
      <c r="Q1672">
        <v>0</v>
      </c>
      <c r="R1672">
        <v>0</v>
      </c>
      <c r="S1672" t="str">
        <f t="shared" si="130"/>
        <v>PZ: Alta Crit.</v>
      </c>
      <c r="T1672">
        <f t="shared" si="131"/>
        <v>1</v>
      </c>
      <c r="U1672">
        <f t="shared" si="132"/>
        <v>0</v>
      </c>
      <c r="V1672">
        <f t="shared" si="133"/>
        <v>0</v>
      </c>
      <c r="W1672">
        <f t="shared" si="134"/>
        <v>0</v>
      </c>
      <c r="X1672">
        <v>1</v>
      </c>
      <c r="Y1672" s="2">
        <v>45768</v>
      </c>
      <c r="Z1672" s="3" t="s">
        <v>70</v>
      </c>
      <c r="AA1672" t="s">
        <v>39</v>
      </c>
      <c r="AB1672" t="s">
        <v>49</v>
      </c>
      <c r="AC1672" s="5" t="s">
        <v>50</v>
      </c>
      <c r="AD1672" t="s">
        <v>391</v>
      </c>
    </row>
    <row r="1673" spans="2:30">
      <c r="B1673">
        <v>1</v>
      </c>
      <c r="C1673">
        <v>1020</v>
      </c>
      <c r="D1673" t="s">
        <v>693</v>
      </c>
      <c r="E1673">
        <v>10612137</v>
      </c>
      <c r="F1673" t="s">
        <v>1768</v>
      </c>
      <c r="G1673" t="s">
        <v>52</v>
      </c>
      <c r="H1673" t="s">
        <v>32</v>
      </c>
      <c r="I1673" t="s">
        <v>695</v>
      </c>
      <c r="J1673" t="s">
        <v>45</v>
      </c>
      <c r="K1673" t="s">
        <v>35</v>
      </c>
      <c r="L1673" t="s">
        <v>175</v>
      </c>
      <c r="M1673" t="s">
        <v>37</v>
      </c>
      <c r="N1673">
        <v>0</v>
      </c>
      <c r="O1673">
        <v>0</v>
      </c>
      <c r="P1673">
        <v>0</v>
      </c>
      <c r="Q1673">
        <v>0</v>
      </c>
      <c r="R1673">
        <v>0</v>
      </c>
      <c r="S1673" t="str">
        <f t="shared" si="130"/>
        <v>PZ: Alta Crit.</v>
      </c>
      <c r="T1673">
        <f t="shared" si="131"/>
        <v>1</v>
      </c>
      <c r="U1673">
        <f t="shared" si="132"/>
        <v>0</v>
      </c>
      <c r="V1673">
        <f t="shared" si="133"/>
        <v>0</v>
      </c>
      <c r="W1673">
        <f t="shared" si="134"/>
        <v>0</v>
      </c>
      <c r="X1673">
        <v>1</v>
      </c>
      <c r="Y1673" s="2">
        <v>45768</v>
      </c>
      <c r="Z1673" s="3" t="s">
        <v>38</v>
      </c>
      <c r="AA1673" t="s">
        <v>39</v>
      </c>
      <c r="AB1673" t="s">
        <v>40</v>
      </c>
      <c r="AC1673" t="s">
        <v>40</v>
      </c>
      <c r="AD1673" t="s">
        <v>696</v>
      </c>
    </row>
    <row r="1674" spans="2:30">
      <c r="B1674">
        <v>1</v>
      </c>
      <c r="C1674">
        <v>1020</v>
      </c>
      <c r="D1674" t="s">
        <v>181</v>
      </c>
      <c r="E1674">
        <v>10612593</v>
      </c>
      <c r="F1674" t="s">
        <v>1769</v>
      </c>
      <c r="G1674" t="s">
        <v>43</v>
      </c>
      <c r="H1674" t="s">
        <v>60</v>
      </c>
      <c r="I1674" t="s">
        <v>183</v>
      </c>
      <c r="J1674" t="s">
        <v>45</v>
      </c>
      <c r="K1674" t="s">
        <v>35</v>
      </c>
      <c r="L1674" t="s">
        <v>36</v>
      </c>
      <c r="M1674" t="s">
        <v>88</v>
      </c>
      <c r="N1674">
        <v>4</v>
      </c>
      <c r="O1674">
        <v>3</v>
      </c>
      <c r="P1674">
        <v>0</v>
      </c>
      <c r="Q1674">
        <v>0</v>
      </c>
      <c r="R1674">
        <v>0</v>
      </c>
      <c r="S1674" t="str">
        <f t="shared" si="130"/>
        <v>PY: Media Crit.</v>
      </c>
      <c r="T1674">
        <f t="shared" si="131"/>
        <v>1</v>
      </c>
      <c r="U1674">
        <f t="shared" si="132"/>
        <v>0</v>
      </c>
      <c r="V1674">
        <f t="shared" si="133"/>
        <v>0</v>
      </c>
      <c r="W1674">
        <f t="shared" si="134"/>
        <v>0</v>
      </c>
      <c r="X1674">
        <v>1</v>
      </c>
      <c r="Y1674" s="2">
        <v>45768</v>
      </c>
      <c r="Z1674" s="3" t="s">
        <v>89</v>
      </c>
      <c r="AA1674" t="s">
        <v>39</v>
      </c>
      <c r="AB1674" t="s">
        <v>49</v>
      </c>
      <c r="AC1674" s="5" t="s">
        <v>50</v>
      </c>
      <c r="AD1674" t="s">
        <v>184</v>
      </c>
    </row>
    <row r="1675" spans="2:30">
      <c r="B1675">
        <v>1</v>
      </c>
      <c r="C1675">
        <v>1020</v>
      </c>
      <c r="D1675" t="s">
        <v>388</v>
      </c>
      <c r="E1675">
        <v>10615273</v>
      </c>
      <c r="F1675" t="s">
        <v>1770</v>
      </c>
      <c r="G1675" t="s">
        <v>52</v>
      </c>
      <c r="H1675" t="s">
        <v>32</v>
      </c>
      <c r="I1675" t="s">
        <v>390</v>
      </c>
      <c r="J1675" t="s">
        <v>45</v>
      </c>
      <c r="K1675" t="s">
        <v>35</v>
      </c>
      <c r="L1675" t="s">
        <v>175</v>
      </c>
      <c r="M1675" t="s">
        <v>69</v>
      </c>
      <c r="N1675">
        <v>0</v>
      </c>
      <c r="O1675">
        <v>0</v>
      </c>
      <c r="P1675">
        <v>1</v>
      </c>
      <c r="Q1675">
        <v>1</v>
      </c>
      <c r="R1675">
        <v>0</v>
      </c>
      <c r="S1675" t="str">
        <f t="shared" si="130"/>
        <v>PZ: Alta Crit.</v>
      </c>
      <c r="T1675">
        <f t="shared" si="131"/>
        <v>0</v>
      </c>
      <c r="U1675">
        <f t="shared" si="132"/>
        <v>1</v>
      </c>
      <c r="V1675">
        <f t="shared" si="133"/>
        <v>0</v>
      </c>
      <c r="W1675">
        <f t="shared" si="134"/>
        <v>1</v>
      </c>
      <c r="X1675">
        <v>1</v>
      </c>
      <c r="Y1675" s="2">
        <v>45768</v>
      </c>
      <c r="Z1675" s="3" t="s">
        <v>70</v>
      </c>
      <c r="AA1675" t="s">
        <v>39</v>
      </c>
      <c r="AB1675" t="s">
        <v>40</v>
      </c>
      <c r="AC1675" t="s">
        <v>40</v>
      </c>
      <c r="AD1675" t="s">
        <v>391</v>
      </c>
    </row>
    <row r="1676" spans="2:30">
      <c r="B1676">
        <v>1</v>
      </c>
      <c r="C1676">
        <v>1020</v>
      </c>
      <c r="D1676" t="s">
        <v>181</v>
      </c>
      <c r="E1676">
        <v>10615567</v>
      </c>
      <c r="F1676" t="s">
        <v>1771</v>
      </c>
      <c r="G1676" t="s">
        <v>43</v>
      </c>
      <c r="H1676" t="s">
        <v>44</v>
      </c>
      <c r="I1676" t="s">
        <v>183</v>
      </c>
      <c r="J1676" t="s">
        <v>45</v>
      </c>
      <c r="K1676" t="s">
        <v>260</v>
      </c>
      <c r="L1676" t="s">
        <v>36</v>
      </c>
      <c r="M1676" t="s">
        <v>46</v>
      </c>
      <c r="N1676">
        <v>5</v>
      </c>
      <c r="O1676">
        <v>3</v>
      </c>
      <c r="P1676">
        <v>0</v>
      </c>
      <c r="Q1676">
        <v>5</v>
      </c>
      <c r="R1676" s="4">
        <v>2209.33</v>
      </c>
      <c r="S1676" t="str">
        <f t="shared" si="130"/>
        <v>PY: Media Crit.</v>
      </c>
      <c r="T1676">
        <f t="shared" si="131"/>
        <v>0</v>
      </c>
      <c r="U1676">
        <f t="shared" si="132"/>
        <v>0</v>
      </c>
      <c r="V1676">
        <f t="shared" si="133"/>
        <v>1</v>
      </c>
      <c r="W1676">
        <f t="shared" si="134"/>
        <v>0</v>
      </c>
      <c r="X1676">
        <v>1</v>
      </c>
      <c r="Y1676" s="2">
        <v>45768</v>
      </c>
      <c r="Z1676" s="3" t="s">
        <v>47</v>
      </c>
      <c r="AA1676" t="s">
        <v>39</v>
      </c>
      <c r="AB1676" t="s">
        <v>40</v>
      </c>
      <c r="AC1676" t="s">
        <v>40</v>
      </c>
      <c r="AD1676" t="s">
        <v>184</v>
      </c>
    </row>
    <row r="1677" spans="2:30">
      <c r="B1677">
        <v>1</v>
      </c>
      <c r="C1677">
        <v>1020</v>
      </c>
      <c r="D1677" t="s">
        <v>181</v>
      </c>
      <c r="E1677">
        <v>10615568</v>
      </c>
      <c r="F1677" t="s">
        <v>1772</v>
      </c>
      <c r="G1677" t="s">
        <v>43</v>
      </c>
      <c r="H1677" t="s">
        <v>60</v>
      </c>
      <c r="I1677" t="s">
        <v>183</v>
      </c>
      <c r="J1677" t="s">
        <v>45</v>
      </c>
      <c r="K1677" t="s">
        <v>260</v>
      </c>
      <c r="L1677" t="s">
        <v>36</v>
      </c>
      <c r="M1677" t="s">
        <v>46</v>
      </c>
      <c r="N1677">
        <v>5</v>
      </c>
      <c r="O1677">
        <v>3</v>
      </c>
      <c r="P1677">
        <v>0</v>
      </c>
      <c r="Q1677">
        <v>5</v>
      </c>
      <c r="R1677" s="4">
        <v>1799.38</v>
      </c>
      <c r="S1677" t="str">
        <f t="shared" si="130"/>
        <v>PY: Media Crit.</v>
      </c>
      <c r="T1677">
        <f t="shared" si="131"/>
        <v>0</v>
      </c>
      <c r="U1677">
        <f t="shared" si="132"/>
        <v>0</v>
      </c>
      <c r="V1677">
        <f t="shared" si="133"/>
        <v>1</v>
      </c>
      <c r="W1677">
        <f t="shared" si="134"/>
        <v>0</v>
      </c>
      <c r="X1677">
        <v>1</v>
      </c>
      <c r="Y1677" s="2">
        <v>45768</v>
      </c>
      <c r="Z1677" s="3" t="s">
        <v>47</v>
      </c>
      <c r="AA1677" t="s">
        <v>39</v>
      </c>
      <c r="AB1677" t="s">
        <v>40</v>
      </c>
      <c r="AC1677" t="s">
        <v>40</v>
      </c>
      <c r="AD1677" t="s">
        <v>184</v>
      </c>
    </row>
    <row r="1678" spans="2:30">
      <c r="B1678">
        <v>1</v>
      </c>
      <c r="C1678">
        <v>1020</v>
      </c>
      <c r="D1678" t="s">
        <v>181</v>
      </c>
      <c r="E1678">
        <v>10615571</v>
      </c>
      <c r="F1678" t="s">
        <v>1773</v>
      </c>
      <c r="G1678" t="s">
        <v>43</v>
      </c>
      <c r="H1678" t="s">
        <v>60</v>
      </c>
      <c r="I1678" t="s">
        <v>183</v>
      </c>
      <c r="J1678" t="s">
        <v>45</v>
      </c>
      <c r="K1678" t="s">
        <v>260</v>
      </c>
      <c r="L1678" t="s">
        <v>36</v>
      </c>
      <c r="M1678" t="s">
        <v>46</v>
      </c>
      <c r="N1678">
        <v>5</v>
      </c>
      <c r="O1678">
        <v>3</v>
      </c>
      <c r="P1678">
        <v>0</v>
      </c>
      <c r="Q1678">
        <v>5</v>
      </c>
      <c r="R1678" s="4">
        <v>1139.1500000000001</v>
      </c>
      <c r="S1678" t="str">
        <f t="shared" si="130"/>
        <v>PY: Media Crit.</v>
      </c>
      <c r="T1678">
        <f t="shared" si="131"/>
        <v>0</v>
      </c>
      <c r="U1678">
        <f t="shared" si="132"/>
        <v>0</v>
      </c>
      <c r="V1678">
        <f t="shared" si="133"/>
        <v>1</v>
      </c>
      <c r="W1678">
        <f t="shared" si="134"/>
        <v>0</v>
      </c>
      <c r="X1678">
        <v>1</v>
      </c>
      <c r="Y1678" s="2">
        <v>45768</v>
      </c>
      <c r="Z1678" s="3" t="s">
        <v>47</v>
      </c>
      <c r="AA1678" t="s">
        <v>39</v>
      </c>
      <c r="AB1678" t="s">
        <v>40</v>
      </c>
      <c r="AC1678" t="s">
        <v>40</v>
      </c>
      <c r="AD1678" t="s">
        <v>184</v>
      </c>
    </row>
    <row r="1679" spans="2:30">
      <c r="B1679">
        <v>1</v>
      </c>
      <c r="C1679">
        <v>1020</v>
      </c>
      <c r="D1679" t="s">
        <v>181</v>
      </c>
      <c r="E1679">
        <v>10615572</v>
      </c>
      <c r="F1679" t="s">
        <v>1774</v>
      </c>
      <c r="G1679" t="s">
        <v>43</v>
      </c>
      <c r="H1679" t="s">
        <v>60</v>
      </c>
      <c r="I1679" t="s">
        <v>183</v>
      </c>
      <c r="J1679" t="s">
        <v>45</v>
      </c>
      <c r="K1679" t="s">
        <v>260</v>
      </c>
      <c r="L1679" t="s">
        <v>36</v>
      </c>
      <c r="M1679" t="s">
        <v>46</v>
      </c>
      <c r="N1679">
        <v>5</v>
      </c>
      <c r="O1679">
        <v>3</v>
      </c>
      <c r="P1679">
        <v>0</v>
      </c>
      <c r="Q1679">
        <v>5</v>
      </c>
      <c r="R1679">
        <v>412.5</v>
      </c>
      <c r="S1679" t="str">
        <f t="shared" si="130"/>
        <v>PY: Media Crit.</v>
      </c>
      <c r="T1679">
        <f t="shared" si="131"/>
        <v>0</v>
      </c>
      <c r="U1679">
        <f t="shared" si="132"/>
        <v>0</v>
      </c>
      <c r="V1679">
        <f t="shared" si="133"/>
        <v>1</v>
      </c>
      <c r="W1679">
        <f t="shared" si="134"/>
        <v>0</v>
      </c>
      <c r="X1679">
        <v>1</v>
      </c>
      <c r="Y1679" s="2">
        <v>45768</v>
      </c>
      <c r="Z1679" s="3" t="s">
        <v>47</v>
      </c>
      <c r="AA1679" t="s">
        <v>39</v>
      </c>
      <c r="AB1679" t="s">
        <v>40</v>
      </c>
      <c r="AC1679" t="s">
        <v>40</v>
      </c>
      <c r="AD1679" t="s">
        <v>184</v>
      </c>
    </row>
    <row r="1680" spans="2:30">
      <c r="B1680">
        <v>1</v>
      </c>
      <c r="C1680">
        <v>1020</v>
      </c>
      <c r="D1680" t="s">
        <v>181</v>
      </c>
      <c r="E1680">
        <v>10615602</v>
      </c>
      <c r="F1680" t="s">
        <v>1775</v>
      </c>
      <c r="G1680" t="s">
        <v>43</v>
      </c>
      <c r="H1680" t="s">
        <v>44</v>
      </c>
      <c r="I1680" t="s">
        <v>183</v>
      </c>
      <c r="J1680" t="s">
        <v>45</v>
      </c>
      <c r="K1680" t="s">
        <v>260</v>
      </c>
      <c r="L1680" t="s">
        <v>36</v>
      </c>
      <c r="M1680" t="s">
        <v>46</v>
      </c>
      <c r="N1680">
        <v>5</v>
      </c>
      <c r="O1680">
        <v>3</v>
      </c>
      <c r="P1680">
        <v>0</v>
      </c>
      <c r="Q1680">
        <v>5</v>
      </c>
      <c r="R1680" s="4">
        <v>1153.43</v>
      </c>
      <c r="S1680" t="str">
        <f t="shared" si="130"/>
        <v>PY: Media Crit.</v>
      </c>
      <c r="T1680">
        <f t="shared" si="131"/>
        <v>0</v>
      </c>
      <c r="U1680">
        <f t="shared" si="132"/>
        <v>0</v>
      </c>
      <c r="V1680">
        <f t="shared" si="133"/>
        <v>1</v>
      </c>
      <c r="W1680">
        <f t="shared" si="134"/>
        <v>0</v>
      </c>
      <c r="X1680">
        <v>1</v>
      </c>
      <c r="Y1680" s="2">
        <v>45768</v>
      </c>
      <c r="Z1680" s="3" t="s">
        <v>47</v>
      </c>
      <c r="AA1680" t="s">
        <v>39</v>
      </c>
      <c r="AB1680" t="s">
        <v>40</v>
      </c>
      <c r="AC1680" t="s">
        <v>40</v>
      </c>
      <c r="AD1680" t="s">
        <v>184</v>
      </c>
    </row>
    <row r="1681" spans="2:30">
      <c r="B1681">
        <v>1</v>
      </c>
      <c r="C1681">
        <v>1020</v>
      </c>
      <c r="D1681" t="s">
        <v>388</v>
      </c>
      <c r="E1681">
        <v>10616131</v>
      </c>
      <c r="F1681" t="s">
        <v>1776</v>
      </c>
      <c r="G1681" t="s">
        <v>52</v>
      </c>
      <c r="H1681" t="s">
        <v>32</v>
      </c>
      <c r="I1681" t="s">
        <v>390</v>
      </c>
      <c r="J1681" t="s">
        <v>45</v>
      </c>
      <c r="K1681" t="s">
        <v>35</v>
      </c>
      <c r="L1681" t="s">
        <v>175</v>
      </c>
      <c r="M1681" t="s">
        <v>69</v>
      </c>
      <c r="N1681">
        <v>0</v>
      </c>
      <c r="O1681">
        <v>0</v>
      </c>
      <c r="P1681">
        <v>1</v>
      </c>
      <c r="Q1681">
        <v>1</v>
      </c>
      <c r="R1681" s="4">
        <v>6908.5</v>
      </c>
      <c r="S1681" t="str">
        <f t="shared" si="130"/>
        <v>PZ: Alta Crit.</v>
      </c>
      <c r="T1681">
        <f t="shared" si="131"/>
        <v>0</v>
      </c>
      <c r="U1681">
        <f t="shared" si="132"/>
        <v>1</v>
      </c>
      <c r="V1681">
        <f t="shared" si="133"/>
        <v>0</v>
      </c>
      <c r="W1681">
        <f t="shared" si="134"/>
        <v>1</v>
      </c>
      <c r="X1681">
        <v>1</v>
      </c>
      <c r="Y1681" s="2">
        <v>45768</v>
      </c>
      <c r="Z1681" s="3" t="s">
        <v>70</v>
      </c>
      <c r="AA1681" t="s">
        <v>39</v>
      </c>
      <c r="AB1681" t="s">
        <v>40</v>
      </c>
      <c r="AC1681" t="s">
        <v>40</v>
      </c>
      <c r="AD1681" t="s">
        <v>391</v>
      </c>
    </row>
    <row r="1682" spans="2:30">
      <c r="B1682">
        <v>1</v>
      </c>
      <c r="C1682">
        <v>1020</v>
      </c>
      <c r="D1682" t="s">
        <v>181</v>
      </c>
      <c r="E1682">
        <v>10616175</v>
      </c>
      <c r="F1682" t="s">
        <v>1777</v>
      </c>
      <c r="G1682" t="s">
        <v>43</v>
      </c>
      <c r="H1682" t="s">
        <v>60</v>
      </c>
      <c r="I1682" t="s">
        <v>183</v>
      </c>
      <c r="J1682" t="s">
        <v>45</v>
      </c>
      <c r="K1682" t="s">
        <v>35</v>
      </c>
      <c r="L1682" t="s">
        <v>36</v>
      </c>
      <c r="M1682" t="s">
        <v>69</v>
      </c>
      <c r="N1682">
        <v>5</v>
      </c>
      <c r="O1682">
        <v>3</v>
      </c>
      <c r="P1682">
        <v>0</v>
      </c>
      <c r="Q1682">
        <v>5</v>
      </c>
      <c r="R1682">
        <v>760.65</v>
      </c>
      <c r="S1682" t="str">
        <f t="shared" si="130"/>
        <v>PY: Media Crit.</v>
      </c>
      <c r="T1682">
        <f t="shared" si="131"/>
        <v>0</v>
      </c>
      <c r="U1682">
        <f t="shared" si="132"/>
        <v>0</v>
      </c>
      <c r="V1682">
        <f t="shared" si="133"/>
        <v>1</v>
      </c>
      <c r="W1682">
        <f t="shared" si="134"/>
        <v>0</v>
      </c>
      <c r="X1682">
        <v>1</v>
      </c>
      <c r="Y1682" s="2">
        <v>45768</v>
      </c>
      <c r="Z1682" s="3" t="s">
        <v>70</v>
      </c>
      <c r="AA1682" t="s">
        <v>39</v>
      </c>
      <c r="AB1682" t="s">
        <v>40</v>
      </c>
      <c r="AC1682" t="s">
        <v>40</v>
      </c>
      <c r="AD1682" t="s">
        <v>184</v>
      </c>
    </row>
    <row r="1683" spans="2:30">
      <c r="B1683">
        <v>1</v>
      </c>
      <c r="C1683">
        <v>1020</v>
      </c>
      <c r="D1683" t="s">
        <v>181</v>
      </c>
      <c r="E1683">
        <v>10616176</v>
      </c>
      <c r="F1683" t="s">
        <v>1778</v>
      </c>
      <c r="G1683" t="s">
        <v>43</v>
      </c>
      <c r="H1683" t="s">
        <v>60</v>
      </c>
      <c r="I1683" t="s">
        <v>183</v>
      </c>
      <c r="J1683" t="s">
        <v>45</v>
      </c>
      <c r="K1683" t="s">
        <v>35</v>
      </c>
      <c r="L1683" t="s">
        <v>36</v>
      </c>
      <c r="M1683" t="s">
        <v>69</v>
      </c>
      <c r="N1683">
        <v>5</v>
      </c>
      <c r="O1683">
        <v>3</v>
      </c>
      <c r="P1683">
        <v>0</v>
      </c>
      <c r="Q1683">
        <v>5</v>
      </c>
      <c r="R1683">
        <v>709.25</v>
      </c>
      <c r="S1683" t="str">
        <f t="shared" si="130"/>
        <v>PY: Media Crit.</v>
      </c>
      <c r="T1683">
        <f t="shared" si="131"/>
        <v>0</v>
      </c>
      <c r="U1683">
        <f t="shared" si="132"/>
        <v>0</v>
      </c>
      <c r="V1683">
        <f t="shared" si="133"/>
        <v>1</v>
      </c>
      <c r="W1683">
        <f t="shared" si="134"/>
        <v>0</v>
      </c>
      <c r="X1683">
        <v>1</v>
      </c>
      <c r="Y1683" s="2">
        <v>45768</v>
      </c>
      <c r="Z1683" s="3" t="s">
        <v>70</v>
      </c>
      <c r="AA1683" t="s">
        <v>39</v>
      </c>
      <c r="AB1683" t="s">
        <v>40</v>
      </c>
      <c r="AC1683" t="s">
        <v>40</v>
      </c>
      <c r="AD1683" t="s">
        <v>184</v>
      </c>
    </row>
    <row r="1684" spans="2:30">
      <c r="B1684">
        <v>1</v>
      </c>
      <c r="C1684">
        <v>1020</v>
      </c>
      <c r="D1684" t="s">
        <v>181</v>
      </c>
      <c r="E1684">
        <v>10618198</v>
      </c>
      <c r="F1684" t="s">
        <v>1779</v>
      </c>
      <c r="G1684" t="s">
        <v>43</v>
      </c>
      <c r="H1684" t="s">
        <v>60</v>
      </c>
      <c r="I1684" t="s">
        <v>183</v>
      </c>
      <c r="J1684" t="s">
        <v>45</v>
      </c>
      <c r="K1684" t="s">
        <v>35</v>
      </c>
      <c r="L1684" t="s">
        <v>36</v>
      </c>
      <c r="M1684" t="s">
        <v>37</v>
      </c>
      <c r="N1684">
        <v>2</v>
      </c>
      <c r="O1684">
        <v>2</v>
      </c>
      <c r="P1684">
        <v>1</v>
      </c>
      <c r="Q1684">
        <v>2</v>
      </c>
      <c r="R1684" s="4">
        <v>1170.29</v>
      </c>
      <c r="S1684" t="str">
        <f t="shared" si="130"/>
        <v>PY: Media Crit.</v>
      </c>
      <c r="T1684">
        <f t="shared" si="131"/>
        <v>0</v>
      </c>
      <c r="U1684">
        <f t="shared" si="132"/>
        <v>0</v>
      </c>
      <c r="V1684">
        <f t="shared" si="133"/>
        <v>1</v>
      </c>
      <c r="W1684">
        <f t="shared" si="134"/>
        <v>0</v>
      </c>
      <c r="X1684">
        <v>1</v>
      </c>
      <c r="Y1684" s="2">
        <v>45768</v>
      </c>
      <c r="Z1684" s="3" t="s">
        <v>38</v>
      </c>
      <c r="AA1684" t="s">
        <v>39</v>
      </c>
      <c r="AB1684" t="s">
        <v>40</v>
      </c>
      <c r="AC1684" t="s">
        <v>40</v>
      </c>
      <c r="AD1684" t="s">
        <v>184</v>
      </c>
    </row>
    <row r="1685" spans="2:30">
      <c r="B1685">
        <v>1</v>
      </c>
      <c r="C1685">
        <v>1020</v>
      </c>
      <c r="D1685" t="s">
        <v>388</v>
      </c>
      <c r="E1685">
        <v>10619776</v>
      </c>
      <c r="F1685" t="s">
        <v>1780</v>
      </c>
      <c r="G1685" t="s">
        <v>43</v>
      </c>
      <c r="H1685" t="s">
        <v>60</v>
      </c>
      <c r="I1685" t="s">
        <v>390</v>
      </c>
      <c r="J1685" t="s">
        <v>45</v>
      </c>
      <c r="K1685" t="s">
        <v>35</v>
      </c>
      <c r="L1685" t="s">
        <v>175</v>
      </c>
      <c r="M1685" t="s">
        <v>69</v>
      </c>
      <c r="N1685">
        <v>0</v>
      </c>
      <c r="O1685">
        <v>0</v>
      </c>
      <c r="P1685">
        <v>2</v>
      </c>
      <c r="Q1685">
        <v>2</v>
      </c>
      <c r="R1685" s="4">
        <v>1495.11</v>
      </c>
      <c r="S1685" t="str">
        <f t="shared" si="130"/>
        <v>PY: Media Crit.</v>
      </c>
      <c r="T1685">
        <f t="shared" si="131"/>
        <v>0</v>
      </c>
      <c r="U1685">
        <f t="shared" si="132"/>
        <v>1</v>
      </c>
      <c r="V1685">
        <f t="shared" si="133"/>
        <v>0</v>
      </c>
      <c r="W1685">
        <f t="shared" si="134"/>
        <v>1</v>
      </c>
      <c r="X1685">
        <v>1</v>
      </c>
      <c r="Y1685" s="2">
        <v>45768</v>
      </c>
      <c r="Z1685" s="3" t="s">
        <v>70</v>
      </c>
      <c r="AA1685" t="s">
        <v>39</v>
      </c>
      <c r="AB1685" t="s">
        <v>40</v>
      </c>
      <c r="AC1685" t="s">
        <v>40</v>
      </c>
      <c r="AD1685" t="s">
        <v>391</v>
      </c>
    </row>
    <row r="1686" spans="2:30">
      <c r="B1686">
        <v>1</v>
      </c>
      <c r="C1686">
        <v>1020</v>
      </c>
      <c r="D1686" t="s">
        <v>384</v>
      </c>
      <c r="E1686">
        <v>10623078</v>
      </c>
      <c r="F1686" t="s">
        <v>1781</v>
      </c>
      <c r="G1686" t="s">
        <v>43</v>
      </c>
      <c r="H1686" t="s">
        <v>32</v>
      </c>
      <c r="I1686" t="s">
        <v>386</v>
      </c>
      <c r="J1686" t="s">
        <v>45</v>
      </c>
      <c r="K1686" t="s">
        <v>35</v>
      </c>
      <c r="L1686" t="s">
        <v>175</v>
      </c>
      <c r="M1686" t="s">
        <v>46</v>
      </c>
      <c r="N1686">
        <v>0</v>
      </c>
      <c r="O1686">
        <v>0</v>
      </c>
      <c r="P1686">
        <v>0</v>
      </c>
      <c r="Q1686">
        <v>0</v>
      </c>
      <c r="R1686">
        <v>0</v>
      </c>
      <c r="S1686" t="str">
        <f t="shared" si="130"/>
        <v>PY: Media Crit.</v>
      </c>
      <c r="T1686">
        <f t="shared" si="131"/>
        <v>1</v>
      </c>
      <c r="U1686">
        <f t="shared" si="132"/>
        <v>0</v>
      </c>
      <c r="V1686">
        <f t="shared" si="133"/>
        <v>0</v>
      </c>
      <c r="W1686">
        <f t="shared" si="134"/>
        <v>0</v>
      </c>
      <c r="X1686">
        <v>1</v>
      </c>
      <c r="Y1686" s="2">
        <v>45768</v>
      </c>
      <c r="Z1686" s="3" t="s">
        <v>47</v>
      </c>
      <c r="AA1686" t="s">
        <v>39</v>
      </c>
      <c r="AB1686" t="s">
        <v>40</v>
      </c>
      <c r="AC1686" t="s">
        <v>40</v>
      </c>
      <c r="AD1686" t="s">
        <v>387</v>
      </c>
    </row>
    <row r="1687" spans="2:30">
      <c r="B1687">
        <v>1</v>
      </c>
      <c r="C1687">
        <v>1020</v>
      </c>
      <c r="D1687" t="s">
        <v>388</v>
      </c>
      <c r="E1687">
        <v>10623387</v>
      </c>
      <c r="F1687" t="s">
        <v>1782</v>
      </c>
      <c r="G1687" t="s">
        <v>43</v>
      </c>
      <c r="H1687" t="s">
        <v>32</v>
      </c>
      <c r="I1687" t="s">
        <v>390</v>
      </c>
      <c r="J1687" t="s">
        <v>45</v>
      </c>
      <c r="K1687" t="s">
        <v>35</v>
      </c>
      <c r="L1687" t="s">
        <v>175</v>
      </c>
      <c r="M1687" t="s">
        <v>69</v>
      </c>
      <c r="N1687">
        <v>0</v>
      </c>
      <c r="O1687">
        <v>0</v>
      </c>
      <c r="P1687">
        <v>2</v>
      </c>
      <c r="Q1687">
        <v>1</v>
      </c>
      <c r="R1687" s="4">
        <v>21895.78</v>
      </c>
      <c r="S1687" t="str">
        <f t="shared" si="130"/>
        <v>PY: Media Crit.</v>
      </c>
      <c r="T1687">
        <f t="shared" si="131"/>
        <v>0</v>
      </c>
      <c r="U1687">
        <f t="shared" si="132"/>
        <v>1</v>
      </c>
      <c r="V1687">
        <f t="shared" si="133"/>
        <v>0</v>
      </c>
      <c r="W1687">
        <f t="shared" si="134"/>
        <v>1</v>
      </c>
      <c r="X1687">
        <v>1</v>
      </c>
      <c r="Y1687" s="2">
        <v>45768</v>
      </c>
      <c r="Z1687" s="3" t="s">
        <v>70</v>
      </c>
      <c r="AA1687" t="s">
        <v>39</v>
      </c>
      <c r="AB1687" t="s">
        <v>49</v>
      </c>
      <c r="AC1687" s="5" t="s">
        <v>50</v>
      </c>
      <c r="AD1687" t="s">
        <v>391</v>
      </c>
    </row>
    <row r="1688" spans="2:30">
      <c r="B1688">
        <v>1</v>
      </c>
      <c r="C1688">
        <v>1020</v>
      </c>
      <c r="D1688" t="s">
        <v>181</v>
      </c>
      <c r="E1688">
        <v>10627271</v>
      </c>
      <c r="F1688" t="s">
        <v>1783</v>
      </c>
      <c r="G1688" t="s">
        <v>31</v>
      </c>
      <c r="H1688" t="s">
        <v>32</v>
      </c>
      <c r="I1688" t="s">
        <v>183</v>
      </c>
      <c r="J1688" t="s">
        <v>45</v>
      </c>
      <c r="K1688" t="s">
        <v>35</v>
      </c>
      <c r="L1688" t="s">
        <v>36</v>
      </c>
      <c r="M1688" t="s">
        <v>37</v>
      </c>
      <c r="N1688">
        <v>5</v>
      </c>
      <c r="O1688">
        <v>3</v>
      </c>
      <c r="P1688">
        <v>2</v>
      </c>
      <c r="Q1688">
        <v>5</v>
      </c>
      <c r="R1688">
        <v>11.77</v>
      </c>
      <c r="S1688" t="str">
        <f t="shared" si="130"/>
        <v>PX: Baja Crit.</v>
      </c>
      <c r="T1688">
        <f t="shared" si="131"/>
        <v>0</v>
      </c>
      <c r="U1688">
        <f t="shared" si="132"/>
        <v>0</v>
      </c>
      <c r="V1688">
        <f t="shared" si="133"/>
        <v>1</v>
      </c>
      <c r="W1688">
        <f t="shared" si="134"/>
        <v>0</v>
      </c>
      <c r="X1688">
        <v>1</v>
      </c>
      <c r="Y1688" s="2">
        <v>45768</v>
      </c>
      <c r="Z1688" s="3" t="s">
        <v>38</v>
      </c>
      <c r="AA1688" t="s">
        <v>39</v>
      </c>
      <c r="AB1688" t="s">
        <v>40</v>
      </c>
      <c r="AC1688" t="s">
        <v>40</v>
      </c>
      <c r="AD1688" t="s">
        <v>184</v>
      </c>
    </row>
    <row r="1689" spans="2:30">
      <c r="B1689">
        <v>1</v>
      </c>
      <c r="C1689">
        <v>1020</v>
      </c>
      <c r="D1689" t="s">
        <v>181</v>
      </c>
      <c r="E1689">
        <v>10627272</v>
      </c>
      <c r="F1689" t="s">
        <v>1784</v>
      </c>
      <c r="G1689" t="s">
        <v>31</v>
      </c>
      <c r="H1689" t="s">
        <v>32</v>
      </c>
      <c r="I1689" t="s">
        <v>183</v>
      </c>
      <c r="J1689" t="s">
        <v>45</v>
      </c>
      <c r="K1689" t="s">
        <v>35</v>
      </c>
      <c r="L1689" t="s">
        <v>36</v>
      </c>
      <c r="M1689" t="s">
        <v>37</v>
      </c>
      <c r="N1689">
        <v>4</v>
      </c>
      <c r="O1689">
        <v>3</v>
      </c>
      <c r="P1689">
        <v>1</v>
      </c>
      <c r="Q1689">
        <v>4</v>
      </c>
      <c r="R1689">
        <v>9.41</v>
      </c>
      <c r="S1689" t="str">
        <f t="shared" si="130"/>
        <v>PX: Baja Crit.</v>
      </c>
      <c r="T1689">
        <f t="shared" si="131"/>
        <v>0</v>
      </c>
      <c r="U1689">
        <f t="shared" si="132"/>
        <v>0</v>
      </c>
      <c r="V1689">
        <f t="shared" si="133"/>
        <v>1</v>
      </c>
      <c r="W1689">
        <f t="shared" si="134"/>
        <v>0</v>
      </c>
      <c r="X1689">
        <v>1</v>
      </c>
      <c r="Y1689" s="2">
        <v>45768</v>
      </c>
      <c r="Z1689" s="3" t="s">
        <v>38</v>
      </c>
      <c r="AA1689" t="s">
        <v>39</v>
      </c>
      <c r="AB1689" t="s">
        <v>40</v>
      </c>
      <c r="AC1689" t="s">
        <v>40</v>
      </c>
      <c r="AD1689" t="s">
        <v>184</v>
      </c>
    </row>
    <row r="1690" spans="2:30">
      <c r="B1690">
        <v>1</v>
      </c>
      <c r="C1690">
        <v>1020</v>
      </c>
      <c r="D1690" t="s">
        <v>388</v>
      </c>
      <c r="E1690">
        <v>10628850</v>
      </c>
      <c r="F1690" t="s">
        <v>1785</v>
      </c>
      <c r="G1690" t="s">
        <v>43</v>
      </c>
      <c r="H1690" t="s">
        <v>32</v>
      </c>
      <c r="I1690" t="s">
        <v>390</v>
      </c>
      <c r="J1690" t="s">
        <v>45</v>
      </c>
      <c r="K1690" t="s">
        <v>35</v>
      </c>
      <c r="L1690" t="s">
        <v>175</v>
      </c>
      <c r="M1690" t="s">
        <v>69</v>
      </c>
      <c r="N1690">
        <v>0</v>
      </c>
      <c r="O1690">
        <v>0</v>
      </c>
      <c r="P1690">
        <v>2</v>
      </c>
      <c r="Q1690">
        <v>2</v>
      </c>
      <c r="R1690" s="4">
        <v>14032.43</v>
      </c>
      <c r="S1690" t="str">
        <f t="shared" si="130"/>
        <v>PY: Media Crit.</v>
      </c>
      <c r="T1690">
        <f t="shared" si="131"/>
        <v>0</v>
      </c>
      <c r="U1690">
        <f t="shared" si="132"/>
        <v>1</v>
      </c>
      <c r="V1690">
        <f t="shared" si="133"/>
        <v>0</v>
      </c>
      <c r="W1690">
        <f t="shared" si="134"/>
        <v>1</v>
      </c>
      <c r="X1690">
        <v>1</v>
      </c>
      <c r="Y1690" s="2">
        <v>45768</v>
      </c>
      <c r="Z1690" s="3" t="s">
        <v>70</v>
      </c>
      <c r="AA1690" t="s">
        <v>39</v>
      </c>
      <c r="AB1690" t="s">
        <v>40</v>
      </c>
      <c r="AC1690" t="s">
        <v>40</v>
      </c>
      <c r="AD1690" t="s">
        <v>391</v>
      </c>
    </row>
    <row r="1691" spans="2:30">
      <c r="B1691">
        <v>1</v>
      </c>
      <c r="C1691">
        <v>1020</v>
      </c>
      <c r="D1691" t="s">
        <v>388</v>
      </c>
      <c r="E1691">
        <v>10628851</v>
      </c>
      <c r="F1691" t="s">
        <v>1786</v>
      </c>
      <c r="G1691" t="s">
        <v>43</v>
      </c>
      <c r="H1691" t="s">
        <v>32</v>
      </c>
      <c r="I1691" t="s">
        <v>390</v>
      </c>
      <c r="J1691" t="s">
        <v>45</v>
      </c>
      <c r="K1691" t="s">
        <v>35</v>
      </c>
      <c r="L1691" t="s">
        <v>175</v>
      </c>
      <c r="M1691" t="s">
        <v>69</v>
      </c>
      <c r="N1691">
        <v>0</v>
      </c>
      <c r="O1691">
        <v>0</v>
      </c>
      <c r="P1691">
        <v>2</v>
      </c>
      <c r="Q1691">
        <v>2</v>
      </c>
      <c r="R1691" s="4">
        <v>1059.8900000000001</v>
      </c>
      <c r="S1691" t="str">
        <f t="shared" si="130"/>
        <v>PY: Media Crit.</v>
      </c>
      <c r="T1691">
        <f t="shared" si="131"/>
        <v>0</v>
      </c>
      <c r="U1691">
        <f t="shared" si="132"/>
        <v>1</v>
      </c>
      <c r="V1691">
        <f t="shared" si="133"/>
        <v>0</v>
      </c>
      <c r="W1691">
        <f t="shared" si="134"/>
        <v>1</v>
      </c>
      <c r="X1691">
        <v>1</v>
      </c>
      <c r="Y1691" s="2">
        <v>45768</v>
      </c>
      <c r="Z1691" s="3" t="s">
        <v>70</v>
      </c>
      <c r="AA1691" t="s">
        <v>39</v>
      </c>
      <c r="AB1691" t="s">
        <v>40</v>
      </c>
      <c r="AC1691" t="s">
        <v>40</v>
      </c>
      <c r="AD1691" t="s">
        <v>391</v>
      </c>
    </row>
    <row r="1692" spans="2:30">
      <c r="B1692">
        <v>1</v>
      </c>
      <c r="C1692">
        <v>1020</v>
      </c>
      <c r="D1692" t="s">
        <v>388</v>
      </c>
      <c r="E1692">
        <v>10632531</v>
      </c>
      <c r="F1692" t="s">
        <v>1787</v>
      </c>
      <c r="G1692" t="s">
        <v>31</v>
      </c>
      <c r="H1692" t="s">
        <v>32</v>
      </c>
      <c r="I1692" t="s">
        <v>390</v>
      </c>
      <c r="J1692" t="s">
        <v>45</v>
      </c>
      <c r="K1692" t="s">
        <v>35</v>
      </c>
      <c r="L1692" t="s">
        <v>175</v>
      </c>
      <c r="M1692" t="s">
        <v>69</v>
      </c>
      <c r="N1692">
        <v>0</v>
      </c>
      <c r="O1692">
        <v>0</v>
      </c>
      <c r="P1692">
        <v>6</v>
      </c>
      <c r="Q1692">
        <v>0</v>
      </c>
      <c r="R1692">
        <v>0</v>
      </c>
      <c r="S1692" t="str">
        <f t="shared" si="130"/>
        <v>PX: Baja Crit.</v>
      </c>
      <c r="T1692">
        <f t="shared" si="131"/>
        <v>1</v>
      </c>
      <c r="U1692">
        <f t="shared" si="132"/>
        <v>0</v>
      </c>
      <c r="V1692">
        <f t="shared" si="133"/>
        <v>0</v>
      </c>
      <c r="W1692">
        <f t="shared" si="134"/>
        <v>0</v>
      </c>
      <c r="X1692">
        <v>1</v>
      </c>
      <c r="Y1692" s="2">
        <v>45768</v>
      </c>
      <c r="Z1692" s="3" t="s">
        <v>70</v>
      </c>
      <c r="AA1692" t="s">
        <v>39</v>
      </c>
      <c r="AB1692" t="s">
        <v>76</v>
      </c>
      <c r="AC1692" s="5" t="s">
        <v>77</v>
      </c>
      <c r="AD1692" t="s">
        <v>391</v>
      </c>
    </row>
    <row r="1693" spans="2:30">
      <c r="B1693">
        <v>1</v>
      </c>
      <c r="C1693">
        <v>1020</v>
      </c>
      <c r="D1693" t="s">
        <v>388</v>
      </c>
      <c r="E1693">
        <v>10634576</v>
      </c>
      <c r="F1693" t="s">
        <v>1788</v>
      </c>
      <c r="G1693" t="s">
        <v>52</v>
      </c>
      <c r="H1693" t="s">
        <v>32</v>
      </c>
      <c r="I1693" t="s">
        <v>390</v>
      </c>
      <c r="J1693" t="s">
        <v>45</v>
      </c>
      <c r="K1693" t="s">
        <v>35</v>
      </c>
      <c r="L1693" t="s">
        <v>175</v>
      </c>
      <c r="M1693" t="s">
        <v>117</v>
      </c>
      <c r="N1693">
        <v>0</v>
      </c>
      <c r="O1693">
        <v>0</v>
      </c>
      <c r="P1693">
        <v>1</v>
      </c>
      <c r="Q1693">
        <v>1</v>
      </c>
      <c r="R1693">
        <v>500</v>
      </c>
      <c r="S1693" t="str">
        <f t="shared" si="130"/>
        <v>PZ: Alta Crit.</v>
      </c>
      <c r="T1693">
        <f t="shared" si="131"/>
        <v>0</v>
      </c>
      <c r="U1693">
        <f t="shared" si="132"/>
        <v>1</v>
      </c>
      <c r="V1693">
        <f t="shared" si="133"/>
        <v>0</v>
      </c>
      <c r="W1693">
        <f t="shared" si="134"/>
        <v>1</v>
      </c>
      <c r="X1693">
        <v>1</v>
      </c>
      <c r="Y1693" s="2">
        <v>45768</v>
      </c>
      <c r="Z1693" s="3" t="s">
        <v>118</v>
      </c>
      <c r="AA1693" t="s">
        <v>39</v>
      </c>
      <c r="AB1693" t="s">
        <v>49</v>
      </c>
      <c r="AC1693" s="5" t="s">
        <v>50</v>
      </c>
      <c r="AD1693" t="s">
        <v>391</v>
      </c>
    </row>
    <row r="1694" spans="2:30">
      <c r="B1694">
        <v>1</v>
      </c>
      <c r="C1694">
        <v>1020</v>
      </c>
      <c r="D1694" t="s">
        <v>388</v>
      </c>
      <c r="E1694">
        <v>10636694</v>
      </c>
      <c r="F1694" t="s">
        <v>1789</v>
      </c>
      <c r="G1694" t="s">
        <v>52</v>
      </c>
      <c r="H1694" t="s">
        <v>32</v>
      </c>
      <c r="I1694" t="s">
        <v>390</v>
      </c>
      <c r="J1694" t="s">
        <v>45</v>
      </c>
      <c r="K1694" t="s">
        <v>35</v>
      </c>
      <c r="L1694" t="s">
        <v>175</v>
      </c>
      <c r="M1694" t="s">
        <v>37</v>
      </c>
      <c r="N1694">
        <v>0</v>
      </c>
      <c r="O1694">
        <v>0</v>
      </c>
      <c r="P1694">
        <v>2</v>
      </c>
      <c r="Q1694">
        <v>0</v>
      </c>
      <c r="R1694">
        <v>0</v>
      </c>
      <c r="S1694" t="str">
        <f t="shared" si="130"/>
        <v>PZ: Alta Crit.</v>
      </c>
      <c r="T1694">
        <f t="shared" si="131"/>
        <v>1</v>
      </c>
      <c r="U1694">
        <f t="shared" si="132"/>
        <v>0</v>
      </c>
      <c r="V1694">
        <f t="shared" si="133"/>
        <v>0</v>
      </c>
      <c r="W1694">
        <f t="shared" si="134"/>
        <v>0</v>
      </c>
      <c r="X1694">
        <v>1</v>
      </c>
      <c r="Y1694" s="2">
        <v>45768</v>
      </c>
      <c r="Z1694" s="3" t="s">
        <v>38</v>
      </c>
      <c r="AA1694" t="s">
        <v>39</v>
      </c>
      <c r="AB1694" t="s">
        <v>49</v>
      </c>
      <c r="AC1694" s="5" t="s">
        <v>50</v>
      </c>
      <c r="AD1694" t="s">
        <v>391</v>
      </c>
    </row>
    <row r="1695" spans="2:30">
      <c r="B1695">
        <v>1</v>
      </c>
      <c r="C1695">
        <v>1020</v>
      </c>
      <c r="D1695" t="s">
        <v>388</v>
      </c>
      <c r="E1695">
        <v>10641642</v>
      </c>
      <c r="F1695" t="s">
        <v>1790</v>
      </c>
      <c r="G1695" t="s">
        <v>43</v>
      </c>
      <c r="H1695" t="s">
        <v>32</v>
      </c>
      <c r="I1695" t="s">
        <v>390</v>
      </c>
      <c r="J1695" t="s">
        <v>45</v>
      </c>
      <c r="K1695" t="s">
        <v>35</v>
      </c>
      <c r="L1695" t="s">
        <v>175</v>
      </c>
      <c r="M1695" t="s">
        <v>46</v>
      </c>
      <c r="N1695">
        <v>0</v>
      </c>
      <c r="O1695">
        <v>0</v>
      </c>
      <c r="P1695">
        <v>1</v>
      </c>
      <c r="Q1695">
        <v>1</v>
      </c>
      <c r="R1695" s="4">
        <v>3177.46</v>
      </c>
      <c r="S1695" t="str">
        <f t="shared" si="130"/>
        <v>PY: Media Crit.</v>
      </c>
      <c r="T1695">
        <f t="shared" si="131"/>
        <v>0</v>
      </c>
      <c r="U1695">
        <f t="shared" si="132"/>
        <v>1</v>
      </c>
      <c r="V1695">
        <f t="shared" si="133"/>
        <v>0</v>
      </c>
      <c r="W1695">
        <f t="shared" si="134"/>
        <v>1</v>
      </c>
      <c r="X1695">
        <v>1</v>
      </c>
      <c r="Y1695" s="2">
        <v>45768</v>
      </c>
      <c r="Z1695" s="3" t="s">
        <v>47</v>
      </c>
      <c r="AA1695" t="s">
        <v>39</v>
      </c>
      <c r="AB1695" t="s">
        <v>40</v>
      </c>
      <c r="AC1695" t="s">
        <v>40</v>
      </c>
      <c r="AD1695" t="s">
        <v>391</v>
      </c>
    </row>
    <row r="1696" spans="2:30">
      <c r="B1696">
        <v>1</v>
      </c>
      <c r="C1696">
        <v>1020</v>
      </c>
      <c r="D1696" t="s">
        <v>181</v>
      </c>
      <c r="E1696">
        <v>10642413</v>
      </c>
      <c r="F1696" t="s">
        <v>1791</v>
      </c>
      <c r="G1696" t="s">
        <v>31</v>
      </c>
      <c r="H1696" t="s">
        <v>32</v>
      </c>
      <c r="I1696" t="s">
        <v>183</v>
      </c>
      <c r="J1696" t="s">
        <v>45</v>
      </c>
      <c r="K1696" t="s">
        <v>35</v>
      </c>
      <c r="L1696" t="s">
        <v>36</v>
      </c>
      <c r="M1696" t="s">
        <v>46</v>
      </c>
      <c r="N1696">
        <v>10</v>
      </c>
      <c r="O1696">
        <v>6</v>
      </c>
      <c r="P1696">
        <v>2</v>
      </c>
      <c r="Q1696">
        <v>10</v>
      </c>
      <c r="R1696">
        <v>635.6</v>
      </c>
      <c r="S1696" t="str">
        <f t="shared" si="130"/>
        <v>PX: Baja Crit.</v>
      </c>
      <c r="T1696">
        <f t="shared" si="131"/>
        <v>0</v>
      </c>
      <c r="U1696">
        <f t="shared" si="132"/>
        <v>0</v>
      </c>
      <c r="V1696">
        <f t="shared" si="133"/>
        <v>1</v>
      </c>
      <c r="W1696">
        <f t="shared" si="134"/>
        <v>0</v>
      </c>
      <c r="X1696">
        <v>1</v>
      </c>
      <c r="Y1696" s="2">
        <v>45768</v>
      </c>
      <c r="Z1696" s="3" t="s">
        <v>47</v>
      </c>
      <c r="AA1696" t="s">
        <v>39</v>
      </c>
      <c r="AB1696" t="s">
        <v>40</v>
      </c>
      <c r="AC1696" t="s">
        <v>40</v>
      </c>
      <c r="AD1696" t="s">
        <v>184</v>
      </c>
    </row>
    <row r="1697" spans="2:30">
      <c r="B1697">
        <v>1</v>
      </c>
      <c r="C1697">
        <v>1020</v>
      </c>
      <c r="D1697" t="s">
        <v>181</v>
      </c>
      <c r="E1697">
        <v>10647566</v>
      </c>
      <c r="F1697" t="s">
        <v>1792</v>
      </c>
      <c r="G1697" t="s">
        <v>52</v>
      </c>
      <c r="H1697" t="s">
        <v>32</v>
      </c>
      <c r="I1697" t="s">
        <v>183</v>
      </c>
      <c r="J1697" t="s">
        <v>45</v>
      </c>
      <c r="K1697" t="s">
        <v>35</v>
      </c>
      <c r="L1697" t="s">
        <v>36</v>
      </c>
      <c r="M1697" t="s">
        <v>117</v>
      </c>
      <c r="N1697">
        <v>10</v>
      </c>
      <c r="O1697">
        <v>6</v>
      </c>
      <c r="P1697">
        <v>2</v>
      </c>
      <c r="Q1697">
        <v>10</v>
      </c>
      <c r="R1697" s="4">
        <v>1332.23</v>
      </c>
      <c r="S1697" t="str">
        <f t="shared" si="130"/>
        <v>PZ: Alta Crit.</v>
      </c>
      <c r="T1697">
        <f t="shared" si="131"/>
        <v>0</v>
      </c>
      <c r="U1697">
        <f t="shared" si="132"/>
        <v>0</v>
      </c>
      <c r="V1697">
        <f t="shared" si="133"/>
        <v>1</v>
      </c>
      <c r="W1697">
        <f t="shared" si="134"/>
        <v>0</v>
      </c>
      <c r="X1697">
        <v>1</v>
      </c>
      <c r="Y1697" s="2">
        <v>45768</v>
      </c>
      <c r="Z1697" s="3" t="s">
        <v>118</v>
      </c>
      <c r="AA1697" t="s">
        <v>39</v>
      </c>
      <c r="AB1697" t="s">
        <v>40</v>
      </c>
      <c r="AC1697" t="s">
        <v>40</v>
      </c>
      <c r="AD1697" t="s">
        <v>184</v>
      </c>
    </row>
    <row r="1698" spans="2:30">
      <c r="B1698">
        <v>1</v>
      </c>
      <c r="C1698">
        <v>1020</v>
      </c>
      <c r="D1698" t="s">
        <v>384</v>
      </c>
      <c r="E1698">
        <v>10647584</v>
      </c>
      <c r="F1698" t="s">
        <v>1793</v>
      </c>
      <c r="G1698" t="s">
        <v>52</v>
      </c>
      <c r="H1698" t="s">
        <v>32</v>
      </c>
      <c r="I1698" t="s">
        <v>386</v>
      </c>
      <c r="J1698" t="s">
        <v>45</v>
      </c>
      <c r="K1698" t="s">
        <v>35</v>
      </c>
      <c r="L1698" t="s">
        <v>175</v>
      </c>
      <c r="M1698" t="s">
        <v>117</v>
      </c>
      <c r="N1698">
        <v>0</v>
      </c>
      <c r="O1698">
        <v>0</v>
      </c>
      <c r="P1698">
        <v>0</v>
      </c>
      <c r="Q1698">
        <v>0</v>
      </c>
      <c r="R1698">
        <v>0</v>
      </c>
      <c r="S1698" t="str">
        <f t="shared" si="130"/>
        <v>PZ: Alta Crit.</v>
      </c>
      <c r="T1698">
        <f t="shared" si="131"/>
        <v>1</v>
      </c>
      <c r="U1698">
        <f t="shared" si="132"/>
        <v>0</v>
      </c>
      <c r="V1698">
        <f t="shared" si="133"/>
        <v>0</v>
      </c>
      <c r="W1698">
        <f t="shared" si="134"/>
        <v>0</v>
      </c>
      <c r="X1698">
        <v>1</v>
      </c>
      <c r="Y1698" s="2">
        <v>45768</v>
      </c>
      <c r="Z1698" s="3" t="s">
        <v>118</v>
      </c>
      <c r="AA1698" t="s">
        <v>39</v>
      </c>
      <c r="AB1698" t="s">
        <v>40</v>
      </c>
      <c r="AC1698" t="s">
        <v>40</v>
      </c>
      <c r="AD1698" t="s">
        <v>387</v>
      </c>
    </row>
    <row r="1699" spans="2:30">
      <c r="B1699">
        <v>1</v>
      </c>
      <c r="C1699">
        <v>1020</v>
      </c>
      <c r="D1699" t="s">
        <v>388</v>
      </c>
      <c r="E1699">
        <v>10714741</v>
      </c>
      <c r="F1699" t="s">
        <v>1794</v>
      </c>
      <c r="G1699" t="s">
        <v>43</v>
      </c>
      <c r="H1699" t="s">
        <v>44</v>
      </c>
      <c r="I1699" t="s">
        <v>390</v>
      </c>
      <c r="J1699" t="s">
        <v>45</v>
      </c>
      <c r="K1699" t="s">
        <v>35</v>
      </c>
      <c r="L1699" t="s">
        <v>175</v>
      </c>
      <c r="M1699" t="s">
        <v>46</v>
      </c>
      <c r="N1699">
        <v>0</v>
      </c>
      <c r="O1699">
        <v>0</v>
      </c>
      <c r="P1699">
        <v>1</v>
      </c>
      <c r="Q1699">
        <v>0</v>
      </c>
      <c r="R1699">
        <v>0</v>
      </c>
      <c r="S1699" t="str">
        <f t="shared" si="130"/>
        <v>PY: Media Crit.</v>
      </c>
      <c r="T1699">
        <f t="shared" si="131"/>
        <v>1</v>
      </c>
      <c r="U1699">
        <f t="shared" si="132"/>
        <v>0</v>
      </c>
      <c r="V1699">
        <f t="shared" si="133"/>
        <v>0</v>
      </c>
      <c r="W1699">
        <f t="shared" si="134"/>
        <v>0</v>
      </c>
      <c r="X1699">
        <v>1</v>
      </c>
      <c r="Y1699" s="2">
        <v>45768</v>
      </c>
      <c r="Z1699" s="3" t="s">
        <v>47</v>
      </c>
      <c r="AA1699" t="s">
        <v>39</v>
      </c>
      <c r="AB1699" t="s">
        <v>49</v>
      </c>
      <c r="AC1699" s="5" t="s">
        <v>50</v>
      </c>
      <c r="AD1699" t="s">
        <v>391</v>
      </c>
    </row>
    <row r="1700" spans="2:30">
      <c r="B1700">
        <v>1</v>
      </c>
      <c r="C1700">
        <v>1020</v>
      </c>
      <c r="D1700" t="s">
        <v>181</v>
      </c>
      <c r="E1700">
        <v>10717438</v>
      </c>
      <c r="F1700" t="s">
        <v>1795</v>
      </c>
      <c r="G1700" t="s">
        <v>52</v>
      </c>
      <c r="H1700" t="s">
        <v>44</v>
      </c>
      <c r="I1700" t="s">
        <v>183</v>
      </c>
      <c r="J1700" t="s">
        <v>45</v>
      </c>
      <c r="K1700" t="s">
        <v>35</v>
      </c>
      <c r="L1700" t="s">
        <v>36</v>
      </c>
      <c r="M1700" t="s">
        <v>117</v>
      </c>
      <c r="N1700">
        <v>40</v>
      </c>
      <c r="O1700">
        <v>21</v>
      </c>
      <c r="P1700">
        <v>5</v>
      </c>
      <c r="Q1700">
        <v>40</v>
      </c>
      <c r="R1700" s="4">
        <v>18977.64</v>
      </c>
      <c r="S1700" t="str">
        <f t="shared" si="130"/>
        <v>PZ: Alta Crit.</v>
      </c>
      <c r="T1700">
        <f t="shared" si="131"/>
        <v>0</v>
      </c>
      <c r="U1700">
        <f t="shared" si="132"/>
        <v>0</v>
      </c>
      <c r="V1700">
        <f t="shared" si="133"/>
        <v>1</v>
      </c>
      <c r="W1700">
        <f t="shared" si="134"/>
        <v>0</v>
      </c>
      <c r="X1700">
        <v>1</v>
      </c>
      <c r="Y1700" s="2">
        <v>45768</v>
      </c>
      <c r="Z1700" s="3" t="s">
        <v>118</v>
      </c>
      <c r="AA1700" t="s">
        <v>39</v>
      </c>
      <c r="AB1700" t="s">
        <v>40</v>
      </c>
      <c r="AC1700" t="s">
        <v>40</v>
      </c>
      <c r="AD1700" t="s">
        <v>184</v>
      </c>
    </row>
    <row r="1701" spans="2:30">
      <c r="B1701">
        <v>1</v>
      </c>
      <c r="C1701">
        <v>1020</v>
      </c>
      <c r="D1701" t="s">
        <v>181</v>
      </c>
      <c r="E1701">
        <v>14009547</v>
      </c>
      <c r="F1701" t="s">
        <v>1796</v>
      </c>
      <c r="G1701" t="s">
        <v>52</v>
      </c>
      <c r="H1701" t="s">
        <v>32</v>
      </c>
      <c r="I1701" t="s">
        <v>183</v>
      </c>
      <c r="J1701" t="s">
        <v>45</v>
      </c>
      <c r="K1701" t="s">
        <v>35</v>
      </c>
      <c r="L1701" t="s">
        <v>36</v>
      </c>
      <c r="M1701" t="s">
        <v>46</v>
      </c>
      <c r="N1701">
        <v>2</v>
      </c>
      <c r="O1701">
        <v>2</v>
      </c>
      <c r="P1701">
        <v>1</v>
      </c>
      <c r="Q1701">
        <v>2</v>
      </c>
      <c r="R1701" s="4">
        <v>4486.91</v>
      </c>
      <c r="S1701" t="str">
        <f t="shared" si="130"/>
        <v>PZ: Alta Crit.</v>
      </c>
      <c r="T1701">
        <f t="shared" si="131"/>
        <v>0</v>
      </c>
      <c r="U1701">
        <f t="shared" si="132"/>
        <v>0</v>
      </c>
      <c r="V1701">
        <f t="shared" si="133"/>
        <v>1</v>
      </c>
      <c r="W1701">
        <f t="shared" si="134"/>
        <v>0</v>
      </c>
      <c r="X1701">
        <v>1</v>
      </c>
      <c r="Y1701" s="2">
        <v>45768</v>
      </c>
      <c r="Z1701" s="3" t="s">
        <v>47</v>
      </c>
      <c r="AA1701" t="s">
        <v>39</v>
      </c>
      <c r="AB1701" t="s">
        <v>40</v>
      </c>
      <c r="AC1701" t="s">
        <v>40</v>
      </c>
      <c r="AD1701" t="s">
        <v>184</v>
      </c>
    </row>
    <row r="1702" spans="2:30">
      <c r="B1702">
        <v>1</v>
      </c>
      <c r="C1702">
        <v>1020</v>
      </c>
      <c r="D1702" t="s">
        <v>181</v>
      </c>
      <c r="E1702">
        <v>14009664</v>
      </c>
      <c r="F1702" t="s">
        <v>1797</v>
      </c>
      <c r="G1702" t="s">
        <v>43</v>
      </c>
      <c r="H1702" t="s">
        <v>32</v>
      </c>
      <c r="I1702" t="s">
        <v>183</v>
      </c>
      <c r="J1702" t="s">
        <v>45</v>
      </c>
      <c r="K1702" t="s">
        <v>35</v>
      </c>
      <c r="L1702" t="s">
        <v>36</v>
      </c>
      <c r="M1702" t="s">
        <v>46</v>
      </c>
      <c r="N1702">
        <v>4</v>
      </c>
      <c r="O1702">
        <v>3</v>
      </c>
      <c r="P1702">
        <v>1</v>
      </c>
      <c r="Q1702">
        <v>4</v>
      </c>
      <c r="R1702">
        <v>346.59</v>
      </c>
      <c r="S1702" t="str">
        <f t="shared" si="130"/>
        <v>PY: Media Crit.</v>
      </c>
      <c r="T1702">
        <f t="shared" si="131"/>
        <v>0</v>
      </c>
      <c r="U1702">
        <f t="shared" si="132"/>
        <v>0</v>
      </c>
      <c r="V1702">
        <f t="shared" si="133"/>
        <v>1</v>
      </c>
      <c r="W1702">
        <f t="shared" si="134"/>
        <v>0</v>
      </c>
      <c r="X1702">
        <v>1</v>
      </c>
      <c r="Y1702" s="2">
        <v>45768</v>
      </c>
      <c r="Z1702" s="3" t="s">
        <v>47</v>
      </c>
      <c r="AA1702" t="s">
        <v>39</v>
      </c>
      <c r="AB1702" t="s">
        <v>40</v>
      </c>
      <c r="AC1702" t="s">
        <v>40</v>
      </c>
      <c r="AD1702" t="s">
        <v>184</v>
      </c>
    </row>
    <row r="1703" spans="2:30">
      <c r="B1703">
        <v>1</v>
      </c>
      <c r="C1703">
        <v>1020</v>
      </c>
      <c r="D1703" t="s">
        <v>384</v>
      </c>
      <c r="E1703">
        <v>14009666</v>
      </c>
      <c r="F1703" t="s">
        <v>1798</v>
      </c>
      <c r="G1703" t="s">
        <v>43</v>
      </c>
      <c r="H1703" t="s">
        <v>32</v>
      </c>
      <c r="I1703" t="s">
        <v>386</v>
      </c>
      <c r="J1703" t="s">
        <v>45</v>
      </c>
      <c r="K1703" t="s">
        <v>35</v>
      </c>
      <c r="L1703" t="s">
        <v>175</v>
      </c>
      <c r="M1703" t="s">
        <v>46</v>
      </c>
      <c r="N1703">
        <v>0</v>
      </c>
      <c r="O1703">
        <v>0</v>
      </c>
      <c r="P1703">
        <v>0</v>
      </c>
      <c r="Q1703">
        <v>0</v>
      </c>
      <c r="R1703">
        <v>0</v>
      </c>
      <c r="S1703" t="str">
        <f t="shared" si="130"/>
        <v>PY: Media Crit.</v>
      </c>
      <c r="T1703">
        <f t="shared" si="131"/>
        <v>1</v>
      </c>
      <c r="U1703">
        <f t="shared" si="132"/>
        <v>0</v>
      </c>
      <c r="V1703">
        <f t="shared" si="133"/>
        <v>0</v>
      </c>
      <c r="W1703">
        <f t="shared" si="134"/>
        <v>0</v>
      </c>
      <c r="X1703">
        <v>1</v>
      </c>
      <c r="Y1703" s="2">
        <v>45768</v>
      </c>
      <c r="Z1703" s="3" t="s">
        <v>47</v>
      </c>
      <c r="AA1703" t="s">
        <v>39</v>
      </c>
      <c r="AB1703" t="s">
        <v>40</v>
      </c>
      <c r="AC1703" t="s">
        <v>40</v>
      </c>
      <c r="AD1703" t="s">
        <v>387</v>
      </c>
    </row>
    <row r="1704" spans="2:30">
      <c r="B1704">
        <v>1</v>
      </c>
      <c r="C1704">
        <v>1020</v>
      </c>
      <c r="D1704" t="s">
        <v>181</v>
      </c>
      <c r="E1704">
        <v>14009700</v>
      </c>
      <c r="F1704" t="s">
        <v>1799</v>
      </c>
      <c r="G1704" t="s">
        <v>52</v>
      </c>
      <c r="H1704" t="s">
        <v>32</v>
      </c>
      <c r="I1704" t="s">
        <v>183</v>
      </c>
      <c r="J1704" t="s">
        <v>45</v>
      </c>
      <c r="K1704" t="s">
        <v>35</v>
      </c>
      <c r="L1704" t="s">
        <v>36</v>
      </c>
      <c r="M1704" t="s">
        <v>55</v>
      </c>
      <c r="N1704">
        <v>1</v>
      </c>
      <c r="O1704">
        <v>1</v>
      </c>
      <c r="P1704">
        <v>1</v>
      </c>
      <c r="Q1704">
        <v>0</v>
      </c>
      <c r="R1704">
        <v>0</v>
      </c>
      <c r="S1704" t="str">
        <f t="shared" si="130"/>
        <v>PZ: Alta Crit.</v>
      </c>
      <c r="T1704">
        <f t="shared" si="131"/>
        <v>1</v>
      </c>
      <c r="U1704">
        <f t="shared" si="132"/>
        <v>0</v>
      </c>
      <c r="V1704">
        <f t="shared" si="133"/>
        <v>0</v>
      </c>
      <c r="W1704">
        <f t="shared" si="134"/>
        <v>0</v>
      </c>
      <c r="X1704">
        <v>1</v>
      </c>
      <c r="Y1704" s="2">
        <v>45768</v>
      </c>
      <c r="Z1704" s="3" t="s">
        <v>56</v>
      </c>
      <c r="AA1704" t="s">
        <v>39</v>
      </c>
      <c r="AB1704" t="s">
        <v>49</v>
      </c>
      <c r="AC1704" s="5" t="s">
        <v>50</v>
      </c>
      <c r="AD1704" t="s">
        <v>184</v>
      </c>
    </row>
    <row r="1705" spans="2:30">
      <c r="B1705">
        <v>1</v>
      </c>
      <c r="C1705">
        <v>1020</v>
      </c>
      <c r="D1705" t="s">
        <v>181</v>
      </c>
      <c r="E1705">
        <v>14010155</v>
      </c>
      <c r="F1705" t="s">
        <v>1800</v>
      </c>
      <c r="G1705" t="s">
        <v>52</v>
      </c>
      <c r="H1705" t="s">
        <v>32</v>
      </c>
      <c r="I1705" t="s">
        <v>183</v>
      </c>
      <c r="J1705" t="s">
        <v>45</v>
      </c>
      <c r="K1705" t="s">
        <v>35</v>
      </c>
      <c r="L1705" t="s">
        <v>36</v>
      </c>
      <c r="M1705" t="s">
        <v>46</v>
      </c>
      <c r="N1705">
        <v>2</v>
      </c>
      <c r="O1705">
        <v>2</v>
      </c>
      <c r="P1705">
        <v>1</v>
      </c>
      <c r="Q1705">
        <v>2</v>
      </c>
      <c r="R1705" s="4">
        <v>3239.28</v>
      </c>
      <c r="S1705" t="str">
        <f t="shared" si="130"/>
        <v>PZ: Alta Crit.</v>
      </c>
      <c r="T1705">
        <f t="shared" si="131"/>
        <v>0</v>
      </c>
      <c r="U1705">
        <f t="shared" si="132"/>
        <v>0</v>
      </c>
      <c r="V1705">
        <f t="shared" si="133"/>
        <v>1</v>
      </c>
      <c r="W1705">
        <f t="shared" si="134"/>
        <v>0</v>
      </c>
      <c r="X1705">
        <v>1</v>
      </c>
      <c r="Y1705" s="2">
        <v>45768</v>
      </c>
      <c r="Z1705" s="3" t="s">
        <v>47</v>
      </c>
      <c r="AA1705" t="s">
        <v>39</v>
      </c>
      <c r="AB1705" t="s">
        <v>40</v>
      </c>
      <c r="AC1705" t="s">
        <v>40</v>
      </c>
      <c r="AD1705" t="s">
        <v>184</v>
      </c>
    </row>
    <row r="1706" spans="2:30">
      <c r="B1706">
        <v>1</v>
      </c>
      <c r="C1706">
        <v>1020</v>
      </c>
      <c r="D1706" t="s">
        <v>181</v>
      </c>
      <c r="E1706">
        <v>14010243</v>
      </c>
      <c r="F1706" t="s">
        <v>1801</v>
      </c>
      <c r="G1706" t="s">
        <v>43</v>
      </c>
      <c r="H1706" t="s">
        <v>44</v>
      </c>
      <c r="I1706" t="s">
        <v>183</v>
      </c>
      <c r="J1706" t="s">
        <v>45</v>
      </c>
      <c r="K1706" t="s">
        <v>35</v>
      </c>
      <c r="L1706" t="s">
        <v>36</v>
      </c>
      <c r="M1706" t="s">
        <v>46</v>
      </c>
      <c r="N1706">
        <v>3</v>
      </c>
      <c r="O1706">
        <v>2</v>
      </c>
      <c r="P1706">
        <v>1</v>
      </c>
      <c r="Q1706">
        <v>3</v>
      </c>
      <c r="R1706" s="4">
        <v>4934.3599999999997</v>
      </c>
      <c r="S1706" t="str">
        <f t="shared" si="130"/>
        <v>PY: Media Crit.</v>
      </c>
      <c r="T1706">
        <f t="shared" si="131"/>
        <v>0</v>
      </c>
      <c r="U1706">
        <f t="shared" si="132"/>
        <v>0</v>
      </c>
      <c r="V1706">
        <f t="shared" si="133"/>
        <v>1</v>
      </c>
      <c r="W1706">
        <f t="shared" si="134"/>
        <v>0</v>
      </c>
      <c r="X1706">
        <v>1</v>
      </c>
      <c r="Y1706" s="2">
        <v>45768</v>
      </c>
      <c r="Z1706" s="3" t="s">
        <v>47</v>
      </c>
      <c r="AA1706" t="s">
        <v>39</v>
      </c>
      <c r="AB1706" t="s">
        <v>40</v>
      </c>
      <c r="AC1706" t="s">
        <v>40</v>
      </c>
      <c r="AD1706" t="s">
        <v>184</v>
      </c>
    </row>
    <row r="1707" spans="2:30">
      <c r="B1707">
        <v>1</v>
      </c>
      <c r="C1707">
        <v>1020</v>
      </c>
      <c r="D1707" t="s">
        <v>181</v>
      </c>
      <c r="E1707">
        <v>14010271</v>
      </c>
      <c r="F1707" t="s">
        <v>1802</v>
      </c>
      <c r="G1707" t="s">
        <v>31</v>
      </c>
      <c r="H1707" t="s">
        <v>44</v>
      </c>
      <c r="I1707" t="s">
        <v>183</v>
      </c>
      <c r="J1707" t="s">
        <v>45</v>
      </c>
      <c r="K1707" t="s">
        <v>35</v>
      </c>
      <c r="L1707" t="s">
        <v>36</v>
      </c>
      <c r="M1707" t="s">
        <v>37</v>
      </c>
      <c r="N1707">
        <v>3</v>
      </c>
      <c r="O1707">
        <v>2</v>
      </c>
      <c r="P1707">
        <v>0</v>
      </c>
      <c r="Q1707">
        <v>0</v>
      </c>
      <c r="R1707">
        <v>0</v>
      </c>
      <c r="S1707" t="str">
        <f t="shared" si="130"/>
        <v>PX: Baja Crit.</v>
      </c>
      <c r="T1707">
        <f t="shared" si="131"/>
        <v>1</v>
      </c>
      <c r="U1707">
        <f t="shared" si="132"/>
        <v>0</v>
      </c>
      <c r="V1707">
        <f t="shared" si="133"/>
        <v>0</v>
      </c>
      <c r="W1707">
        <f t="shared" si="134"/>
        <v>0</v>
      </c>
      <c r="X1707">
        <v>1</v>
      </c>
      <c r="Y1707" s="2">
        <v>45768</v>
      </c>
      <c r="Z1707" s="3" t="s">
        <v>38</v>
      </c>
      <c r="AA1707" t="s">
        <v>39</v>
      </c>
      <c r="AB1707" t="s">
        <v>49</v>
      </c>
      <c r="AC1707" s="5" t="s">
        <v>50</v>
      </c>
      <c r="AD1707" t="s">
        <v>184</v>
      </c>
    </row>
    <row r="1708" spans="2:30">
      <c r="B1708">
        <v>1</v>
      </c>
      <c r="C1708">
        <v>1020</v>
      </c>
      <c r="D1708" t="s">
        <v>181</v>
      </c>
      <c r="E1708">
        <v>14010335</v>
      </c>
      <c r="F1708" t="s">
        <v>1803</v>
      </c>
      <c r="G1708" t="s">
        <v>52</v>
      </c>
      <c r="H1708" t="s">
        <v>32</v>
      </c>
      <c r="I1708" t="s">
        <v>183</v>
      </c>
      <c r="J1708" t="s">
        <v>45</v>
      </c>
      <c r="K1708" t="s">
        <v>35</v>
      </c>
      <c r="L1708" t="s">
        <v>36</v>
      </c>
      <c r="M1708" t="s">
        <v>46</v>
      </c>
      <c r="N1708">
        <v>2</v>
      </c>
      <c r="O1708">
        <v>2</v>
      </c>
      <c r="P1708">
        <v>1</v>
      </c>
      <c r="Q1708">
        <v>1</v>
      </c>
      <c r="R1708">
        <v>0</v>
      </c>
      <c r="S1708" t="str">
        <f t="shared" si="130"/>
        <v>PZ: Alta Crit.</v>
      </c>
      <c r="T1708">
        <f t="shared" si="131"/>
        <v>0</v>
      </c>
      <c r="U1708">
        <f t="shared" si="132"/>
        <v>1</v>
      </c>
      <c r="V1708">
        <f t="shared" si="133"/>
        <v>0</v>
      </c>
      <c r="W1708">
        <f t="shared" si="134"/>
        <v>0</v>
      </c>
      <c r="X1708">
        <v>1</v>
      </c>
      <c r="Y1708" s="2">
        <v>45768</v>
      </c>
      <c r="Z1708" s="3" t="s">
        <v>47</v>
      </c>
      <c r="AA1708" t="s">
        <v>39</v>
      </c>
      <c r="AB1708" t="s">
        <v>76</v>
      </c>
      <c r="AC1708" s="5" t="s">
        <v>77</v>
      </c>
      <c r="AD1708" t="s">
        <v>184</v>
      </c>
    </row>
    <row r="1709" spans="2:30">
      <c r="B1709">
        <v>1</v>
      </c>
      <c r="C1709">
        <v>1020</v>
      </c>
      <c r="D1709" t="s">
        <v>388</v>
      </c>
      <c r="E1709">
        <v>14014033</v>
      </c>
      <c r="F1709" t="s">
        <v>1804</v>
      </c>
      <c r="G1709" t="s">
        <v>52</v>
      </c>
      <c r="H1709" t="s">
        <v>32</v>
      </c>
      <c r="I1709" t="s">
        <v>390</v>
      </c>
      <c r="J1709" t="s">
        <v>45</v>
      </c>
      <c r="K1709" t="s">
        <v>35</v>
      </c>
      <c r="L1709" t="s">
        <v>175</v>
      </c>
      <c r="M1709" t="s">
        <v>46</v>
      </c>
      <c r="N1709">
        <v>0</v>
      </c>
      <c r="O1709">
        <v>0</v>
      </c>
      <c r="P1709">
        <v>1</v>
      </c>
      <c r="Q1709">
        <v>2</v>
      </c>
      <c r="R1709" s="4">
        <v>14897.32</v>
      </c>
      <c r="S1709" t="str">
        <f t="shared" si="130"/>
        <v>PZ: Alta Crit.</v>
      </c>
      <c r="T1709">
        <f t="shared" si="131"/>
        <v>0</v>
      </c>
      <c r="U1709">
        <f t="shared" si="132"/>
        <v>0</v>
      </c>
      <c r="V1709">
        <f t="shared" si="133"/>
        <v>0</v>
      </c>
      <c r="W1709">
        <f t="shared" si="134"/>
        <v>1</v>
      </c>
      <c r="X1709">
        <v>1</v>
      </c>
      <c r="Y1709" s="2">
        <v>45768</v>
      </c>
      <c r="Z1709" s="3" t="s">
        <v>47</v>
      </c>
      <c r="AA1709" t="s">
        <v>39</v>
      </c>
      <c r="AB1709" t="s">
        <v>40</v>
      </c>
      <c r="AC1709" t="s">
        <v>40</v>
      </c>
      <c r="AD1709" t="s">
        <v>391</v>
      </c>
    </row>
    <row r="1710" spans="2:30">
      <c r="B1710">
        <v>1</v>
      </c>
      <c r="C1710">
        <v>1020</v>
      </c>
      <c r="D1710" t="s">
        <v>384</v>
      </c>
      <c r="E1710">
        <v>14014427</v>
      </c>
      <c r="F1710" t="s">
        <v>1805</v>
      </c>
      <c r="G1710" t="s">
        <v>43</v>
      </c>
      <c r="H1710" t="s">
        <v>32</v>
      </c>
      <c r="I1710" t="s">
        <v>386</v>
      </c>
      <c r="J1710" t="s">
        <v>45</v>
      </c>
      <c r="K1710" t="s">
        <v>35</v>
      </c>
      <c r="L1710" t="s">
        <v>175</v>
      </c>
      <c r="M1710" t="s">
        <v>117</v>
      </c>
      <c r="N1710">
        <v>0</v>
      </c>
      <c r="O1710">
        <v>0</v>
      </c>
      <c r="P1710">
        <v>0</v>
      </c>
      <c r="Q1710">
        <v>0</v>
      </c>
      <c r="R1710">
        <v>0</v>
      </c>
      <c r="S1710" t="str">
        <f t="shared" si="130"/>
        <v>PY: Media Crit.</v>
      </c>
      <c r="T1710">
        <f t="shared" si="131"/>
        <v>1</v>
      </c>
      <c r="U1710">
        <f t="shared" si="132"/>
        <v>0</v>
      </c>
      <c r="V1710">
        <f t="shared" si="133"/>
        <v>0</v>
      </c>
      <c r="W1710">
        <f t="shared" si="134"/>
        <v>0</v>
      </c>
      <c r="X1710">
        <v>1</v>
      </c>
      <c r="Y1710" s="2">
        <v>45768</v>
      </c>
      <c r="Z1710" s="3" t="s">
        <v>118</v>
      </c>
      <c r="AA1710" t="s">
        <v>39</v>
      </c>
      <c r="AB1710" t="s">
        <v>40</v>
      </c>
      <c r="AC1710" t="s">
        <v>40</v>
      </c>
      <c r="AD1710" t="s">
        <v>387</v>
      </c>
    </row>
    <row r="1711" spans="2:30">
      <c r="B1711">
        <v>1</v>
      </c>
      <c r="C1711">
        <v>1020</v>
      </c>
      <c r="D1711" t="s">
        <v>181</v>
      </c>
      <c r="E1711">
        <v>14033103</v>
      </c>
      <c r="F1711" t="s">
        <v>1806</v>
      </c>
      <c r="G1711" t="s">
        <v>43</v>
      </c>
      <c r="H1711" t="s">
        <v>60</v>
      </c>
      <c r="I1711" t="s">
        <v>183</v>
      </c>
      <c r="J1711" t="s">
        <v>45</v>
      </c>
      <c r="K1711" t="s">
        <v>35</v>
      </c>
      <c r="L1711" t="s">
        <v>36</v>
      </c>
      <c r="M1711" t="s">
        <v>46</v>
      </c>
      <c r="N1711">
        <v>2</v>
      </c>
      <c r="O1711">
        <v>1</v>
      </c>
      <c r="P1711">
        <v>0</v>
      </c>
      <c r="Q1711">
        <v>4</v>
      </c>
      <c r="R1711" s="4">
        <v>4159.58</v>
      </c>
      <c r="S1711" t="str">
        <f t="shared" si="130"/>
        <v>PY: Media Crit.</v>
      </c>
      <c r="T1711">
        <f t="shared" si="131"/>
        <v>0</v>
      </c>
      <c r="U1711">
        <f t="shared" si="132"/>
        <v>0</v>
      </c>
      <c r="V1711">
        <f t="shared" si="133"/>
        <v>0</v>
      </c>
      <c r="W1711">
        <f t="shared" si="134"/>
        <v>1</v>
      </c>
      <c r="X1711">
        <v>1</v>
      </c>
      <c r="Y1711" s="2">
        <v>45768</v>
      </c>
      <c r="Z1711" s="3" t="s">
        <v>47</v>
      </c>
      <c r="AA1711" t="s">
        <v>39</v>
      </c>
      <c r="AB1711" t="s">
        <v>40</v>
      </c>
      <c r="AC1711" t="s">
        <v>40</v>
      </c>
      <c r="AD1711" t="s">
        <v>184</v>
      </c>
    </row>
    <row r="1712" spans="2:30">
      <c r="B1712">
        <v>1</v>
      </c>
      <c r="C1712">
        <v>1020</v>
      </c>
      <c r="D1712" t="s">
        <v>181</v>
      </c>
      <c r="E1712">
        <v>14037291</v>
      </c>
      <c r="F1712" t="s">
        <v>1807</v>
      </c>
      <c r="G1712" t="s">
        <v>52</v>
      </c>
      <c r="H1712" t="s">
        <v>32</v>
      </c>
      <c r="I1712" t="s">
        <v>183</v>
      </c>
      <c r="J1712" t="s">
        <v>45</v>
      </c>
      <c r="K1712" t="s">
        <v>35</v>
      </c>
      <c r="L1712" t="s">
        <v>36</v>
      </c>
      <c r="M1712" t="s">
        <v>46</v>
      </c>
      <c r="N1712">
        <v>2</v>
      </c>
      <c r="O1712">
        <v>1</v>
      </c>
      <c r="P1712">
        <v>1</v>
      </c>
      <c r="Q1712">
        <v>4</v>
      </c>
      <c r="R1712">
        <v>493.07</v>
      </c>
      <c r="S1712" t="str">
        <f t="shared" si="130"/>
        <v>PZ: Alta Crit.</v>
      </c>
      <c r="T1712">
        <f t="shared" si="131"/>
        <v>0</v>
      </c>
      <c r="U1712">
        <f t="shared" si="132"/>
        <v>0</v>
      </c>
      <c r="V1712">
        <f t="shared" si="133"/>
        <v>0</v>
      </c>
      <c r="W1712">
        <f t="shared" si="134"/>
        <v>1</v>
      </c>
      <c r="X1712">
        <v>1</v>
      </c>
      <c r="Y1712" s="2">
        <v>45768</v>
      </c>
      <c r="Z1712" s="3" t="s">
        <v>47</v>
      </c>
      <c r="AA1712" t="s">
        <v>39</v>
      </c>
      <c r="AB1712" t="s">
        <v>40</v>
      </c>
      <c r="AC1712" t="s">
        <v>40</v>
      </c>
      <c r="AD1712" t="s">
        <v>184</v>
      </c>
    </row>
    <row r="1713" spans="2:30">
      <c r="B1713">
        <v>1</v>
      </c>
      <c r="C1713">
        <v>1020</v>
      </c>
      <c r="D1713" t="s">
        <v>181</v>
      </c>
      <c r="E1713">
        <v>14041619</v>
      </c>
      <c r="F1713" t="s">
        <v>1808</v>
      </c>
      <c r="G1713" t="s">
        <v>43</v>
      </c>
      <c r="H1713" t="s">
        <v>60</v>
      </c>
      <c r="I1713" t="s">
        <v>183</v>
      </c>
      <c r="J1713" t="s">
        <v>45</v>
      </c>
      <c r="K1713" t="s">
        <v>35</v>
      </c>
      <c r="L1713" t="s">
        <v>36</v>
      </c>
      <c r="M1713" t="s">
        <v>117</v>
      </c>
      <c r="N1713">
        <v>5</v>
      </c>
      <c r="O1713">
        <v>2</v>
      </c>
      <c r="P1713">
        <v>0</v>
      </c>
      <c r="Q1713">
        <v>8</v>
      </c>
      <c r="R1713" s="4">
        <v>1244.01</v>
      </c>
      <c r="S1713" t="str">
        <f t="shared" si="130"/>
        <v>PY: Media Crit.</v>
      </c>
      <c r="T1713">
        <f t="shared" si="131"/>
        <v>0</v>
      </c>
      <c r="U1713">
        <f t="shared" si="132"/>
        <v>0</v>
      </c>
      <c r="V1713">
        <f t="shared" si="133"/>
        <v>0</v>
      </c>
      <c r="W1713">
        <f t="shared" si="134"/>
        <v>1</v>
      </c>
      <c r="X1713">
        <v>1</v>
      </c>
      <c r="Y1713" s="2">
        <v>45768</v>
      </c>
      <c r="Z1713" s="3" t="s">
        <v>118</v>
      </c>
      <c r="AA1713" t="s">
        <v>39</v>
      </c>
      <c r="AB1713" t="s">
        <v>40</v>
      </c>
      <c r="AC1713" t="s">
        <v>40</v>
      </c>
      <c r="AD1713" t="s">
        <v>184</v>
      </c>
    </row>
    <row r="1714" spans="2:30">
      <c r="B1714">
        <v>1</v>
      </c>
      <c r="C1714">
        <v>1020</v>
      </c>
      <c r="D1714" t="s">
        <v>181</v>
      </c>
      <c r="E1714">
        <v>14041624</v>
      </c>
      <c r="F1714" t="s">
        <v>1809</v>
      </c>
      <c r="G1714" t="s">
        <v>52</v>
      </c>
      <c r="H1714" t="s">
        <v>32</v>
      </c>
      <c r="I1714" t="s">
        <v>183</v>
      </c>
      <c r="J1714" t="s">
        <v>45</v>
      </c>
      <c r="K1714" t="s">
        <v>35</v>
      </c>
      <c r="L1714" t="s">
        <v>36</v>
      </c>
      <c r="M1714" t="s">
        <v>117</v>
      </c>
      <c r="N1714">
        <v>2</v>
      </c>
      <c r="O1714">
        <v>1</v>
      </c>
      <c r="P1714">
        <v>0</v>
      </c>
      <c r="Q1714">
        <v>2</v>
      </c>
      <c r="R1714">
        <v>329.38</v>
      </c>
      <c r="S1714" t="str">
        <f t="shared" si="130"/>
        <v>PZ: Alta Crit.</v>
      </c>
      <c r="T1714">
        <f t="shared" si="131"/>
        <v>0</v>
      </c>
      <c r="U1714">
        <f t="shared" si="132"/>
        <v>0</v>
      </c>
      <c r="V1714">
        <f t="shared" si="133"/>
        <v>1</v>
      </c>
      <c r="W1714">
        <f t="shared" si="134"/>
        <v>0</v>
      </c>
      <c r="X1714">
        <v>1</v>
      </c>
      <c r="Y1714" s="2">
        <v>45768</v>
      </c>
      <c r="Z1714" s="3" t="s">
        <v>118</v>
      </c>
      <c r="AA1714" t="s">
        <v>39</v>
      </c>
      <c r="AB1714" t="s">
        <v>40</v>
      </c>
      <c r="AC1714" t="s">
        <v>40</v>
      </c>
      <c r="AD1714" t="s">
        <v>184</v>
      </c>
    </row>
    <row r="1715" spans="2:30">
      <c r="B1715">
        <v>1</v>
      </c>
      <c r="C1715">
        <v>1020</v>
      </c>
      <c r="D1715" t="s">
        <v>181</v>
      </c>
      <c r="E1715">
        <v>14041629</v>
      </c>
      <c r="F1715" t="s">
        <v>1810</v>
      </c>
      <c r="G1715" t="s">
        <v>52</v>
      </c>
      <c r="H1715" t="s">
        <v>32</v>
      </c>
      <c r="I1715" t="s">
        <v>183</v>
      </c>
      <c r="J1715" t="s">
        <v>45</v>
      </c>
      <c r="K1715" t="s">
        <v>35</v>
      </c>
      <c r="L1715" t="s">
        <v>36</v>
      </c>
      <c r="M1715" t="s">
        <v>117</v>
      </c>
      <c r="N1715">
        <v>5</v>
      </c>
      <c r="O1715">
        <v>2</v>
      </c>
      <c r="P1715">
        <v>0</v>
      </c>
      <c r="Q1715">
        <v>5</v>
      </c>
      <c r="R1715" s="4">
        <v>1150.32</v>
      </c>
      <c r="S1715" t="str">
        <f t="shared" si="130"/>
        <v>PZ: Alta Crit.</v>
      </c>
      <c r="T1715">
        <f t="shared" si="131"/>
        <v>0</v>
      </c>
      <c r="U1715">
        <f t="shared" si="132"/>
        <v>0</v>
      </c>
      <c r="V1715">
        <f t="shared" si="133"/>
        <v>1</v>
      </c>
      <c r="W1715">
        <f t="shared" si="134"/>
        <v>0</v>
      </c>
      <c r="X1715">
        <v>1</v>
      </c>
      <c r="Y1715" s="2">
        <v>45768</v>
      </c>
      <c r="Z1715" s="3" t="s">
        <v>118</v>
      </c>
      <c r="AA1715" t="s">
        <v>39</v>
      </c>
      <c r="AB1715" t="s">
        <v>40</v>
      </c>
      <c r="AC1715" t="s">
        <v>40</v>
      </c>
      <c r="AD1715" t="s">
        <v>184</v>
      </c>
    </row>
    <row r="1716" spans="2:30">
      <c r="B1716">
        <v>1</v>
      </c>
      <c r="C1716">
        <v>1020</v>
      </c>
      <c r="D1716" t="s">
        <v>181</v>
      </c>
      <c r="E1716">
        <v>14041759</v>
      </c>
      <c r="F1716" t="s">
        <v>1811</v>
      </c>
      <c r="G1716" t="s">
        <v>52</v>
      </c>
      <c r="H1716" t="s">
        <v>32</v>
      </c>
      <c r="I1716" t="s">
        <v>183</v>
      </c>
      <c r="J1716" t="s">
        <v>45</v>
      </c>
      <c r="K1716" t="s">
        <v>35</v>
      </c>
      <c r="L1716" t="s">
        <v>36</v>
      </c>
      <c r="M1716" t="s">
        <v>117</v>
      </c>
      <c r="N1716">
        <v>2</v>
      </c>
      <c r="O1716">
        <v>1</v>
      </c>
      <c r="P1716">
        <v>0</v>
      </c>
      <c r="Q1716">
        <v>2</v>
      </c>
      <c r="R1716">
        <v>318.81</v>
      </c>
      <c r="S1716" t="str">
        <f t="shared" si="130"/>
        <v>PZ: Alta Crit.</v>
      </c>
      <c r="T1716">
        <f t="shared" si="131"/>
        <v>0</v>
      </c>
      <c r="U1716">
        <f t="shared" si="132"/>
        <v>0</v>
      </c>
      <c r="V1716">
        <f t="shared" si="133"/>
        <v>1</v>
      </c>
      <c r="W1716">
        <f t="shared" si="134"/>
        <v>0</v>
      </c>
      <c r="X1716">
        <v>1</v>
      </c>
      <c r="Y1716" s="2">
        <v>45768</v>
      </c>
      <c r="Z1716" s="3" t="s">
        <v>118</v>
      </c>
      <c r="AA1716" t="s">
        <v>39</v>
      </c>
      <c r="AB1716" t="s">
        <v>40</v>
      </c>
      <c r="AC1716" t="s">
        <v>40</v>
      </c>
      <c r="AD1716" t="s">
        <v>184</v>
      </c>
    </row>
    <row r="1717" spans="2:30">
      <c r="B1717">
        <v>1</v>
      </c>
      <c r="C1717">
        <v>1020</v>
      </c>
      <c r="D1717" t="s">
        <v>181</v>
      </c>
      <c r="E1717">
        <v>14041760</v>
      </c>
      <c r="F1717" t="s">
        <v>1812</v>
      </c>
      <c r="G1717" t="s">
        <v>52</v>
      </c>
      <c r="H1717" t="s">
        <v>32</v>
      </c>
      <c r="I1717" t="s">
        <v>183</v>
      </c>
      <c r="J1717" t="s">
        <v>45</v>
      </c>
      <c r="K1717" t="s">
        <v>35</v>
      </c>
      <c r="L1717" t="s">
        <v>36</v>
      </c>
      <c r="M1717" t="s">
        <v>117</v>
      </c>
      <c r="N1717">
        <v>2</v>
      </c>
      <c r="O1717">
        <v>1</v>
      </c>
      <c r="P1717">
        <v>0</v>
      </c>
      <c r="Q1717">
        <v>2</v>
      </c>
      <c r="R1717">
        <v>302.93</v>
      </c>
      <c r="S1717" t="str">
        <f t="shared" si="130"/>
        <v>PZ: Alta Crit.</v>
      </c>
      <c r="T1717">
        <f t="shared" si="131"/>
        <v>0</v>
      </c>
      <c r="U1717">
        <f t="shared" si="132"/>
        <v>0</v>
      </c>
      <c r="V1717">
        <f t="shared" si="133"/>
        <v>1</v>
      </c>
      <c r="W1717">
        <f t="shared" si="134"/>
        <v>0</v>
      </c>
      <c r="X1717">
        <v>1</v>
      </c>
      <c r="Y1717" s="2">
        <v>45768</v>
      </c>
      <c r="Z1717" s="3" t="s">
        <v>118</v>
      </c>
      <c r="AA1717" t="s">
        <v>39</v>
      </c>
      <c r="AB1717" t="s">
        <v>40</v>
      </c>
      <c r="AC1717" t="s">
        <v>40</v>
      </c>
      <c r="AD1717" t="s">
        <v>184</v>
      </c>
    </row>
    <row r="1718" spans="2:30">
      <c r="B1718">
        <v>1</v>
      </c>
      <c r="C1718">
        <v>1020</v>
      </c>
      <c r="D1718" t="s">
        <v>181</v>
      </c>
      <c r="E1718">
        <v>14042041</v>
      </c>
      <c r="F1718" t="s">
        <v>1813</v>
      </c>
      <c r="G1718" t="s">
        <v>52</v>
      </c>
      <c r="H1718" t="s">
        <v>32</v>
      </c>
      <c r="I1718" t="s">
        <v>183</v>
      </c>
      <c r="J1718" t="s">
        <v>45</v>
      </c>
      <c r="K1718" t="s">
        <v>35</v>
      </c>
      <c r="L1718" t="s">
        <v>36</v>
      </c>
      <c r="M1718" t="s">
        <v>117</v>
      </c>
      <c r="N1718">
        <v>1</v>
      </c>
      <c r="O1718">
        <v>1</v>
      </c>
      <c r="P1718">
        <v>0</v>
      </c>
      <c r="Q1718">
        <v>1</v>
      </c>
      <c r="R1718">
        <v>172.63</v>
      </c>
      <c r="S1718" t="str">
        <f t="shared" si="130"/>
        <v>PZ: Alta Crit.</v>
      </c>
      <c r="T1718">
        <f t="shared" si="131"/>
        <v>0</v>
      </c>
      <c r="U1718">
        <f t="shared" si="132"/>
        <v>0</v>
      </c>
      <c r="V1718">
        <f t="shared" si="133"/>
        <v>1</v>
      </c>
      <c r="W1718">
        <f t="shared" si="134"/>
        <v>0</v>
      </c>
      <c r="X1718">
        <v>1</v>
      </c>
      <c r="Y1718" s="2">
        <v>45768</v>
      </c>
      <c r="Z1718" s="3" t="s">
        <v>118</v>
      </c>
      <c r="AA1718" t="s">
        <v>39</v>
      </c>
      <c r="AB1718" t="s">
        <v>40</v>
      </c>
      <c r="AC1718" t="s">
        <v>40</v>
      </c>
      <c r="AD1718" t="s">
        <v>184</v>
      </c>
    </row>
    <row r="1719" spans="2:30">
      <c r="B1719">
        <v>1</v>
      </c>
      <c r="C1719">
        <v>1020</v>
      </c>
      <c r="D1719" t="s">
        <v>181</v>
      </c>
      <c r="E1719">
        <v>14043456</v>
      </c>
      <c r="F1719" t="s">
        <v>1814</v>
      </c>
      <c r="G1719" t="s">
        <v>52</v>
      </c>
      <c r="H1719" t="s">
        <v>32</v>
      </c>
      <c r="I1719" t="s">
        <v>183</v>
      </c>
      <c r="J1719" t="s">
        <v>45</v>
      </c>
      <c r="K1719" t="s">
        <v>35</v>
      </c>
      <c r="L1719" t="s">
        <v>36</v>
      </c>
      <c r="M1719" t="s">
        <v>69</v>
      </c>
      <c r="N1719">
        <v>20</v>
      </c>
      <c r="O1719">
        <v>10</v>
      </c>
      <c r="P1719">
        <v>5</v>
      </c>
      <c r="Q1719">
        <v>20</v>
      </c>
      <c r="R1719" s="4">
        <v>2150.5500000000002</v>
      </c>
      <c r="S1719" t="str">
        <f t="shared" si="130"/>
        <v>PZ: Alta Crit.</v>
      </c>
      <c r="T1719">
        <f t="shared" si="131"/>
        <v>0</v>
      </c>
      <c r="U1719">
        <f t="shared" si="132"/>
        <v>0</v>
      </c>
      <c r="V1719">
        <f t="shared" si="133"/>
        <v>1</v>
      </c>
      <c r="W1719">
        <f t="shared" si="134"/>
        <v>0</v>
      </c>
      <c r="X1719">
        <v>1</v>
      </c>
      <c r="Y1719" s="2">
        <v>45768</v>
      </c>
      <c r="Z1719" s="3" t="s">
        <v>70</v>
      </c>
      <c r="AA1719" t="s">
        <v>39</v>
      </c>
      <c r="AB1719" t="s">
        <v>40</v>
      </c>
      <c r="AC1719" t="s">
        <v>40</v>
      </c>
      <c r="AD1719" t="s">
        <v>184</v>
      </c>
    </row>
    <row r="1720" spans="2:30">
      <c r="B1720">
        <v>1</v>
      </c>
      <c r="C1720">
        <v>1020</v>
      </c>
      <c r="D1720" t="s">
        <v>388</v>
      </c>
      <c r="E1720">
        <v>14056244</v>
      </c>
      <c r="F1720" t="s">
        <v>1815</v>
      </c>
      <c r="G1720" t="s">
        <v>43</v>
      </c>
      <c r="H1720" t="s">
        <v>60</v>
      </c>
      <c r="I1720" t="s">
        <v>390</v>
      </c>
      <c r="J1720" t="s">
        <v>45</v>
      </c>
      <c r="K1720" t="s">
        <v>35</v>
      </c>
      <c r="L1720" t="s">
        <v>175</v>
      </c>
      <c r="M1720" t="s">
        <v>69</v>
      </c>
      <c r="N1720">
        <v>0</v>
      </c>
      <c r="O1720">
        <v>0</v>
      </c>
      <c r="P1720">
        <v>2</v>
      </c>
      <c r="Q1720">
        <v>0</v>
      </c>
      <c r="R1720">
        <v>0</v>
      </c>
      <c r="S1720" t="str">
        <f t="shared" si="130"/>
        <v>PY: Media Crit.</v>
      </c>
      <c r="T1720">
        <f t="shared" si="131"/>
        <v>1</v>
      </c>
      <c r="U1720">
        <f t="shared" si="132"/>
        <v>0</v>
      </c>
      <c r="V1720">
        <f t="shared" si="133"/>
        <v>0</v>
      </c>
      <c r="W1720">
        <f t="shared" si="134"/>
        <v>0</v>
      </c>
      <c r="X1720">
        <v>1</v>
      </c>
      <c r="Y1720" s="2">
        <v>45768</v>
      </c>
      <c r="Z1720" s="3" t="s">
        <v>70</v>
      </c>
      <c r="AA1720" t="s">
        <v>39</v>
      </c>
      <c r="AB1720" t="s">
        <v>40</v>
      </c>
      <c r="AC1720" t="s">
        <v>40</v>
      </c>
      <c r="AD1720" t="s">
        <v>391</v>
      </c>
    </row>
    <row r="1721" spans="2:30">
      <c r="B1721">
        <v>1</v>
      </c>
      <c r="C1721">
        <v>1020</v>
      </c>
      <c r="D1721" t="s">
        <v>388</v>
      </c>
      <c r="E1721">
        <v>14059888</v>
      </c>
      <c r="F1721" t="s">
        <v>1816</v>
      </c>
      <c r="G1721" t="s">
        <v>52</v>
      </c>
      <c r="H1721" t="s">
        <v>44</v>
      </c>
      <c r="I1721" t="s">
        <v>390</v>
      </c>
      <c r="J1721" t="s">
        <v>45</v>
      </c>
      <c r="K1721" t="s">
        <v>35</v>
      </c>
      <c r="L1721" t="s">
        <v>175</v>
      </c>
      <c r="M1721" t="s">
        <v>117</v>
      </c>
      <c r="N1721">
        <v>0</v>
      </c>
      <c r="O1721">
        <v>0</v>
      </c>
      <c r="P1721">
        <v>1</v>
      </c>
      <c r="Q1721">
        <v>0</v>
      </c>
      <c r="R1721">
        <v>0</v>
      </c>
      <c r="S1721" t="str">
        <f t="shared" si="130"/>
        <v>PZ: Alta Crit.</v>
      </c>
      <c r="T1721">
        <f t="shared" si="131"/>
        <v>1</v>
      </c>
      <c r="U1721">
        <f t="shared" si="132"/>
        <v>0</v>
      </c>
      <c r="V1721">
        <f t="shared" si="133"/>
        <v>0</v>
      </c>
      <c r="W1721">
        <f t="shared" si="134"/>
        <v>0</v>
      </c>
      <c r="X1721">
        <v>1</v>
      </c>
      <c r="Y1721" s="2">
        <v>45768</v>
      </c>
      <c r="Z1721" s="3" t="s">
        <v>118</v>
      </c>
      <c r="AA1721" t="s">
        <v>39</v>
      </c>
      <c r="AB1721" t="s">
        <v>49</v>
      </c>
      <c r="AC1721" s="5" t="s">
        <v>50</v>
      </c>
      <c r="AD1721" t="s">
        <v>391</v>
      </c>
    </row>
    <row r="1722" spans="2:30">
      <c r="B1722">
        <v>1</v>
      </c>
      <c r="C1722">
        <v>1020</v>
      </c>
      <c r="D1722" t="s">
        <v>181</v>
      </c>
      <c r="E1722">
        <v>14061947</v>
      </c>
      <c r="F1722" t="s">
        <v>1817</v>
      </c>
      <c r="G1722" t="s">
        <v>43</v>
      </c>
      <c r="H1722" t="s">
        <v>32</v>
      </c>
      <c r="I1722" t="s">
        <v>183</v>
      </c>
      <c r="J1722" t="s">
        <v>45</v>
      </c>
      <c r="K1722" t="s">
        <v>35</v>
      </c>
      <c r="L1722" t="s">
        <v>36</v>
      </c>
      <c r="M1722" t="s">
        <v>117</v>
      </c>
      <c r="N1722">
        <v>20</v>
      </c>
      <c r="O1722">
        <v>10</v>
      </c>
      <c r="P1722">
        <v>10</v>
      </c>
      <c r="Q1722">
        <v>20</v>
      </c>
      <c r="R1722">
        <v>280</v>
      </c>
      <c r="S1722" t="str">
        <f t="shared" si="130"/>
        <v>PY: Media Crit.</v>
      </c>
      <c r="T1722">
        <f t="shared" si="131"/>
        <v>0</v>
      </c>
      <c r="U1722">
        <f t="shared" si="132"/>
        <v>0</v>
      </c>
      <c r="V1722">
        <f t="shared" si="133"/>
        <v>1</v>
      </c>
      <c r="W1722">
        <f t="shared" si="134"/>
        <v>0</v>
      </c>
      <c r="X1722">
        <v>1</v>
      </c>
      <c r="Y1722" s="2">
        <v>45768</v>
      </c>
      <c r="Z1722" s="3" t="s">
        <v>118</v>
      </c>
      <c r="AA1722" t="s">
        <v>39</v>
      </c>
      <c r="AB1722" t="s">
        <v>40</v>
      </c>
      <c r="AC1722" t="s">
        <v>40</v>
      </c>
      <c r="AD1722" t="s">
        <v>184</v>
      </c>
    </row>
    <row r="1723" spans="2:30">
      <c r="B1723">
        <v>1</v>
      </c>
      <c r="C1723">
        <v>1020</v>
      </c>
      <c r="D1723" t="s">
        <v>181</v>
      </c>
      <c r="E1723">
        <v>14062097</v>
      </c>
      <c r="F1723" t="s">
        <v>1818</v>
      </c>
      <c r="G1723" t="s">
        <v>43</v>
      </c>
      <c r="H1723" t="s">
        <v>32</v>
      </c>
      <c r="I1723" t="s">
        <v>183</v>
      </c>
      <c r="J1723" t="s">
        <v>45</v>
      </c>
      <c r="K1723" t="s">
        <v>35</v>
      </c>
      <c r="L1723" t="s">
        <v>36</v>
      </c>
      <c r="M1723" t="s">
        <v>88</v>
      </c>
      <c r="N1723">
        <v>20</v>
      </c>
      <c r="O1723">
        <v>11</v>
      </c>
      <c r="P1723">
        <v>0</v>
      </c>
      <c r="Q1723">
        <v>18</v>
      </c>
      <c r="R1723">
        <v>106.33</v>
      </c>
      <c r="S1723" t="str">
        <f t="shared" si="130"/>
        <v>PY: Media Crit.</v>
      </c>
      <c r="T1723">
        <f t="shared" si="131"/>
        <v>0</v>
      </c>
      <c r="U1723">
        <f t="shared" si="132"/>
        <v>0</v>
      </c>
      <c r="V1723">
        <f t="shared" si="133"/>
        <v>1</v>
      </c>
      <c r="W1723">
        <f t="shared" si="134"/>
        <v>0</v>
      </c>
      <c r="X1723">
        <v>1</v>
      </c>
      <c r="Y1723" s="2">
        <v>45768</v>
      </c>
      <c r="Z1723" s="3" t="s">
        <v>89</v>
      </c>
      <c r="AA1723" t="s">
        <v>39</v>
      </c>
      <c r="AB1723" t="s">
        <v>40</v>
      </c>
      <c r="AC1723" t="s">
        <v>40</v>
      </c>
      <c r="AD1723" t="s">
        <v>184</v>
      </c>
    </row>
    <row r="1724" spans="2:30">
      <c r="B1724">
        <v>1</v>
      </c>
      <c r="C1724">
        <v>1020</v>
      </c>
      <c r="D1724" t="s">
        <v>181</v>
      </c>
      <c r="E1724">
        <v>14064397</v>
      </c>
      <c r="F1724" t="s">
        <v>1819</v>
      </c>
      <c r="G1724" t="s">
        <v>31</v>
      </c>
      <c r="H1724" t="s">
        <v>32</v>
      </c>
      <c r="I1724" t="s">
        <v>183</v>
      </c>
      <c r="J1724" t="s">
        <v>45</v>
      </c>
      <c r="K1724" t="s">
        <v>35</v>
      </c>
      <c r="L1724" t="s">
        <v>36</v>
      </c>
      <c r="M1724" t="s">
        <v>117</v>
      </c>
      <c r="N1724">
        <v>2</v>
      </c>
      <c r="O1724">
        <v>1</v>
      </c>
      <c r="P1724">
        <v>1</v>
      </c>
      <c r="Q1724">
        <v>1</v>
      </c>
      <c r="R1724">
        <v>423.78</v>
      </c>
      <c r="S1724" t="str">
        <f t="shared" si="130"/>
        <v>PX: Baja Crit.</v>
      </c>
      <c r="T1724">
        <f t="shared" si="131"/>
        <v>0</v>
      </c>
      <c r="U1724">
        <f t="shared" si="132"/>
        <v>1</v>
      </c>
      <c r="V1724">
        <f t="shared" si="133"/>
        <v>0</v>
      </c>
      <c r="W1724">
        <f t="shared" si="134"/>
        <v>0</v>
      </c>
      <c r="X1724">
        <v>1</v>
      </c>
      <c r="Y1724" s="2">
        <v>45768</v>
      </c>
      <c r="Z1724" s="3" t="s">
        <v>118</v>
      </c>
      <c r="AA1724" t="s">
        <v>39</v>
      </c>
      <c r="AB1724" t="s">
        <v>40</v>
      </c>
      <c r="AC1724" t="s">
        <v>40</v>
      </c>
      <c r="AD1724" t="s">
        <v>184</v>
      </c>
    </row>
    <row r="1725" spans="2:30">
      <c r="B1725">
        <v>1</v>
      </c>
      <c r="C1725">
        <v>1020</v>
      </c>
      <c r="D1725" t="s">
        <v>181</v>
      </c>
      <c r="E1725">
        <v>14064774</v>
      </c>
      <c r="F1725" t="s">
        <v>1820</v>
      </c>
      <c r="G1725" t="s">
        <v>31</v>
      </c>
      <c r="H1725" t="s">
        <v>44</v>
      </c>
      <c r="I1725" t="s">
        <v>183</v>
      </c>
      <c r="J1725" t="s">
        <v>45</v>
      </c>
      <c r="K1725" t="s">
        <v>35</v>
      </c>
      <c r="L1725" t="s">
        <v>36</v>
      </c>
      <c r="M1725" t="s">
        <v>46</v>
      </c>
      <c r="N1725">
        <v>50</v>
      </c>
      <c r="O1725">
        <v>30</v>
      </c>
      <c r="P1725">
        <v>0</v>
      </c>
      <c r="Q1725">
        <v>50</v>
      </c>
      <c r="R1725" s="4">
        <v>4001.85</v>
      </c>
      <c r="S1725" t="str">
        <f t="shared" si="130"/>
        <v>PX: Baja Crit.</v>
      </c>
      <c r="T1725">
        <f t="shared" si="131"/>
        <v>0</v>
      </c>
      <c r="U1725">
        <f t="shared" si="132"/>
        <v>0</v>
      </c>
      <c r="V1725">
        <f t="shared" si="133"/>
        <v>1</v>
      </c>
      <c r="W1725">
        <f t="shared" si="134"/>
        <v>0</v>
      </c>
      <c r="X1725">
        <v>1</v>
      </c>
      <c r="Y1725" s="2">
        <v>45768</v>
      </c>
      <c r="Z1725" s="3" t="s">
        <v>47</v>
      </c>
      <c r="AA1725" t="s">
        <v>39</v>
      </c>
      <c r="AB1725" t="s">
        <v>40</v>
      </c>
      <c r="AC1725" t="s">
        <v>40</v>
      </c>
      <c r="AD1725" t="s">
        <v>184</v>
      </c>
    </row>
    <row r="1726" spans="2:30">
      <c r="B1726">
        <v>1</v>
      </c>
      <c r="C1726">
        <v>1020</v>
      </c>
      <c r="D1726" t="s">
        <v>181</v>
      </c>
      <c r="E1726">
        <v>14065528</v>
      </c>
      <c r="F1726" t="s">
        <v>1821</v>
      </c>
      <c r="G1726" t="s">
        <v>43</v>
      </c>
      <c r="H1726" t="s">
        <v>60</v>
      </c>
      <c r="I1726" t="s">
        <v>183</v>
      </c>
      <c r="J1726" t="s">
        <v>45</v>
      </c>
      <c r="K1726" t="s">
        <v>35</v>
      </c>
      <c r="L1726" t="s">
        <v>36</v>
      </c>
      <c r="M1726" t="s">
        <v>69</v>
      </c>
      <c r="N1726">
        <v>305</v>
      </c>
      <c r="O1726">
        <v>305</v>
      </c>
      <c r="P1726">
        <v>0</v>
      </c>
      <c r="Q1726">
        <v>305</v>
      </c>
      <c r="R1726" s="4">
        <v>3474.13</v>
      </c>
      <c r="S1726" t="str">
        <f t="shared" si="130"/>
        <v>PY: Media Crit.</v>
      </c>
      <c r="T1726">
        <f t="shared" si="131"/>
        <v>0</v>
      </c>
      <c r="U1726">
        <f t="shared" si="132"/>
        <v>0</v>
      </c>
      <c r="V1726">
        <f t="shared" si="133"/>
        <v>1</v>
      </c>
      <c r="W1726">
        <f t="shared" si="134"/>
        <v>0</v>
      </c>
      <c r="X1726">
        <v>1</v>
      </c>
      <c r="Y1726" s="2">
        <v>45768</v>
      </c>
      <c r="Z1726" s="3" t="s">
        <v>70</v>
      </c>
      <c r="AA1726" t="s">
        <v>39</v>
      </c>
      <c r="AB1726" t="s">
        <v>40</v>
      </c>
      <c r="AC1726" t="s">
        <v>40</v>
      </c>
      <c r="AD1726" t="s">
        <v>184</v>
      </c>
    </row>
    <row r="1727" spans="2:30">
      <c r="B1727">
        <v>1</v>
      </c>
      <c r="C1727">
        <v>1020</v>
      </c>
      <c r="D1727" t="s">
        <v>388</v>
      </c>
      <c r="E1727">
        <v>14065581</v>
      </c>
      <c r="F1727" t="s">
        <v>1822</v>
      </c>
      <c r="G1727" t="s">
        <v>43</v>
      </c>
      <c r="H1727" t="s">
        <v>60</v>
      </c>
      <c r="I1727" t="s">
        <v>390</v>
      </c>
      <c r="J1727" t="s">
        <v>45</v>
      </c>
      <c r="K1727" t="s">
        <v>35</v>
      </c>
      <c r="L1727" t="s">
        <v>175</v>
      </c>
      <c r="M1727" t="s">
        <v>117</v>
      </c>
      <c r="N1727">
        <v>0</v>
      </c>
      <c r="O1727">
        <v>0</v>
      </c>
      <c r="P1727">
        <v>6</v>
      </c>
      <c r="Q1727">
        <v>0</v>
      </c>
      <c r="R1727">
        <v>0</v>
      </c>
      <c r="S1727" t="str">
        <f t="shared" si="130"/>
        <v>PY: Media Crit.</v>
      </c>
      <c r="T1727">
        <f t="shared" si="131"/>
        <v>1</v>
      </c>
      <c r="U1727">
        <f t="shared" si="132"/>
        <v>0</v>
      </c>
      <c r="V1727">
        <f t="shared" si="133"/>
        <v>0</v>
      </c>
      <c r="W1727">
        <f t="shared" si="134"/>
        <v>0</v>
      </c>
      <c r="X1727">
        <v>1</v>
      </c>
      <c r="Y1727" s="2">
        <v>45768</v>
      </c>
      <c r="Z1727" s="3" t="s">
        <v>118</v>
      </c>
      <c r="AA1727" t="s">
        <v>39</v>
      </c>
      <c r="AB1727" t="s">
        <v>49</v>
      </c>
      <c r="AC1727" s="5" t="s">
        <v>50</v>
      </c>
      <c r="AD1727" t="s">
        <v>391</v>
      </c>
    </row>
    <row r="1728" spans="2:30">
      <c r="B1728">
        <v>1</v>
      </c>
      <c r="C1728">
        <v>1020</v>
      </c>
      <c r="D1728" t="s">
        <v>181</v>
      </c>
      <c r="E1728">
        <v>14067740</v>
      </c>
      <c r="F1728" t="s">
        <v>1823</v>
      </c>
      <c r="G1728" t="s">
        <v>43</v>
      </c>
      <c r="H1728" t="s">
        <v>60</v>
      </c>
      <c r="I1728" t="s">
        <v>183</v>
      </c>
      <c r="J1728" t="s">
        <v>45</v>
      </c>
      <c r="K1728" t="s">
        <v>35</v>
      </c>
      <c r="L1728" t="s">
        <v>36</v>
      </c>
      <c r="M1728" t="s">
        <v>69</v>
      </c>
      <c r="N1728">
        <v>50</v>
      </c>
      <c r="O1728">
        <v>40</v>
      </c>
      <c r="P1728">
        <v>0</v>
      </c>
      <c r="Q1728">
        <v>50</v>
      </c>
      <c r="R1728" s="4">
        <v>1797.64</v>
      </c>
      <c r="S1728" t="str">
        <f t="shared" si="130"/>
        <v>PY: Media Crit.</v>
      </c>
      <c r="T1728">
        <f t="shared" si="131"/>
        <v>0</v>
      </c>
      <c r="U1728">
        <f t="shared" si="132"/>
        <v>0</v>
      </c>
      <c r="V1728">
        <f t="shared" si="133"/>
        <v>1</v>
      </c>
      <c r="W1728">
        <f t="shared" si="134"/>
        <v>0</v>
      </c>
      <c r="X1728">
        <v>1</v>
      </c>
      <c r="Y1728" s="2">
        <v>45768</v>
      </c>
      <c r="Z1728" s="3" t="s">
        <v>70</v>
      </c>
      <c r="AA1728" t="s">
        <v>39</v>
      </c>
      <c r="AB1728" t="s">
        <v>40</v>
      </c>
      <c r="AC1728" t="s">
        <v>40</v>
      </c>
      <c r="AD1728" t="s">
        <v>184</v>
      </c>
    </row>
    <row r="1729" spans="2:30">
      <c r="B1729">
        <v>1</v>
      </c>
      <c r="C1729">
        <v>1020</v>
      </c>
      <c r="D1729" t="s">
        <v>181</v>
      </c>
      <c r="E1729">
        <v>14067753</v>
      </c>
      <c r="F1729" t="s">
        <v>1824</v>
      </c>
      <c r="G1729" t="s">
        <v>43</v>
      </c>
      <c r="H1729" t="s">
        <v>60</v>
      </c>
      <c r="I1729" t="s">
        <v>183</v>
      </c>
      <c r="J1729" t="s">
        <v>45</v>
      </c>
      <c r="K1729" t="s">
        <v>35</v>
      </c>
      <c r="L1729" t="s">
        <v>36</v>
      </c>
      <c r="M1729" t="s">
        <v>69</v>
      </c>
      <c r="N1729">
        <v>50</v>
      </c>
      <c r="O1729">
        <v>40</v>
      </c>
      <c r="P1729">
        <v>0</v>
      </c>
      <c r="Q1729">
        <v>50</v>
      </c>
      <c r="R1729" s="4">
        <v>1744</v>
      </c>
      <c r="S1729" t="str">
        <f t="shared" si="130"/>
        <v>PY: Media Crit.</v>
      </c>
      <c r="T1729">
        <f t="shared" si="131"/>
        <v>0</v>
      </c>
      <c r="U1729">
        <f t="shared" si="132"/>
        <v>0</v>
      </c>
      <c r="V1729">
        <f t="shared" si="133"/>
        <v>1</v>
      </c>
      <c r="W1729">
        <f t="shared" si="134"/>
        <v>0</v>
      </c>
      <c r="X1729">
        <v>1</v>
      </c>
      <c r="Y1729" s="2">
        <v>45768</v>
      </c>
      <c r="Z1729" s="3" t="s">
        <v>70</v>
      </c>
      <c r="AA1729" t="s">
        <v>39</v>
      </c>
      <c r="AB1729" t="s">
        <v>40</v>
      </c>
      <c r="AC1729" t="s">
        <v>40</v>
      </c>
      <c r="AD1729" t="s">
        <v>184</v>
      </c>
    </row>
    <row r="1730" spans="2:30">
      <c r="B1730">
        <v>1</v>
      </c>
      <c r="C1730">
        <v>1020</v>
      </c>
      <c r="D1730" t="s">
        <v>388</v>
      </c>
      <c r="E1730">
        <v>14068260</v>
      </c>
      <c r="F1730" t="s">
        <v>1825</v>
      </c>
      <c r="G1730" t="s">
        <v>43</v>
      </c>
      <c r="H1730" t="s">
        <v>60</v>
      </c>
      <c r="I1730" t="s">
        <v>390</v>
      </c>
      <c r="J1730" t="s">
        <v>45</v>
      </c>
      <c r="K1730" t="s">
        <v>35</v>
      </c>
      <c r="L1730" t="s">
        <v>175</v>
      </c>
      <c r="M1730" t="s">
        <v>69</v>
      </c>
      <c r="N1730">
        <v>0</v>
      </c>
      <c r="O1730">
        <v>0</v>
      </c>
      <c r="P1730">
        <v>4</v>
      </c>
      <c r="Q1730">
        <v>0</v>
      </c>
      <c r="R1730">
        <v>0</v>
      </c>
      <c r="S1730" t="str">
        <f t="shared" ref="S1730:S1793" si="135">+IF(G1730="PZ", "PZ: Alta Crit.",IF(G1730="PY","PY: Media Crit.", "PX: Baja Crit."))</f>
        <v>PY: Media Crit.</v>
      </c>
      <c r="T1730">
        <f t="shared" ref="T1730:T1793" si="136">+IF(Q1730=0,1,0)</f>
        <v>1</v>
      </c>
      <c r="U1730">
        <f t="shared" ref="U1730:U1793" si="137">+IF(AND(Q1730&lt;=P1730,Q1730&gt;0),1,0)</f>
        <v>0</v>
      </c>
      <c r="V1730">
        <f t="shared" ref="V1730:V1793" si="138">+IF(AND(Q1730&gt;P1730,Q1730&lt;=N1730),1,0)</f>
        <v>0</v>
      </c>
      <c r="W1730">
        <f t="shared" ref="W1730:W1793" si="139">+IF(Q1730&gt;N1730,1,0)</f>
        <v>0</v>
      </c>
      <c r="X1730">
        <v>1</v>
      </c>
      <c r="Y1730" s="2">
        <v>45768</v>
      </c>
      <c r="Z1730" s="3" t="s">
        <v>70</v>
      </c>
      <c r="AA1730" t="s">
        <v>39</v>
      </c>
      <c r="AB1730" t="s">
        <v>76</v>
      </c>
      <c r="AC1730" s="5" t="s">
        <v>77</v>
      </c>
      <c r="AD1730" t="s">
        <v>391</v>
      </c>
    </row>
    <row r="1731" spans="2:30">
      <c r="B1731">
        <v>1</v>
      </c>
      <c r="C1731">
        <v>1020</v>
      </c>
      <c r="D1731" t="s">
        <v>388</v>
      </c>
      <c r="E1731">
        <v>14068421</v>
      </c>
      <c r="F1731" t="s">
        <v>1826</v>
      </c>
      <c r="G1731" t="s">
        <v>43</v>
      </c>
      <c r="H1731" t="s">
        <v>60</v>
      </c>
      <c r="I1731" t="s">
        <v>390</v>
      </c>
      <c r="J1731" t="s">
        <v>45</v>
      </c>
      <c r="K1731" t="s">
        <v>35</v>
      </c>
      <c r="L1731" t="s">
        <v>175</v>
      </c>
      <c r="M1731" t="s">
        <v>69</v>
      </c>
      <c r="N1731">
        <v>0</v>
      </c>
      <c r="O1731">
        <v>0</v>
      </c>
      <c r="P1731">
        <v>1</v>
      </c>
      <c r="Q1731">
        <v>1</v>
      </c>
      <c r="R1731" s="4">
        <v>7734.14</v>
      </c>
      <c r="S1731" t="str">
        <f t="shared" si="135"/>
        <v>PY: Media Crit.</v>
      </c>
      <c r="T1731">
        <f t="shared" si="136"/>
        <v>0</v>
      </c>
      <c r="U1731">
        <f t="shared" si="137"/>
        <v>1</v>
      </c>
      <c r="V1731">
        <f t="shared" si="138"/>
        <v>0</v>
      </c>
      <c r="W1731">
        <f t="shared" si="139"/>
        <v>1</v>
      </c>
      <c r="X1731">
        <v>1</v>
      </c>
      <c r="Y1731" s="2">
        <v>45768</v>
      </c>
      <c r="Z1731" s="3" t="s">
        <v>70</v>
      </c>
      <c r="AA1731" t="s">
        <v>39</v>
      </c>
      <c r="AB1731" t="s">
        <v>40</v>
      </c>
      <c r="AC1731" t="s">
        <v>40</v>
      </c>
      <c r="AD1731" t="s">
        <v>391</v>
      </c>
    </row>
    <row r="1732" spans="2:30">
      <c r="B1732">
        <v>1</v>
      </c>
      <c r="C1732">
        <v>1020</v>
      </c>
      <c r="D1732" t="s">
        <v>172</v>
      </c>
      <c r="E1732">
        <v>14069177</v>
      </c>
      <c r="F1732" t="s">
        <v>1827</v>
      </c>
      <c r="G1732" t="s">
        <v>52</v>
      </c>
      <c r="H1732" t="s">
        <v>32</v>
      </c>
      <c r="I1732" t="s">
        <v>584</v>
      </c>
      <c r="J1732" t="s">
        <v>45</v>
      </c>
      <c r="K1732" t="s">
        <v>35</v>
      </c>
      <c r="L1732" t="s">
        <v>175</v>
      </c>
      <c r="M1732" t="s">
        <v>117</v>
      </c>
      <c r="N1732">
        <v>0</v>
      </c>
      <c r="O1732">
        <v>0</v>
      </c>
      <c r="P1732">
        <v>0</v>
      </c>
      <c r="Q1732">
        <v>1</v>
      </c>
      <c r="R1732" s="4">
        <v>28625.82</v>
      </c>
      <c r="S1732" t="str">
        <f t="shared" si="135"/>
        <v>PZ: Alta Crit.</v>
      </c>
      <c r="T1732">
        <f t="shared" si="136"/>
        <v>0</v>
      </c>
      <c r="U1732">
        <f t="shared" si="137"/>
        <v>0</v>
      </c>
      <c r="V1732">
        <f t="shared" si="138"/>
        <v>0</v>
      </c>
      <c r="W1732">
        <f t="shared" si="139"/>
        <v>1</v>
      </c>
      <c r="X1732">
        <v>1</v>
      </c>
      <c r="Y1732" s="2">
        <v>45768</v>
      </c>
      <c r="Z1732" s="3" t="s">
        <v>118</v>
      </c>
      <c r="AA1732" t="s">
        <v>39</v>
      </c>
      <c r="AB1732" t="s">
        <v>40</v>
      </c>
      <c r="AC1732" t="s">
        <v>40</v>
      </c>
      <c r="AD1732" t="s">
        <v>585</v>
      </c>
    </row>
    <row r="1733" spans="2:30">
      <c r="B1733">
        <v>1</v>
      </c>
      <c r="C1733">
        <v>1020</v>
      </c>
      <c r="D1733" t="s">
        <v>181</v>
      </c>
      <c r="E1733">
        <v>14074207</v>
      </c>
      <c r="F1733" t="s">
        <v>1828</v>
      </c>
      <c r="G1733" t="s">
        <v>31</v>
      </c>
      <c r="H1733" t="s">
        <v>44</v>
      </c>
      <c r="I1733" t="s">
        <v>183</v>
      </c>
      <c r="J1733" t="s">
        <v>45</v>
      </c>
      <c r="K1733" t="s">
        <v>35</v>
      </c>
      <c r="L1733" t="s">
        <v>36</v>
      </c>
      <c r="M1733" t="s">
        <v>69</v>
      </c>
      <c r="N1733">
        <v>8</v>
      </c>
      <c r="O1733">
        <v>4</v>
      </c>
      <c r="P1733">
        <v>0</v>
      </c>
      <c r="Q1733">
        <v>8</v>
      </c>
      <c r="R1733" s="4">
        <v>1873.89</v>
      </c>
      <c r="S1733" t="str">
        <f t="shared" si="135"/>
        <v>PX: Baja Crit.</v>
      </c>
      <c r="T1733">
        <f t="shared" si="136"/>
        <v>0</v>
      </c>
      <c r="U1733">
        <f t="shared" si="137"/>
        <v>0</v>
      </c>
      <c r="V1733">
        <f t="shared" si="138"/>
        <v>1</v>
      </c>
      <c r="W1733">
        <f t="shared" si="139"/>
        <v>0</v>
      </c>
      <c r="X1733">
        <v>1</v>
      </c>
      <c r="Y1733" s="2">
        <v>45768</v>
      </c>
      <c r="Z1733" s="3" t="s">
        <v>70</v>
      </c>
      <c r="AA1733" t="s">
        <v>39</v>
      </c>
      <c r="AB1733" t="s">
        <v>40</v>
      </c>
      <c r="AC1733" t="s">
        <v>40</v>
      </c>
      <c r="AD1733" t="s">
        <v>184</v>
      </c>
    </row>
    <row r="1734" spans="2:30">
      <c r="B1734">
        <v>1</v>
      </c>
      <c r="C1734">
        <v>1020</v>
      </c>
      <c r="D1734" t="s">
        <v>181</v>
      </c>
      <c r="E1734">
        <v>14074212</v>
      </c>
      <c r="F1734" t="s">
        <v>1829</v>
      </c>
      <c r="G1734" t="s">
        <v>43</v>
      </c>
      <c r="H1734" t="s">
        <v>32</v>
      </c>
      <c r="I1734" t="s">
        <v>183</v>
      </c>
      <c r="J1734" t="s">
        <v>45</v>
      </c>
      <c r="K1734" t="s">
        <v>35</v>
      </c>
      <c r="L1734" t="s">
        <v>36</v>
      </c>
      <c r="M1734" t="s">
        <v>69</v>
      </c>
      <c r="N1734">
        <v>12</v>
      </c>
      <c r="O1734">
        <v>9</v>
      </c>
      <c r="P1734">
        <v>1</v>
      </c>
      <c r="Q1734">
        <v>9</v>
      </c>
      <c r="R1734" s="4">
        <v>3035.32</v>
      </c>
      <c r="S1734" t="str">
        <f t="shared" si="135"/>
        <v>PY: Media Crit.</v>
      </c>
      <c r="T1734">
        <f t="shared" si="136"/>
        <v>0</v>
      </c>
      <c r="U1734">
        <f t="shared" si="137"/>
        <v>0</v>
      </c>
      <c r="V1734">
        <f t="shared" si="138"/>
        <v>1</v>
      </c>
      <c r="W1734">
        <f t="shared" si="139"/>
        <v>0</v>
      </c>
      <c r="X1734">
        <v>1</v>
      </c>
      <c r="Y1734" s="2">
        <v>45768</v>
      </c>
      <c r="Z1734" s="3" t="s">
        <v>70</v>
      </c>
      <c r="AA1734" t="s">
        <v>39</v>
      </c>
      <c r="AB1734" t="s">
        <v>40</v>
      </c>
      <c r="AC1734" t="s">
        <v>40</v>
      </c>
      <c r="AD1734" t="s">
        <v>184</v>
      </c>
    </row>
    <row r="1735" spans="2:30">
      <c r="B1735">
        <v>1</v>
      </c>
      <c r="C1735">
        <v>1020</v>
      </c>
      <c r="D1735" t="s">
        <v>388</v>
      </c>
      <c r="E1735">
        <v>14074562</v>
      </c>
      <c r="F1735" t="s">
        <v>1830</v>
      </c>
      <c r="G1735" t="s">
        <v>52</v>
      </c>
      <c r="H1735" t="s">
        <v>32</v>
      </c>
      <c r="I1735" t="s">
        <v>390</v>
      </c>
      <c r="J1735" t="s">
        <v>45</v>
      </c>
      <c r="K1735" t="s">
        <v>35</v>
      </c>
      <c r="L1735" t="s">
        <v>175</v>
      </c>
      <c r="M1735" t="s">
        <v>69</v>
      </c>
      <c r="N1735">
        <v>0</v>
      </c>
      <c r="O1735">
        <v>0</v>
      </c>
      <c r="P1735">
        <v>2</v>
      </c>
      <c r="Q1735">
        <v>2</v>
      </c>
      <c r="R1735" s="4">
        <v>2606.4699999999998</v>
      </c>
      <c r="S1735" t="str">
        <f t="shared" si="135"/>
        <v>PZ: Alta Crit.</v>
      </c>
      <c r="T1735">
        <f t="shared" si="136"/>
        <v>0</v>
      </c>
      <c r="U1735">
        <f t="shared" si="137"/>
        <v>1</v>
      </c>
      <c r="V1735">
        <f t="shared" si="138"/>
        <v>0</v>
      </c>
      <c r="W1735">
        <f t="shared" si="139"/>
        <v>1</v>
      </c>
      <c r="X1735">
        <v>1</v>
      </c>
      <c r="Y1735" s="2">
        <v>45768</v>
      </c>
      <c r="Z1735" s="3" t="s">
        <v>70</v>
      </c>
      <c r="AA1735" t="s">
        <v>39</v>
      </c>
      <c r="AB1735" t="s">
        <v>40</v>
      </c>
      <c r="AC1735" t="s">
        <v>40</v>
      </c>
      <c r="AD1735" t="s">
        <v>391</v>
      </c>
    </row>
    <row r="1736" spans="2:30">
      <c r="B1736">
        <v>1</v>
      </c>
      <c r="C1736">
        <v>1020</v>
      </c>
      <c r="D1736" t="s">
        <v>181</v>
      </c>
      <c r="E1736">
        <v>14075312</v>
      </c>
      <c r="F1736" t="s">
        <v>1831</v>
      </c>
      <c r="G1736" t="s">
        <v>43</v>
      </c>
      <c r="H1736" t="s">
        <v>32</v>
      </c>
      <c r="I1736" t="s">
        <v>183</v>
      </c>
      <c r="J1736" t="s">
        <v>45</v>
      </c>
      <c r="K1736" t="s">
        <v>35</v>
      </c>
      <c r="L1736" t="s">
        <v>36</v>
      </c>
      <c r="M1736" t="s">
        <v>117</v>
      </c>
      <c r="N1736">
        <v>6</v>
      </c>
      <c r="O1736">
        <v>4</v>
      </c>
      <c r="P1736">
        <v>0</v>
      </c>
      <c r="Q1736">
        <v>3</v>
      </c>
      <c r="R1736" s="4">
        <v>21745.200000000001</v>
      </c>
      <c r="S1736" t="str">
        <f t="shared" si="135"/>
        <v>PY: Media Crit.</v>
      </c>
      <c r="T1736">
        <f t="shared" si="136"/>
        <v>0</v>
      </c>
      <c r="U1736">
        <f t="shared" si="137"/>
        <v>0</v>
      </c>
      <c r="V1736">
        <f t="shared" si="138"/>
        <v>1</v>
      </c>
      <c r="W1736">
        <f t="shared" si="139"/>
        <v>0</v>
      </c>
      <c r="X1736">
        <v>1</v>
      </c>
      <c r="Y1736" s="2">
        <v>45768</v>
      </c>
      <c r="Z1736" s="3" t="s">
        <v>118</v>
      </c>
      <c r="AA1736" t="s">
        <v>39</v>
      </c>
      <c r="AB1736" t="s">
        <v>76</v>
      </c>
      <c r="AC1736" s="5" t="s">
        <v>77</v>
      </c>
      <c r="AD1736" t="s">
        <v>184</v>
      </c>
    </row>
    <row r="1737" spans="2:30">
      <c r="B1737">
        <v>1</v>
      </c>
      <c r="C1737">
        <v>1020</v>
      </c>
      <c r="D1737" t="s">
        <v>388</v>
      </c>
      <c r="E1737">
        <v>14077617</v>
      </c>
      <c r="F1737" t="s">
        <v>1832</v>
      </c>
      <c r="G1737" t="s">
        <v>52</v>
      </c>
      <c r="H1737" t="s">
        <v>32</v>
      </c>
      <c r="I1737" t="s">
        <v>390</v>
      </c>
      <c r="J1737" t="s">
        <v>45</v>
      </c>
      <c r="K1737" t="s">
        <v>35</v>
      </c>
      <c r="L1737" t="s">
        <v>175</v>
      </c>
      <c r="M1737" t="s">
        <v>37</v>
      </c>
      <c r="N1737">
        <v>0</v>
      </c>
      <c r="O1737">
        <v>0</v>
      </c>
      <c r="P1737">
        <v>1</v>
      </c>
      <c r="Q1737">
        <v>1</v>
      </c>
      <c r="R1737" s="4">
        <v>32307</v>
      </c>
      <c r="S1737" t="str">
        <f t="shared" si="135"/>
        <v>PZ: Alta Crit.</v>
      </c>
      <c r="T1737">
        <f t="shared" si="136"/>
        <v>0</v>
      </c>
      <c r="U1737">
        <f t="shared" si="137"/>
        <v>1</v>
      </c>
      <c r="V1737">
        <f t="shared" si="138"/>
        <v>0</v>
      </c>
      <c r="W1737">
        <f t="shared" si="139"/>
        <v>1</v>
      </c>
      <c r="X1737">
        <v>1</v>
      </c>
      <c r="Y1737" s="2">
        <v>45768</v>
      </c>
      <c r="Z1737" s="3" t="s">
        <v>38</v>
      </c>
      <c r="AA1737" t="s">
        <v>39</v>
      </c>
      <c r="AB1737" t="s">
        <v>40</v>
      </c>
      <c r="AC1737" t="s">
        <v>40</v>
      </c>
      <c r="AD1737" t="s">
        <v>391</v>
      </c>
    </row>
    <row r="1738" spans="2:30">
      <c r="B1738">
        <v>1</v>
      </c>
      <c r="C1738">
        <v>1020</v>
      </c>
      <c r="D1738" t="s">
        <v>388</v>
      </c>
      <c r="E1738">
        <v>14078703</v>
      </c>
      <c r="F1738" t="s">
        <v>1833</v>
      </c>
      <c r="G1738" t="s">
        <v>31</v>
      </c>
      <c r="H1738" t="s">
        <v>44</v>
      </c>
      <c r="I1738" t="s">
        <v>390</v>
      </c>
      <c r="J1738" t="s">
        <v>45</v>
      </c>
      <c r="K1738" t="s">
        <v>35</v>
      </c>
      <c r="L1738" t="s">
        <v>175</v>
      </c>
      <c r="M1738" t="s">
        <v>46</v>
      </c>
      <c r="N1738">
        <v>0</v>
      </c>
      <c r="O1738">
        <v>0</v>
      </c>
      <c r="P1738">
        <v>2</v>
      </c>
      <c r="Q1738">
        <v>2</v>
      </c>
      <c r="R1738">
        <v>518</v>
      </c>
      <c r="S1738" t="str">
        <f t="shared" si="135"/>
        <v>PX: Baja Crit.</v>
      </c>
      <c r="T1738">
        <f t="shared" si="136"/>
        <v>0</v>
      </c>
      <c r="U1738">
        <f t="shared" si="137"/>
        <v>1</v>
      </c>
      <c r="V1738">
        <f t="shared" si="138"/>
        <v>0</v>
      </c>
      <c r="W1738">
        <f t="shared" si="139"/>
        <v>1</v>
      </c>
      <c r="X1738">
        <v>1</v>
      </c>
      <c r="Y1738" s="2">
        <v>45768</v>
      </c>
      <c r="Z1738" s="3" t="s">
        <v>47</v>
      </c>
      <c r="AA1738" t="s">
        <v>39</v>
      </c>
      <c r="AB1738" t="s">
        <v>40</v>
      </c>
      <c r="AC1738" t="s">
        <v>40</v>
      </c>
      <c r="AD1738" t="s">
        <v>391</v>
      </c>
    </row>
    <row r="1739" spans="2:30">
      <c r="B1739">
        <v>1</v>
      </c>
      <c r="C1739">
        <v>1020</v>
      </c>
      <c r="D1739" t="s">
        <v>388</v>
      </c>
      <c r="E1739">
        <v>14079657</v>
      </c>
      <c r="F1739" t="s">
        <v>1834</v>
      </c>
      <c r="G1739" t="s">
        <v>31</v>
      </c>
      <c r="H1739" t="s">
        <v>44</v>
      </c>
      <c r="I1739" t="s">
        <v>390</v>
      </c>
      <c r="J1739" t="s">
        <v>45</v>
      </c>
      <c r="K1739" t="s">
        <v>35</v>
      </c>
      <c r="L1739" t="s">
        <v>175</v>
      </c>
      <c r="M1739" t="s">
        <v>46</v>
      </c>
      <c r="N1739">
        <v>0</v>
      </c>
      <c r="O1739">
        <v>0</v>
      </c>
      <c r="P1739">
        <v>1</v>
      </c>
      <c r="Q1739">
        <v>0</v>
      </c>
      <c r="R1739">
        <v>0</v>
      </c>
      <c r="S1739" t="str">
        <f t="shared" si="135"/>
        <v>PX: Baja Crit.</v>
      </c>
      <c r="T1739">
        <f t="shared" si="136"/>
        <v>1</v>
      </c>
      <c r="U1739">
        <f t="shared" si="137"/>
        <v>0</v>
      </c>
      <c r="V1739">
        <f t="shared" si="138"/>
        <v>0</v>
      </c>
      <c r="W1739">
        <f t="shared" si="139"/>
        <v>0</v>
      </c>
      <c r="X1739">
        <v>1</v>
      </c>
      <c r="Y1739" s="2">
        <v>45768</v>
      </c>
      <c r="Z1739" s="3" t="s">
        <v>47</v>
      </c>
      <c r="AA1739" t="s">
        <v>39</v>
      </c>
      <c r="AB1739" t="s">
        <v>49</v>
      </c>
      <c r="AC1739" s="5" t="s">
        <v>50</v>
      </c>
      <c r="AD1739" t="s">
        <v>391</v>
      </c>
    </row>
    <row r="1740" spans="2:30">
      <c r="B1740">
        <v>1</v>
      </c>
      <c r="C1740">
        <v>1020</v>
      </c>
      <c r="D1740" t="s">
        <v>388</v>
      </c>
      <c r="E1740">
        <v>14082219</v>
      </c>
      <c r="F1740" t="s">
        <v>1835</v>
      </c>
      <c r="G1740" t="s">
        <v>31</v>
      </c>
      <c r="H1740" t="s">
        <v>44</v>
      </c>
      <c r="I1740" t="s">
        <v>390</v>
      </c>
      <c r="J1740" t="s">
        <v>45</v>
      </c>
      <c r="K1740" t="s">
        <v>35</v>
      </c>
      <c r="L1740" t="s">
        <v>175</v>
      </c>
      <c r="M1740" t="s">
        <v>46</v>
      </c>
      <c r="N1740">
        <v>0</v>
      </c>
      <c r="O1740">
        <v>0</v>
      </c>
      <c r="P1740">
        <v>1</v>
      </c>
      <c r="Q1740">
        <v>0</v>
      </c>
      <c r="R1740">
        <v>0</v>
      </c>
      <c r="S1740" t="str">
        <f t="shared" si="135"/>
        <v>PX: Baja Crit.</v>
      </c>
      <c r="T1740">
        <f t="shared" si="136"/>
        <v>1</v>
      </c>
      <c r="U1740">
        <f t="shared" si="137"/>
        <v>0</v>
      </c>
      <c r="V1740">
        <f t="shared" si="138"/>
        <v>0</v>
      </c>
      <c r="W1740">
        <f t="shared" si="139"/>
        <v>0</v>
      </c>
      <c r="X1740">
        <v>1</v>
      </c>
      <c r="Y1740" s="2">
        <v>45768</v>
      </c>
      <c r="Z1740" s="3" t="s">
        <v>47</v>
      </c>
      <c r="AA1740" t="s">
        <v>39</v>
      </c>
      <c r="AB1740" t="s">
        <v>49</v>
      </c>
      <c r="AC1740" s="5" t="s">
        <v>50</v>
      </c>
      <c r="AD1740" t="s">
        <v>391</v>
      </c>
    </row>
    <row r="1741" spans="2:30">
      <c r="B1741">
        <v>1</v>
      </c>
      <c r="C1741">
        <v>1020</v>
      </c>
      <c r="D1741" t="s">
        <v>181</v>
      </c>
      <c r="E1741">
        <v>14084678</v>
      </c>
      <c r="F1741" t="s">
        <v>1836</v>
      </c>
      <c r="G1741" t="s">
        <v>52</v>
      </c>
      <c r="H1741" t="s">
        <v>44</v>
      </c>
      <c r="I1741" t="s">
        <v>183</v>
      </c>
      <c r="J1741" t="s">
        <v>45</v>
      </c>
      <c r="K1741" t="s">
        <v>35</v>
      </c>
      <c r="L1741" t="s">
        <v>36</v>
      </c>
      <c r="M1741" t="s">
        <v>117</v>
      </c>
      <c r="N1741">
        <v>2</v>
      </c>
      <c r="O1741">
        <v>2</v>
      </c>
      <c r="P1741">
        <v>1</v>
      </c>
      <c r="Q1741">
        <v>2</v>
      </c>
      <c r="R1741" s="4">
        <v>4308.5</v>
      </c>
      <c r="S1741" t="str">
        <f t="shared" si="135"/>
        <v>PZ: Alta Crit.</v>
      </c>
      <c r="T1741">
        <f t="shared" si="136"/>
        <v>0</v>
      </c>
      <c r="U1741">
        <f t="shared" si="137"/>
        <v>0</v>
      </c>
      <c r="V1741">
        <f t="shared" si="138"/>
        <v>1</v>
      </c>
      <c r="W1741">
        <f t="shared" si="139"/>
        <v>0</v>
      </c>
      <c r="X1741">
        <v>1</v>
      </c>
      <c r="Y1741" s="2">
        <v>45768</v>
      </c>
      <c r="Z1741" s="3" t="s">
        <v>118</v>
      </c>
      <c r="AA1741" t="s">
        <v>39</v>
      </c>
      <c r="AB1741" t="s">
        <v>40</v>
      </c>
      <c r="AC1741" t="s">
        <v>40</v>
      </c>
      <c r="AD1741" t="s">
        <v>184</v>
      </c>
    </row>
    <row r="1742" spans="2:30">
      <c r="B1742">
        <v>1</v>
      </c>
      <c r="C1742">
        <v>1020</v>
      </c>
      <c r="D1742" t="s">
        <v>181</v>
      </c>
      <c r="E1742">
        <v>14092593</v>
      </c>
      <c r="F1742" t="s">
        <v>1837</v>
      </c>
      <c r="G1742" t="s">
        <v>52</v>
      </c>
      <c r="H1742" t="s">
        <v>32</v>
      </c>
      <c r="I1742" t="s">
        <v>183</v>
      </c>
      <c r="J1742" t="s">
        <v>45</v>
      </c>
      <c r="K1742" t="s">
        <v>35</v>
      </c>
      <c r="L1742" t="s">
        <v>36</v>
      </c>
      <c r="M1742" t="s">
        <v>117</v>
      </c>
      <c r="N1742" s="8">
        <v>46000</v>
      </c>
      <c r="O1742" s="8">
        <v>23001</v>
      </c>
      <c r="P1742">
        <v>1</v>
      </c>
      <c r="Q1742" s="8">
        <v>45500</v>
      </c>
      <c r="R1742">
        <v>0</v>
      </c>
      <c r="S1742" t="str">
        <f t="shared" si="135"/>
        <v>PZ: Alta Crit.</v>
      </c>
      <c r="T1742">
        <f t="shared" si="136"/>
        <v>0</v>
      </c>
      <c r="U1742">
        <f t="shared" si="137"/>
        <v>0</v>
      </c>
      <c r="V1742">
        <f t="shared" si="138"/>
        <v>1</v>
      </c>
      <c r="W1742">
        <f t="shared" si="139"/>
        <v>0</v>
      </c>
      <c r="X1742">
        <v>1</v>
      </c>
      <c r="Y1742" s="2">
        <v>45768</v>
      </c>
      <c r="Z1742" s="3" t="s">
        <v>118</v>
      </c>
      <c r="AA1742" t="s">
        <v>39</v>
      </c>
      <c r="AB1742" t="s">
        <v>40</v>
      </c>
      <c r="AC1742" t="s">
        <v>40</v>
      </c>
      <c r="AD1742" t="s">
        <v>184</v>
      </c>
    </row>
    <row r="1743" spans="2:30">
      <c r="B1743">
        <v>1</v>
      </c>
      <c r="C1743">
        <v>1020</v>
      </c>
      <c r="D1743" t="s">
        <v>388</v>
      </c>
      <c r="E1743">
        <v>14093048</v>
      </c>
      <c r="F1743" t="s">
        <v>1838</v>
      </c>
      <c r="G1743" t="s">
        <v>43</v>
      </c>
      <c r="H1743" t="s">
        <v>60</v>
      </c>
      <c r="I1743" t="s">
        <v>390</v>
      </c>
      <c r="J1743" t="s">
        <v>45</v>
      </c>
      <c r="K1743" t="s">
        <v>35</v>
      </c>
      <c r="L1743" t="s">
        <v>175</v>
      </c>
      <c r="M1743" t="s">
        <v>46</v>
      </c>
      <c r="N1743">
        <v>0</v>
      </c>
      <c r="O1743">
        <v>0</v>
      </c>
      <c r="P1743">
        <v>1</v>
      </c>
      <c r="Q1743">
        <v>0</v>
      </c>
      <c r="R1743">
        <v>0</v>
      </c>
      <c r="S1743" t="str">
        <f t="shared" si="135"/>
        <v>PY: Media Crit.</v>
      </c>
      <c r="T1743">
        <f t="shared" si="136"/>
        <v>1</v>
      </c>
      <c r="U1743">
        <f t="shared" si="137"/>
        <v>0</v>
      </c>
      <c r="V1743">
        <f t="shared" si="138"/>
        <v>0</v>
      </c>
      <c r="W1743">
        <f t="shared" si="139"/>
        <v>0</v>
      </c>
      <c r="X1743">
        <v>1</v>
      </c>
      <c r="Y1743" s="2">
        <v>45768</v>
      </c>
      <c r="Z1743" s="3" t="s">
        <v>47</v>
      </c>
      <c r="AA1743" t="s">
        <v>39</v>
      </c>
      <c r="AB1743" t="s">
        <v>49</v>
      </c>
      <c r="AC1743" s="5" t="s">
        <v>50</v>
      </c>
      <c r="AD1743" t="s">
        <v>391</v>
      </c>
    </row>
    <row r="1744" spans="2:30">
      <c r="B1744">
        <v>1</v>
      </c>
      <c r="C1744">
        <v>1020</v>
      </c>
      <c r="D1744" t="s">
        <v>181</v>
      </c>
      <c r="E1744">
        <v>14094803</v>
      </c>
      <c r="F1744" t="s">
        <v>1839</v>
      </c>
      <c r="G1744" t="s">
        <v>43</v>
      </c>
      <c r="H1744" t="s">
        <v>60</v>
      </c>
      <c r="I1744" t="s">
        <v>183</v>
      </c>
      <c r="J1744" t="s">
        <v>45</v>
      </c>
      <c r="K1744" t="s">
        <v>35</v>
      </c>
      <c r="L1744" t="s">
        <v>36</v>
      </c>
      <c r="M1744" t="s">
        <v>46</v>
      </c>
      <c r="N1744">
        <v>2</v>
      </c>
      <c r="O1744">
        <v>1</v>
      </c>
      <c r="P1744">
        <v>0</v>
      </c>
      <c r="Q1744">
        <v>2</v>
      </c>
      <c r="R1744" s="4">
        <v>2342.36</v>
      </c>
      <c r="S1744" t="str">
        <f t="shared" si="135"/>
        <v>PY: Media Crit.</v>
      </c>
      <c r="T1744">
        <f t="shared" si="136"/>
        <v>0</v>
      </c>
      <c r="U1744">
        <f t="shared" si="137"/>
        <v>0</v>
      </c>
      <c r="V1744">
        <f t="shared" si="138"/>
        <v>1</v>
      </c>
      <c r="W1744">
        <f t="shared" si="139"/>
        <v>0</v>
      </c>
      <c r="X1744">
        <v>1</v>
      </c>
      <c r="Y1744" s="2">
        <v>45768</v>
      </c>
      <c r="Z1744" s="3" t="s">
        <v>47</v>
      </c>
      <c r="AA1744" t="s">
        <v>39</v>
      </c>
      <c r="AB1744" t="s">
        <v>40</v>
      </c>
      <c r="AC1744" t="s">
        <v>40</v>
      </c>
      <c r="AD1744" t="s">
        <v>184</v>
      </c>
    </row>
    <row r="1745" spans="2:30">
      <c r="B1745">
        <v>1</v>
      </c>
      <c r="C1745">
        <v>1020</v>
      </c>
      <c r="D1745" t="s">
        <v>181</v>
      </c>
      <c r="E1745">
        <v>14096515</v>
      </c>
      <c r="F1745" t="s">
        <v>1840</v>
      </c>
      <c r="G1745" t="s">
        <v>43</v>
      </c>
      <c r="H1745" t="s">
        <v>60</v>
      </c>
      <c r="I1745" t="s">
        <v>183</v>
      </c>
      <c r="J1745" t="s">
        <v>45</v>
      </c>
      <c r="K1745" t="s">
        <v>35</v>
      </c>
      <c r="L1745" t="s">
        <v>36</v>
      </c>
      <c r="M1745" t="s">
        <v>117</v>
      </c>
      <c r="N1745">
        <v>12</v>
      </c>
      <c r="O1745">
        <v>10</v>
      </c>
      <c r="P1745">
        <v>0</v>
      </c>
      <c r="Q1745">
        <v>24</v>
      </c>
      <c r="R1745" s="4">
        <v>11302.5</v>
      </c>
      <c r="S1745" t="str">
        <f t="shared" si="135"/>
        <v>PY: Media Crit.</v>
      </c>
      <c r="T1745">
        <f t="shared" si="136"/>
        <v>0</v>
      </c>
      <c r="U1745">
        <f t="shared" si="137"/>
        <v>0</v>
      </c>
      <c r="V1745">
        <f t="shared" si="138"/>
        <v>0</v>
      </c>
      <c r="W1745">
        <f t="shared" si="139"/>
        <v>1</v>
      </c>
      <c r="X1745">
        <v>1</v>
      </c>
      <c r="Y1745" s="2">
        <v>45768</v>
      </c>
      <c r="Z1745" s="3" t="s">
        <v>118</v>
      </c>
      <c r="AA1745" t="s">
        <v>39</v>
      </c>
      <c r="AB1745" t="s">
        <v>40</v>
      </c>
      <c r="AC1745" t="s">
        <v>40</v>
      </c>
      <c r="AD1745" t="s">
        <v>184</v>
      </c>
    </row>
    <row r="1746" spans="2:30">
      <c r="B1746">
        <v>1</v>
      </c>
      <c r="C1746">
        <v>1020</v>
      </c>
      <c r="D1746" t="s">
        <v>181</v>
      </c>
      <c r="E1746">
        <v>14097895</v>
      </c>
      <c r="F1746" t="s">
        <v>1841</v>
      </c>
      <c r="G1746" t="s">
        <v>43</v>
      </c>
      <c r="H1746" t="s">
        <v>60</v>
      </c>
      <c r="I1746" t="s">
        <v>183</v>
      </c>
      <c r="J1746" t="s">
        <v>45</v>
      </c>
      <c r="K1746" t="s">
        <v>35</v>
      </c>
      <c r="L1746" t="s">
        <v>36</v>
      </c>
      <c r="M1746" t="s">
        <v>69</v>
      </c>
      <c r="N1746">
        <v>5</v>
      </c>
      <c r="O1746">
        <v>3</v>
      </c>
      <c r="P1746">
        <v>0</v>
      </c>
      <c r="Q1746">
        <v>5</v>
      </c>
      <c r="R1746" s="4">
        <v>1043.21</v>
      </c>
      <c r="S1746" t="str">
        <f t="shared" si="135"/>
        <v>PY: Media Crit.</v>
      </c>
      <c r="T1746">
        <f t="shared" si="136"/>
        <v>0</v>
      </c>
      <c r="U1746">
        <f t="shared" si="137"/>
        <v>0</v>
      </c>
      <c r="V1746">
        <f t="shared" si="138"/>
        <v>1</v>
      </c>
      <c r="W1746">
        <f t="shared" si="139"/>
        <v>0</v>
      </c>
      <c r="X1746">
        <v>1</v>
      </c>
      <c r="Y1746" s="2">
        <v>45768</v>
      </c>
      <c r="Z1746" s="3" t="s">
        <v>70</v>
      </c>
      <c r="AA1746" t="s">
        <v>39</v>
      </c>
      <c r="AB1746" t="s">
        <v>40</v>
      </c>
      <c r="AC1746" t="s">
        <v>40</v>
      </c>
      <c r="AD1746" t="s">
        <v>184</v>
      </c>
    </row>
    <row r="1747" spans="2:30">
      <c r="B1747">
        <v>1</v>
      </c>
      <c r="C1747">
        <v>1020</v>
      </c>
      <c r="D1747" t="s">
        <v>181</v>
      </c>
      <c r="E1747">
        <v>14098182</v>
      </c>
      <c r="F1747" t="s">
        <v>1842</v>
      </c>
      <c r="G1747" t="s">
        <v>43</v>
      </c>
      <c r="H1747" t="s">
        <v>60</v>
      </c>
      <c r="I1747" t="s">
        <v>183</v>
      </c>
      <c r="J1747" t="s">
        <v>45</v>
      </c>
      <c r="K1747" t="s">
        <v>35</v>
      </c>
      <c r="L1747" t="s">
        <v>36</v>
      </c>
      <c r="M1747" t="s">
        <v>69</v>
      </c>
      <c r="N1747">
        <v>5</v>
      </c>
      <c r="O1747">
        <v>3</v>
      </c>
      <c r="P1747">
        <v>0</v>
      </c>
      <c r="Q1747">
        <v>5</v>
      </c>
      <c r="R1747">
        <v>914.72</v>
      </c>
      <c r="S1747" t="str">
        <f t="shared" si="135"/>
        <v>PY: Media Crit.</v>
      </c>
      <c r="T1747">
        <f t="shared" si="136"/>
        <v>0</v>
      </c>
      <c r="U1747">
        <f t="shared" si="137"/>
        <v>0</v>
      </c>
      <c r="V1747">
        <f t="shared" si="138"/>
        <v>1</v>
      </c>
      <c r="W1747">
        <f t="shared" si="139"/>
        <v>0</v>
      </c>
      <c r="X1747">
        <v>1</v>
      </c>
      <c r="Y1747" s="2">
        <v>45768</v>
      </c>
      <c r="Z1747" s="3" t="s">
        <v>70</v>
      </c>
      <c r="AA1747" t="s">
        <v>39</v>
      </c>
      <c r="AB1747" t="s">
        <v>40</v>
      </c>
      <c r="AC1747" t="s">
        <v>40</v>
      </c>
      <c r="AD1747" t="s">
        <v>184</v>
      </c>
    </row>
    <row r="1748" spans="2:30">
      <c r="B1748">
        <v>1</v>
      </c>
      <c r="C1748">
        <v>1020</v>
      </c>
      <c r="D1748" t="s">
        <v>181</v>
      </c>
      <c r="E1748">
        <v>14098206</v>
      </c>
      <c r="F1748" t="s">
        <v>1843</v>
      </c>
      <c r="G1748" t="s">
        <v>43</v>
      </c>
      <c r="H1748" t="s">
        <v>60</v>
      </c>
      <c r="I1748" t="s">
        <v>183</v>
      </c>
      <c r="J1748" t="s">
        <v>45</v>
      </c>
      <c r="K1748" t="s">
        <v>35</v>
      </c>
      <c r="L1748" t="s">
        <v>36</v>
      </c>
      <c r="M1748" t="s">
        <v>69</v>
      </c>
      <c r="N1748">
        <v>5</v>
      </c>
      <c r="O1748">
        <v>3</v>
      </c>
      <c r="P1748">
        <v>0</v>
      </c>
      <c r="Q1748">
        <v>5</v>
      </c>
      <c r="R1748">
        <v>529.45000000000005</v>
      </c>
      <c r="S1748" t="str">
        <f t="shared" si="135"/>
        <v>PY: Media Crit.</v>
      </c>
      <c r="T1748">
        <f t="shared" si="136"/>
        <v>0</v>
      </c>
      <c r="U1748">
        <f t="shared" si="137"/>
        <v>0</v>
      </c>
      <c r="V1748">
        <f t="shared" si="138"/>
        <v>1</v>
      </c>
      <c r="W1748">
        <f t="shared" si="139"/>
        <v>0</v>
      </c>
      <c r="X1748">
        <v>1</v>
      </c>
      <c r="Y1748" s="2">
        <v>45768</v>
      </c>
      <c r="Z1748" s="3" t="s">
        <v>70</v>
      </c>
      <c r="AA1748" t="s">
        <v>39</v>
      </c>
      <c r="AB1748" t="s">
        <v>40</v>
      </c>
      <c r="AC1748" t="s">
        <v>40</v>
      </c>
      <c r="AD1748" t="s">
        <v>184</v>
      </c>
    </row>
    <row r="1749" spans="2:30">
      <c r="B1749">
        <v>1</v>
      </c>
      <c r="C1749">
        <v>1020</v>
      </c>
      <c r="D1749" t="s">
        <v>181</v>
      </c>
      <c r="E1749">
        <v>14098207</v>
      </c>
      <c r="F1749" t="s">
        <v>1844</v>
      </c>
      <c r="G1749" t="s">
        <v>43</v>
      </c>
      <c r="H1749" t="s">
        <v>60</v>
      </c>
      <c r="I1749" t="s">
        <v>183</v>
      </c>
      <c r="J1749" t="s">
        <v>45</v>
      </c>
      <c r="K1749" t="s">
        <v>35</v>
      </c>
      <c r="L1749" t="s">
        <v>36</v>
      </c>
      <c r="M1749" t="s">
        <v>69</v>
      </c>
      <c r="N1749">
        <v>5</v>
      </c>
      <c r="O1749">
        <v>3</v>
      </c>
      <c r="P1749">
        <v>0</v>
      </c>
      <c r="Q1749">
        <v>5</v>
      </c>
      <c r="R1749">
        <v>401</v>
      </c>
      <c r="S1749" t="str">
        <f t="shared" si="135"/>
        <v>PY: Media Crit.</v>
      </c>
      <c r="T1749">
        <f t="shared" si="136"/>
        <v>0</v>
      </c>
      <c r="U1749">
        <f t="shared" si="137"/>
        <v>0</v>
      </c>
      <c r="V1749">
        <f t="shared" si="138"/>
        <v>1</v>
      </c>
      <c r="W1749">
        <f t="shared" si="139"/>
        <v>0</v>
      </c>
      <c r="X1749">
        <v>1</v>
      </c>
      <c r="Y1749" s="2">
        <v>45768</v>
      </c>
      <c r="Z1749" s="3" t="s">
        <v>70</v>
      </c>
      <c r="AA1749" t="s">
        <v>39</v>
      </c>
      <c r="AB1749" t="s">
        <v>40</v>
      </c>
      <c r="AC1749" t="s">
        <v>40</v>
      </c>
      <c r="AD1749" t="s">
        <v>184</v>
      </c>
    </row>
    <row r="1750" spans="2:30">
      <c r="B1750">
        <v>1</v>
      </c>
      <c r="C1750">
        <v>1020</v>
      </c>
      <c r="D1750" t="s">
        <v>388</v>
      </c>
      <c r="E1750">
        <v>14099971</v>
      </c>
      <c r="F1750" t="s">
        <v>1845</v>
      </c>
      <c r="G1750" t="s">
        <v>43</v>
      </c>
      <c r="H1750" t="s">
        <v>60</v>
      </c>
      <c r="I1750" t="s">
        <v>390</v>
      </c>
      <c r="J1750" t="s">
        <v>45</v>
      </c>
      <c r="K1750" t="s">
        <v>35</v>
      </c>
      <c r="L1750" t="s">
        <v>175</v>
      </c>
      <c r="M1750" t="s">
        <v>69</v>
      </c>
      <c r="N1750">
        <v>0</v>
      </c>
      <c r="O1750">
        <v>0</v>
      </c>
      <c r="P1750">
        <v>2</v>
      </c>
      <c r="Q1750">
        <v>2</v>
      </c>
      <c r="R1750" s="4">
        <v>1554.35</v>
      </c>
      <c r="S1750" t="str">
        <f t="shared" si="135"/>
        <v>PY: Media Crit.</v>
      </c>
      <c r="T1750">
        <f t="shared" si="136"/>
        <v>0</v>
      </c>
      <c r="U1750">
        <f t="shared" si="137"/>
        <v>1</v>
      </c>
      <c r="V1750">
        <f t="shared" si="138"/>
        <v>0</v>
      </c>
      <c r="W1750">
        <f t="shared" si="139"/>
        <v>1</v>
      </c>
      <c r="X1750">
        <v>1</v>
      </c>
      <c r="Y1750" s="2">
        <v>45768</v>
      </c>
      <c r="Z1750" s="3" t="s">
        <v>70</v>
      </c>
      <c r="AA1750" t="s">
        <v>39</v>
      </c>
      <c r="AB1750" t="s">
        <v>40</v>
      </c>
      <c r="AC1750" t="s">
        <v>40</v>
      </c>
      <c r="AD1750" t="s">
        <v>391</v>
      </c>
    </row>
    <row r="1751" spans="2:30">
      <c r="B1751">
        <v>1</v>
      </c>
      <c r="C1751">
        <v>1020</v>
      </c>
      <c r="D1751" t="s">
        <v>181</v>
      </c>
      <c r="E1751">
        <v>14100713</v>
      </c>
      <c r="F1751" t="s">
        <v>1846</v>
      </c>
      <c r="G1751" t="s">
        <v>43</v>
      </c>
      <c r="H1751" t="s">
        <v>60</v>
      </c>
      <c r="I1751" t="s">
        <v>183</v>
      </c>
      <c r="J1751" t="s">
        <v>45</v>
      </c>
      <c r="K1751" t="s">
        <v>35</v>
      </c>
      <c r="L1751" t="s">
        <v>36</v>
      </c>
      <c r="M1751" t="s">
        <v>117</v>
      </c>
      <c r="N1751">
        <v>8</v>
      </c>
      <c r="O1751">
        <v>4</v>
      </c>
      <c r="P1751">
        <v>0</v>
      </c>
      <c r="Q1751">
        <v>0</v>
      </c>
      <c r="R1751">
        <v>0</v>
      </c>
      <c r="S1751" t="str">
        <f t="shared" si="135"/>
        <v>PY: Media Crit.</v>
      </c>
      <c r="T1751">
        <f t="shared" si="136"/>
        <v>1</v>
      </c>
      <c r="U1751">
        <f t="shared" si="137"/>
        <v>0</v>
      </c>
      <c r="V1751">
        <f t="shared" si="138"/>
        <v>0</v>
      </c>
      <c r="W1751">
        <f t="shared" si="139"/>
        <v>0</v>
      </c>
      <c r="X1751">
        <v>1</v>
      </c>
      <c r="Y1751" s="2">
        <v>45768</v>
      </c>
      <c r="Z1751" s="3" t="s">
        <v>118</v>
      </c>
      <c r="AA1751" t="s">
        <v>39</v>
      </c>
      <c r="AB1751" t="s">
        <v>49</v>
      </c>
      <c r="AC1751" s="5" t="s">
        <v>50</v>
      </c>
      <c r="AD1751" t="s">
        <v>184</v>
      </c>
    </row>
    <row r="1752" spans="2:30">
      <c r="B1752">
        <v>1</v>
      </c>
      <c r="C1752">
        <v>1020</v>
      </c>
      <c r="D1752" t="s">
        <v>181</v>
      </c>
      <c r="E1752">
        <v>14101385</v>
      </c>
      <c r="F1752" t="s">
        <v>1847</v>
      </c>
      <c r="G1752" t="s">
        <v>52</v>
      </c>
      <c r="H1752" t="s">
        <v>60</v>
      </c>
      <c r="I1752" t="s">
        <v>183</v>
      </c>
      <c r="J1752" t="s">
        <v>45</v>
      </c>
      <c r="K1752" t="s">
        <v>62</v>
      </c>
      <c r="L1752" t="s">
        <v>36</v>
      </c>
      <c r="M1752" t="s">
        <v>117</v>
      </c>
      <c r="N1752">
        <v>4</v>
      </c>
      <c r="O1752">
        <v>2</v>
      </c>
      <c r="P1752">
        <v>0</v>
      </c>
      <c r="Q1752">
        <v>4</v>
      </c>
      <c r="R1752" s="4">
        <v>10472.58</v>
      </c>
      <c r="S1752" t="str">
        <f t="shared" si="135"/>
        <v>PZ: Alta Crit.</v>
      </c>
      <c r="T1752">
        <f t="shared" si="136"/>
        <v>0</v>
      </c>
      <c r="U1752">
        <f t="shared" si="137"/>
        <v>0</v>
      </c>
      <c r="V1752">
        <f t="shared" si="138"/>
        <v>1</v>
      </c>
      <c r="W1752">
        <f t="shared" si="139"/>
        <v>0</v>
      </c>
      <c r="X1752">
        <v>1</v>
      </c>
      <c r="Y1752" s="2">
        <v>45768</v>
      </c>
      <c r="Z1752" s="3" t="s">
        <v>118</v>
      </c>
      <c r="AA1752" t="s">
        <v>39</v>
      </c>
      <c r="AB1752" t="s">
        <v>40</v>
      </c>
      <c r="AC1752" t="s">
        <v>40</v>
      </c>
      <c r="AD1752" t="s">
        <v>184</v>
      </c>
    </row>
    <row r="1753" spans="2:30">
      <c r="B1753">
        <v>1</v>
      </c>
      <c r="C1753">
        <v>1020</v>
      </c>
      <c r="D1753" t="s">
        <v>181</v>
      </c>
      <c r="E1753">
        <v>14104664</v>
      </c>
      <c r="F1753" t="s">
        <v>1848</v>
      </c>
      <c r="G1753" t="s">
        <v>52</v>
      </c>
      <c r="H1753" t="s">
        <v>44</v>
      </c>
      <c r="I1753" t="s">
        <v>183</v>
      </c>
      <c r="J1753" t="s">
        <v>45</v>
      </c>
      <c r="K1753" t="s">
        <v>35</v>
      </c>
      <c r="L1753" t="s">
        <v>36</v>
      </c>
      <c r="M1753" t="s">
        <v>37</v>
      </c>
      <c r="N1753">
        <v>6</v>
      </c>
      <c r="O1753">
        <v>4</v>
      </c>
      <c r="P1753">
        <v>1</v>
      </c>
      <c r="Q1753">
        <v>6</v>
      </c>
      <c r="R1753" s="4">
        <v>1153.4100000000001</v>
      </c>
      <c r="S1753" t="str">
        <f t="shared" si="135"/>
        <v>PZ: Alta Crit.</v>
      </c>
      <c r="T1753">
        <f t="shared" si="136"/>
        <v>0</v>
      </c>
      <c r="U1753">
        <f t="shared" si="137"/>
        <v>0</v>
      </c>
      <c r="V1753">
        <f t="shared" si="138"/>
        <v>1</v>
      </c>
      <c r="W1753">
        <f t="shared" si="139"/>
        <v>0</v>
      </c>
      <c r="X1753">
        <v>1</v>
      </c>
      <c r="Y1753" s="2">
        <v>45768</v>
      </c>
      <c r="Z1753" s="3" t="s">
        <v>38</v>
      </c>
      <c r="AA1753" t="s">
        <v>39</v>
      </c>
      <c r="AB1753" t="s">
        <v>40</v>
      </c>
      <c r="AC1753" t="s">
        <v>40</v>
      </c>
      <c r="AD1753" t="s">
        <v>184</v>
      </c>
    </row>
    <row r="1754" spans="2:30">
      <c r="B1754">
        <v>1</v>
      </c>
      <c r="C1754">
        <v>1020</v>
      </c>
      <c r="D1754" t="s">
        <v>181</v>
      </c>
      <c r="E1754">
        <v>14104675</v>
      </c>
      <c r="F1754" t="s">
        <v>1849</v>
      </c>
      <c r="G1754" t="s">
        <v>31</v>
      </c>
      <c r="H1754" t="s">
        <v>44</v>
      </c>
      <c r="I1754" t="s">
        <v>183</v>
      </c>
      <c r="J1754" t="s">
        <v>45</v>
      </c>
      <c r="K1754" t="s">
        <v>35</v>
      </c>
      <c r="L1754" t="s">
        <v>36</v>
      </c>
      <c r="M1754" t="s">
        <v>37</v>
      </c>
      <c r="N1754">
        <v>6</v>
      </c>
      <c r="O1754">
        <v>4</v>
      </c>
      <c r="P1754">
        <v>1</v>
      </c>
      <c r="Q1754">
        <v>6</v>
      </c>
      <c r="R1754" s="4">
        <v>3454.64</v>
      </c>
      <c r="S1754" t="str">
        <f t="shared" si="135"/>
        <v>PX: Baja Crit.</v>
      </c>
      <c r="T1754">
        <f t="shared" si="136"/>
        <v>0</v>
      </c>
      <c r="U1754">
        <f t="shared" si="137"/>
        <v>0</v>
      </c>
      <c r="V1754">
        <f t="shared" si="138"/>
        <v>1</v>
      </c>
      <c r="W1754">
        <f t="shared" si="139"/>
        <v>0</v>
      </c>
      <c r="X1754">
        <v>1</v>
      </c>
      <c r="Y1754" s="2">
        <v>45768</v>
      </c>
      <c r="Z1754" s="3" t="s">
        <v>38</v>
      </c>
      <c r="AA1754" t="s">
        <v>39</v>
      </c>
      <c r="AB1754" t="s">
        <v>40</v>
      </c>
      <c r="AC1754" t="s">
        <v>40</v>
      </c>
      <c r="AD1754" t="s">
        <v>184</v>
      </c>
    </row>
    <row r="1755" spans="2:30">
      <c r="B1755">
        <v>1</v>
      </c>
      <c r="C1755">
        <v>1020</v>
      </c>
      <c r="D1755" t="s">
        <v>181</v>
      </c>
      <c r="E1755">
        <v>14104680</v>
      </c>
      <c r="F1755" t="s">
        <v>1850</v>
      </c>
      <c r="G1755" t="s">
        <v>52</v>
      </c>
      <c r="H1755" t="s">
        <v>44</v>
      </c>
      <c r="I1755" t="s">
        <v>183</v>
      </c>
      <c r="J1755" t="s">
        <v>45</v>
      </c>
      <c r="K1755" t="s">
        <v>35</v>
      </c>
      <c r="L1755" t="s">
        <v>36</v>
      </c>
      <c r="M1755" t="s">
        <v>37</v>
      </c>
      <c r="N1755">
        <v>6</v>
      </c>
      <c r="O1755">
        <v>4</v>
      </c>
      <c r="P1755">
        <v>1</v>
      </c>
      <c r="Q1755">
        <v>6</v>
      </c>
      <c r="R1755" s="4">
        <v>3067.42</v>
      </c>
      <c r="S1755" t="str">
        <f t="shared" si="135"/>
        <v>PZ: Alta Crit.</v>
      </c>
      <c r="T1755">
        <f t="shared" si="136"/>
        <v>0</v>
      </c>
      <c r="U1755">
        <f t="shared" si="137"/>
        <v>0</v>
      </c>
      <c r="V1755">
        <f t="shared" si="138"/>
        <v>1</v>
      </c>
      <c r="W1755">
        <f t="shared" si="139"/>
        <v>0</v>
      </c>
      <c r="X1755">
        <v>1</v>
      </c>
      <c r="Y1755" s="2">
        <v>45768</v>
      </c>
      <c r="Z1755" s="3" t="s">
        <v>38</v>
      </c>
      <c r="AA1755" t="s">
        <v>39</v>
      </c>
      <c r="AB1755" t="s">
        <v>40</v>
      </c>
      <c r="AC1755" t="s">
        <v>40</v>
      </c>
      <c r="AD1755" t="s">
        <v>184</v>
      </c>
    </row>
    <row r="1756" spans="2:30">
      <c r="B1756">
        <v>1</v>
      </c>
      <c r="C1756">
        <v>1020</v>
      </c>
      <c r="D1756" t="s">
        <v>181</v>
      </c>
      <c r="E1756">
        <v>14105427</v>
      </c>
      <c r="F1756" t="s">
        <v>1851</v>
      </c>
      <c r="G1756" t="s">
        <v>31</v>
      </c>
      <c r="H1756" t="s">
        <v>32</v>
      </c>
      <c r="I1756" t="s">
        <v>183</v>
      </c>
      <c r="J1756" t="s">
        <v>45</v>
      </c>
      <c r="K1756" t="s">
        <v>35</v>
      </c>
      <c r="L1756" t="s">
        <v>36</v>
      </c>
      <c r="M1756" t="s">
        <v>46</v>
      </c>
      <c r="N1756">
        <v>6</v>
      </c>
      <c r="O1756">
        <v>4</v>
      </c>
      <c r="P1756">
        <v>0</v>
      </c>
      <c r="Q1756">
        <v>6</v>
      </c>
      <c r="R1756" s="4">
        <v>3598.7</v>
      </c>
      <c r="S1756" t="str">
        <f t="shared" si="135"/>
        <v>PX: Baja Crit.</v>
      </c>
      <c r="T1756">
        <f t="shared" si="136"/>
        <v>0</v>
      </c>
      <c r="U1756">
        <f t="shared" si="137"/>
        <v>0</v>
      </c>
      <c r="V1756">
        <f t="shared" si="138"/>
        <v>1</v>
      </c>
      <c r="W1756">
        <f t="shared" si="139"/>
        <v>0</v>
      </c>
      <c r="X1756">
        <v>1</v>
      </c>
      <c r="Y1756" s="2">
        <v>45768</v>
      </c>
      <c r="Z1756" s="3" t="s">
        <v>47</v>
      </c>
      <c r="AA1756" t="s">
        <v>39</v>
      </c>
      <c r="AB1756" t="s">
        <v>40</v>
      </c>
      <c r="AC1756" t="s">
        <v>40</v>
      </c>
      <c r="AD1756" t="s">
        <v>184</v>
      </c>
    </row>
    <row r="1757" spans="2:30">
      <c r="B1757">
        <v>1</v>
      </c>
      <c r="C1757">
        <v>1020</v>
      </c>
      <c r="D1757" t="s">
        <v>388</v>
      </c>
      <c r="E1757">
        <v>14106422</v>
      </c>
      <c r="F1757" t="s">
        <v>1852</v>
      </c>
      <c r="G1757" t="s">
        <v>52</v>
      </c>
      <c r="H1757" t="s">
        <v>44</v>
      </c>
      <c r="I1757" t="s">
        <v>390</v>
      </c>
      <c r="J1757" t="s">
        <v>45</v>
      </c>
      <c r="K1757" t="s">
        <v>35</v>
      </c>
      <c r="L1757" t="s">
        <v>175</v>
      </c>
      <c r="M1757" t="s">
        <v>117</v>
      </c>
      <c r="N1757">
        <v>0</v>
      </c>
      <c r="O1757">
        <v>0</v>
      </c>
      <c r="P1757">
        <v>4</v>
      </c>
      <c r="Q1757">
        <v>4</v>
      </c>
      <c r="R1757" s="4">
        <v>5391.6</v>
      </c>
      <c r="S1757" t="str">
        <f t="shared" si="135"/>
        <v>PZ: Alta Crit.</v>
      </c>
      <c r="T1757">
        <f t="shared" si="136"/>
        <v>0</v>
      </c>
      <c r="U1757">
        <f t="shared" si="137"/>
        <v>1</v>
      </c>
      <c r="V1757">
        <f t="shared" si="138"/>
        <v>0</v>
      </c>
      <c r="W1757">
        <f t="shared" si="139"/>
        <v>1</v>
      </c>
      <c r="X1757">
        <v>1</v>
      </c>
      <c r="Y1757" s="2">
        <v>45768</v>
      </c>
      <c r="Z1757" s="3" t="s">
        <v>118</v>
      </c>
      <c r="AA1757" t="s">
        <v>39</v>
      </c>
      <c r="AB1757" t="s">
        <v>40</v>
      </c>
      <c r="AC1757" t="s">
        <v>40</v>
      </c>
      <c r="AD1757" t="s">
        <v>391</v>
      </c>
    </row>
    <row r="1758" spans="2:30">
      <c r="B1758">
        <v>1</v>
      </c>
      <c r="C1758">
        <v>1020</v>
      </c>
      <c r="D1758" t="s">
        <v>181</v>
      </c>
      <c r="E1758">
        <v>14107002</v>
      </c>
      <c r="F1758" t="s">
        <v>1853</v>
      </c>
      <c r="G1758" t="s">
        <v>43</v>
      </c>
      <c r="H1758" t="s">
        <v>60</v>
      </c>
      <c r="I1758" t="s">
        <v>183</v>
      </c>
      <c r="J1758" t="s">
        <v>45</v>
      </c>
      <c r="K1758" t="s">
        <v>35</v>
      </c>
      <c r="L1758" t="s">
        <v>36</v>
      </c>
      <c r="M1758" t="s">
        <v>37</v>
      </c>
      <c r="N1758">
        <v>3</v>
      </c>
      <c r="O1758">
        <v>2</v>
      </c>
      <c r="P1758">
        <v>0</v>
      </c>
      <c r="Q1758">
        <v>0</v>
      </c>
      <c r="R1758">
        <v>0</v>
      </c>
      <c r="S1758" t="str">
        <f t="shared" si="135"/>
        <v>PY: Media Crit.</v>
      </c>
      <c r="T1758">
        <f t="shared" si="136"/>
        <v>1</v>
      </c>
      <c r="U1758">
        <f t="shared" si="137"/>
        <v>0</v>
      </c>
      <c r="V1758">
        <f t="shared" si="138"/>
        <v>0</v>
      </c>
      <c r="W1758">
        <f t="shared" si="139"/>
        <v>0</v>
      </c>
      <c r="X1758">
        <v>1</v>
      </c>
      <c r="Y1758" s="2">
        <v>45768</v>
      </c>
      <c r="Z1758" s="3" t="s">
        <v>38</v>
      </c>
      <c r="AA1758" t="s">
        <v>39</v>
      </c>
      <c r="AB1758" t="s">
        <v>49</v>
      </c>
      <c r="AC1758" s="5" t="s">
        <v>50</v>
      </c>
      <c r="AD1758" t="s">
        <v>184</v>
      </c>
    </row>
    <row r="1759" spans="2:30">
      <c r="B1759">
        <v>1</v>
      </c>
      <c r="C1759">
        <v>1020</v>
      </c>
      <c r="D1759" t="s">
        <v>181</v>
      </c>
      <c r="E1759">
        <v>14107003</v>
      </c>
      <c r="F1759" t="s">
        <v>1854</v>
      </c>
      <c r="G1759" t="s">
        <v>43</v>
      </c>
      <c r="H1759" t="s">
        <v>60</v>
      </c>
      <c r="I1759" t="s">
        <v>183</v>
      </c>
      <c r="J1759" t="s">
        <v>45</v>
      </c>
      <c r="K1759" t="s">
        <v>35</v>
      </c>
      <c r="L1759" t="s">
        <v>36</v>
      </c>
      <c r="M1759" t="s">
        <v>37</v>
      </c>
      <c r="N1759">
        <v>3</v>
      </c>
      <c r="O1759">
        <v>2</v>
      </c>
      <c r="P1759">
        <v>0</v>
      </c>
      <c r="Q1759">
        <v>0</v>
      </c>
      <c r="R1759">
        <v>0</v>
      </c>
      <c r="S1759" t="str">
        <f t="shared" si="135"/>
        <v>PY: Media Crit.</v>
      </c>
      <c r="T1759">
        <f t="shared" si="136"/>
        <v>1</v>
      </c>
      <c r="U1759">
        <f t="shared" si="137"/>
        <v>0</v>
      </c>
      <c r="V1759">
        <f t="shared" si="138"/>
        <v>0</v>
      </c>
      <c r="W1759">
        <f t="shared" si="139"/>
        <v>0</v>
      </c>
      <c r="X1759">
        <v>1</v>
      </c>
      <c r="Y1759" s="2">
        <v>45768</v>
      </c>
      <c r="Z1759" s="3" t="s">
        <v>38</v>
      </c>
      <c r="AA1759" t="s">
        <v>39</v>
      </c>
      <c r="AB1759" t="s">
        <v>49</v>
      </c>
      <c r="AC1759" s="5" t="s">
        <v>50</v>
      </c>
      <c r="AD1759" t="s">
        <v>184</v>
      </c>
    </row>
    <row r="1760" spans="2:30">
      <c r="B1760">
        <v>1</v>
      </c>
      <c r="C1760">
        <v>1020</v>
      </c>
      <c r="D1760" t="s">
        <v>388</v>
      </c>
      <c r="E1760">
        <v>14108278</v>
      </c>
      <c r="F1760" t="s">
        <v>1855</v>
      </c>
      <c r="G1760" t="s">
        <v>43</v>
      </c>
      <c r="H1760" t="s">
        <v>60</v>
      </c>
      <c r="I1760" t="s">
        <v>390</v>
      </c>
      <c r="J1760" t="s">
        <v>45</v>
      </c>
      <c r="K1760" t="s">
        <v>35</v>
      </c>
      <c r="L1760" t="s">
        <v>175</v>
      </c>
      <c r="M1760" t="s">
        <v>69</v>
      </c>
      <c r="N1760">
        <v>0</v>
      </c>
      <c r="O1760">
        <v>0</v>
      </c>
      <c r="P1760">
        <v>8</v>
      </c>
      <c r="Q1760">
        <v>0</v>
      </c>
      <c r="R1760">
        <v>0</v>
      </c>
      <c r="S1760" t="str">
        <f t="shared" si="135"/>
        <v>PY: Media Crit.</v>
      </c>
      <c r="T1760">
        <f t="shared" si="136"/>
        <v>1</v>
      </c>
      <c r="U1760">
        <f t="shared" si="137"/>
        <v>0</v>
      </c>
      <c r="V1760">
        <f t="shared" si="138"/>
        <v>0</v>
      </c>
      <c r="W1760">
        <f t="shared" si="139"/>
        <v>0</v>
      </c>
      <c r="X1760">
        <v>1</v>
      </c>
      <c r="Y1760" s="2">
        <v>45768</v>
      </c>
      <c r="Z1760" s="3" t="s">
        <v>70</v>
      </c>
      <c r="AA1760" t="s">
        <v>39</v>
      </c>
      <c r="AB1760" t="s">
        <v>76</v>
      </c>
      <c r="AC1760" s="5" t="s">
        <v>77</v>
      </c>
      <c r="AD1760" t="s">
        <v>391</v>
      </c>
    </row>
    <row r="1761" spans="2:30">
      <c r="B1761">
        <v>1</v>
      </c>
      <c r="C1761">
        <v>1020</v>
      </c>
      <c r="D1761" t="s">
        <v>181</v>
      </c>
      <c r="E1761">
        <v>14108956</v>
      </c>
      <c r="F1761" t="s">
        <v>1856</v>
      </c>
      <c r="G1761" t="s">
        <v>52</v>
      </c>
      <c r="H1761" t="s">
        <v>44</v>
      </c>
      <c r="I1761" t="s">
        <v>183</v>
      </c>
      <c r="J1761" t="s">
        <v>45</v>
      </c>
      <c r="K1761" t="s">
        <v>35</v>
      </c>
      <c r="L1761" t="s">
        <v>36</v>
      </c>
      <c r="M1761" t="s">
        <v>69</v>
      </c>
      <c r="N1761">
        <v>8</v>
      </c>
      <c r="O1761">
        <v>5</v>
      </c>
      <c r="P1761">
        <v>0</v>
      </c>
      <c r="Q1761">
        <v>0</v>
      </c>
      <c r="R1761">
        <v>0</v>
      </c>
      <c r="S1761" t="str">
        <f t="shared" si="135"/>
        <v>PZ: Alta Crit.</v>
      </c>
      <c r="T1761">
        <f t="shared" si="136"/>
        <v>1</v>
      </c>
      <c r="U1761">
        <f t="shared" si="137"/>
        <v>0</v>
      </c>
      <c r="V1761">
        <f t="shared" si="138"/>
        <v>0</v>
      </c>
      <c r="W1761">
        <f t="shared" si="139"/>
        <v>0</v>
      </c>
      <c r="X1761">
        <v>1</v>
      </c>
      <c r="Y1761" s="2">
        <v>45768</v>
      </c>
      <c r="Z1761" s="3" t="s">
        <v>70</v>
      </c>
      <c r="AA1761" t="s">
        <v>39</v>
      </c>
      <c r="AB1761" t="s">
        <v>49</v>
      </c>
      <c r="AC1761" s="5" t="s">
        <v>50</v>
      </c>
      <c r="AD1761" t="s">
        <v>184</v>
      </c>
    </row>
    <row r="1762" spans="2:30">
      <c r="B1762">
        <v>1</v>
      </c>
      <c r="C1762">
        <v>1020</v>
      </c>
      <c r="D1762" t="s">
        <v>181</v>
      </c>
      <c r="E1762">
        <v>14108959</v>
      </c>
      <c r="F1762" t="s">
        <v>1857</v>
      </c>
      <c r="G1762" t="s">
        <v>52</v>
      </c>
      <c r="H1762" t="s">
        <v>44</v>
      </c>
      <c r="I1762" t="s">
        <v>183</v>
      </c>
      <c r="J1762" t="s">
        <v>45</v>
      </c>
      <c r="K1762" t="s">
        <v>35</v>
      </c>
      <c r="L1762" t="s">
        <v>36</v>
      </c>
      <c r="M1762" t="s">
        <v>69</v>
      </c>
      <c r="N1762">
        <v>5</v>
      </c>
      <c r="O1762">
        <v>3</v>
      </c>
      <c r="P1762">
        <v>0</v>
      </c>
      <c r="Q1762">
        <v>5</v>
      </c>
      <c r="R1762" s="4">
        <v>2055.54</v>
      </c>
      <c r="S1762" t="str">
        <f t="shared" si="135"/>
        <v>PZ: Alta Crit.</v>
      </c>
      <c r="T1762">
        <f t="shared" si="136"/>
        <v>0</v>
      </c>
      <c r="U1762">
        <f t="shared" si="137"/>
        <v>0</v>
      </c>
      <c r="V1762">
        <f t="shared" si="138"/>
        <v>1</v>
      </c>
      <c r="W1762">
        <f t="shared" si="139"/>
        <v>0</v>
      </c>
      <c r="X1762">
        <v>1</v>
      </c>
      <c r="Y1762" s="2">
        <v>45768</v>
      </c>
      <c r="Z1762" s="3" t="s">
        <v>70</v>
      </c>
      <c r="AA1762" t="s">
        <v>39</v>
      </c>
      <c r="AB1762" t="s">
        <v>40</v>
      </c>
      <c r="AC1762" t="s">
        <v>40</v>
      </c>
      <c r="AD1762" t="s">
        <v>184</v>
      </c>
    </row>
    <row r="1763" spans="2:30">
      <c r="B1763">
        <v>1</v>
      </c>
      <c r="C1763">
        <v>1020</v>
      </c>
      <c r="D1763" t="s">
        <v>181</v>
      </c>
      <c r="E1763">
        <v>14110263</v>
      </c>
      <c r="F1763" t="s">
        <v>1858</v>
      </c>
      <c r="G1763" t="s">
        <v>43</v>
      </c>
      <c r="H1763" t="s">
        <v>60</v>
      </c>
      <c r="I1763" t="s">
        <v>183</v>
      </c>
      <c r="J1763" t="s">
        <v>45</v>
      </c>
      <c r="K1763" t="s">
        <v>35</v>
      </c>
      <c r="L1763" t="s">
        <v>36</v>
      </c>
      <c r="M1763" t="s">
        <v>69</v>
      </c>
      <c r="N1763">
        <v>2</v>
      </c>
      <c r="O1763">
        <v>2</v>
      </c>
      <c r="P1763">
        <v>0</v>
      </c>
      <c r="Q1763">
        <v>2</v>
      </c>
      <c r="R1763" s="4">
        <v>1112.8399999999999</v>
      </c>
      <c r="S1763" t="str">
        <f t="shared" si="135"/>
        <v>PY: Media Crit.</v>
      </c>
      <c r="T1763">
        <f t="shared" si="136"/>
        <v>0</v>
      </c>
      <c r="U1763">
        <f t="shared" si="137"/>
        <v>0</v>
      </c>
      <c r="V1763">
        <f t="shared" si="138"/>
        <v>1</v>
      </c>
      <c r="W1763">
        <f t="shared" si="139"/>
        <v>0</v>
      </c>
      <c r="X1763">
        <v>1</v>
      </c>
      <c r="Y1763" s="2">
        <v>45768</v>
      </c>
      <c r="Z1763" s="3" t="s">
        <v>70</v>
      </c>
      <c r="AA1763" t="s">
        <v>39</v>
      </c>
      <c r="AB1763" t="s">
        <v>40</v>
      </c>
      <c r="AC1763" t="s">
        <v>40</v>
      </c>
      <c r="AD1763" t="s">
        <v>184</v>
      </c>
    </row>
    <row r="1764" spans="2:30">
      <c r="B1764">
        <v>1</v>
      </c>
      <c r="C1764">
        <v>1020</v>
      </c>
      <c r="D1764" t="s">
        <v>388</v>
      </c>
      <c r="E1764">
        <v>14110356</v>
      </c>
      <c r="F1764" t="s">
        <v>1859</v>
      </c>
      <c r="G1764" t="s">
        <v>43</v>
      </c>
      <c r="H1764" t="s">
        <v>44</v>
      </c>
      <c r="I1764" t="s">
        <v>390</v>
      </c>
      <c r="J1764" t="s">
        <v>45</v>
      </c>
      <c r="K1764" t="s">
        <v>35</v>
      </c>
      <c r="L1764" t="s">
        <v>175</v>
      </c>
      <c r="M1764" t="s">
        <v>69</v>
      </c>
      <c r="N1764">
        <v>0</v>
      </c>
      <c r="O1764">
        <v>0</v>
      </c>
      <c r="P1764">
        <v>1</v>
      </c>
      <c r="Q1764">
        <v>0</v>
      </c>
      <c r="R1764">
        <v>0</v>
      </c>
      <c r="S1764" t="str">
        <f t="shared" si="135"/>
        <v>PY: Media Crit.</v>
      </c>
      <c r="T1764">
        <f t="shared" si="136"/>
        <v>1</v>
      </c>
      <c r="U1764">
        <f t="shared" si="137"/>
        <v>0</v>
      </c>
      <c r="V1764">
        <f t="shared" si="138"/>
        <v>0</v>
      </c>
      <c r="W1764">
        <f t="shared" si="139"/>
        <v>0</v>
      </c>
      <c r="X1764">
        <v>1</v>
      </c>
      <c r="Y1764" s="2">
        <v>45768</v>
      </c>
      <c r="Z1764" s="3" t="s">
        <v>70</v>
      </c>
      <c r="AA1764" t="s">
        <v>39</v>
      </c>
      <c r="AB1764" t="s">
        <v>76</v>
      </c>
      <c r="AC1764" s="5" t="s">
        <v>77</v>
      </c>
      <c r="AD1764" t="s">
        <v>391</v>
      </c>
    </row>
    <row r="1765" spans="2:30">
      <c r="B1765">
        <v>1</v>
      </c>
      <c r="C1765">
        <v>1020</v>
      </c>
      <c r="D1765" t="s">
        <v>181</v>
      </c>
      <c r="E1765">
        <v>14112774</v>
      </c>
      <c r="F1765" t="s">
        <v>1860</v>
      </c>
      <c r="G1765" t="s">
        <v>43</v>
      </c>
      <c r="H1765" t="s">
        <v>60</v>
      </c>
      <c r="I1765" t="s">
        <v>183</v>
      </c>
      <c r="J1765" t="s">
        <v>45</v>
      </c>
      <c r="K1765" t="s">
        <v>35</v>
      </c>
      <c r="L1765" t="s">
        <v>36</v>
      </c>
      <c r="M1765" t="s">
        <v>46</v>
      </c>
      <c r="N1765">
        <v>1</v>
      </c>
      <c r="O1765">
        <v>1</v>
      </c>
      <c r="P1765">
        <v>1</v>
      </c>
      <c r="Q1765">
        <v>0</v>
      </c>
      <c r="R1765">
        <v>0</v>
      </c>
      <c r="S1765" t="str">
        <f t="shared" si="135"/>
        <v>PY: Media Crit.</v>
      </c>
      <c r="T1765">
        <f t="shared" si="136"/>
        <v>1</v>
      </c>
      <c r="U1765">
        <f t="shared" si="137"/>
        <v>0</v>
      </c>
      <c r="V1765">
        <f t="shared" si="138"/>
        <v>0</v>
      </c>
      <c r="W1765">
        <f t="shared" si="139"/>
        <v>0</v>
      </c>
      <c r="X1765">
        <v>1</v>
      </c>
      <c r="Y1765" s="2">
        <v>45768</v>
      </c>
      <c r="Z1765" s="3" t="s">
        <v>47</v>
      </c>
      <c r="AA1765" t="s">
        <v>39</v>
      </c>
      <c r="AB1765" t="s">
        <v>76</v>
      </c>
      <c r="AC1765" s="5" t="s">
        <v>77</v>
      </c>
      <c r="AD1765" t="s">
        <v>184</v>
      </c>
    </row>
    <row r="1766" spans="2:30">
      <c r="B1766">
        <v>1</v>
      </c>
      <c r="C1766">
        <v>1020</v>
      </c>
      <c r="D1766" t="s">
        <v>181</v>
      </c>
      <c r="E1766">
        <v>14112981</v>
      </c>
      <c r="F1766" t="s">
        <v>1861</v>
      </c>
      <c r="G1766" t="s">
        <v>43</v>
      </c>
      <c r="H1766" t="s">
        <v>32</v>
      </c>
      <c r="I1766" t="s">
        <v>183</v>
      </c>
      <c r="J1766" t="s">
        <v>45</v>
      </c>
      <c r="K1766" t="s">
        <v>35</v>
      </c>
      <c r="L1766" t="s">
        <v>36</v>
      </c>
      <c r="M1766" t="s">
        <v>69</v>
      </c>
      <c r="N1766">
        <v>12</v>
      </c>
      <c r="O1766">
        <v>10</v>
      </c>
      <c r="P1766">
        <v>1</v>
      </c>
      <c r="Q1766">
        <v>12</v>
      </c>
      <c r="R1766" s="4">
        <v>3624.96</v>
      </c>
      <c r="S1766" t="str">
        <f t="shared" si="135"/>
        <v>PY: Media Crit.</v>
      </c>
      <c r="T1766">
        <f t="shared" si="136"/>
        <v>0</v>
      </c>
      <c r="U1766">
        <f t="shared" si="137"/>
        <v>0</v>
      </c>
      <c r="V1766">
        <f t="shared" si="138"/>
        <v>1</v>
      </c>
      <c r="W1766">
        <f t="shared" si="139"/>
        <v>0</v>
      </c>
      <c r="X1766">
        <v>1</v>
      </c>
      <c r="Y1766" s="2">
        <v>45768</v>
      </c>
      <c r="Z1766" s="3" t="s">
        <v>70</v>
      </c>
      <c r="AA1766" t="s">
        <v>39</v>
      </c>
      <c r="AB1766" t="s">
        <v>40</v>
      </c>
      <c r="AC1766" t="s">
        <v>40</v>
      </c>
      <c r="AD1766" t="s">
        <v>184</v>
      </c>
    </row>
    <row r="1767" spans="2:30">
      <c r="B1767">
        <v>1</v>
      </c>
      <c r="C1767">
        <v>1020</v>
      </c>
      <c r="D1767" t="s">
        <v>181</v>
      </c>
      <c r="E1767">
        <v>14113145</v>
      </c>
      <c r="F1767" t="s">
        <v>1862</v>
      </c>
      <c r="G1767" t="s">
        <v>43</v>
      </c>
      <c r="H1767" t="s">
        <v>60</v>
      </c>
      <c r="I1767" t="s">
        <v>183</v>
      </c>
      <c r="J1767" t="s">
        <v>45</v>
      </c>
      <c r="K1767" t="s">
        <v>35</v>
      </c>
      <c r="L1767" t="s">
        <v>36</v>
      </c>
      <c r="M1767" t="s">
        <v>117</v>
      </c>
      <c r="N1767">
        <v>8</v>
      </c>
      <c r="O1767">
        <v>5</v>
      </c>
      <c r="P1767">
        <v>0</v>
      </c>
      <c r="Q1767">
        <v>4</v>
      </c>
      <c r="R1767" s="4">
        <v>7853.7</v>
      </c>
      <c r="S1767" t="str">
        <f t="shared" si="135"/>
        <v>PY: Media Crit.</v>
      </c>
      <c r="T1767">
        <f t="shared" si="136"/>
        <v>0</v>
      </c>
      <c r="U1767">
        <f t="shared" si="137"/>
        <v>0</v>
      </c>
      <c r="V1767">
        <f t="shared" si="138"/>
        <v>1</v>
      </c>
      <c r="W1767">
        <f t="shared" si="139"/>
        <v>0</v>
      </c>
      <c r="X1767">
        <v>1</v>
      </c>
      <c r="Y1767" s="2">
        <v>45768</v>
      </c>
      <c r="Z1767" s="3" t="s">
        <v>118</v>
      </c>
      <c r="AA1767" t="s">
        <v>39</v>
      </c>
      <c r="AB1767" t="s">
        <v>49</v>
      </c>
      <c r="AC1767" s="5" t="s">
        <v>50</v>
      </c>
      <c r="AD1767" t="s">
        <v>184</v>
      </c>
    </row>
    <row r="1768" spans="2:30">
      <c r="B1768">
        <v>1</v>
      </c>
      <c r="C1768">
        <v>1020</v>
      </c>
      <c r="D1768" t="s">
        <v>181</v>
      </c>
      <c r="E1768">
        <v>14114188</v>
      </c>
      <c r="F1768" t="s">
        <v>1863</v>
      </c>
      <c r="G1768" t="s">
        <v>43</v>
      </c>
      <c r="H1768" t="s">
        <v>32</v>
      </c>
      <c r="I1768" t="s">
        <v>183</v>
      </c>
      <c r="J1768" t="s">
        <v>45</v>
      </c>
      <c r="K1768" t="s">
        <v>35</v>
      </c>
      <c r="L1768" t="s">
        <v>36</v>
      </c>
      <c r="M1768" t="s">
        <v>55</v>
      </c>
      <c r="N1768">
        <v>24</v>
      </c>
      <c r="O1768">
        <v>9</v>
      </c>
      <c r="P1768">
        <v>8</v>
      </c>
      <c r="Q1768">
        <v>14</v>
      </c>
      <c r="R1768">
        <v>0</v>
      </c>
      <c r="S1768" t="str">
        <f t="shared" si="135"/>
        <v>PY: Media Crit.</v>
      </c>
      <c r="T1768">
        <f t="shared" si="136"/>
        <v>0</v>
      </c>
      <c r="U1768">
        <f t="shared" si="137"/>
        <v>0</v>
      </c>
      <c r="V1768">
        <f t="shared" si="138"/>
        <v>1</v>
      </c>
      <c r="W1768">
        <f t="shared" si="139"/>
        <v>0</v>
      </c>
      <c r="X1768">
        <v>1</v>
      </c>
      <c r="Y1768" s="2">
        <v>45768</v>
      </c>
      <c r="Z1768" s="3" t="s">
        <v>56</v>
      </c>
      <c r="AA1768" t="s">
        <v>39</v>
      </c>
      <c r="AB1768" t="s">
        <v>40</v>
      </c>
      <c r="AC1768" t="s">
        <v>40</v>
      </c>
      <c r="AD1768" t="s">
        <v>184</v>
      </c>
    </row>
    <row r="1769" spans="2:30">
      <c r="B1769">
        <v>1</v>
      </c>
      <c r="C1769">
        <v>1020</v>
      </c>
      <c r="D1769" t="s">
        <v>388</v>
      </c>
      <c r="E1769">
        <v>14114217</v>
      </c>
      <c r="F1769" t="s">
        <v>1864</v>
      </c>
      <c r="G1769" t="s">
        <v>43</v>
      </c>
      <c r="H1769" t="s">
        <v>44</v>
      </c>
      <c r="I1769" t="s">
        <v>390</v>
      </c>
      <c r="J1769" t="s">
        <v>45</v>
      </c>
      <c r="K1769" t="s">
        <v>35</v>
      </c>
      <c r="L1769" t="s">
        <v>175</v>
      </c>
      <c r="M1769" t="s">
        <v>37</v>
      </c>
      <c r="N1769">
        <v>0</v>
      </c>
      <c r="O1769">
        <v>0</v>
      </c>
      <c r="P1769">
        <v>1</v>
      </c>
      <c r="Q1769">
        <v>0</v>
      </c>
      <c r="R1769">
        <v>0</v>
      </c>
      <c r="S1769" t="str">
        <f t="shared" si="135"/>
        <v>PY: Media Crit.</v>
      </c>
      <c r="T1769">
        <f t="shared" si="136"/>
        <v>1</v>
      </c>
      <c r="U1769">
        <f t="shared" si="137"/>
        <v>0</v>
      </c>
      <c r="V1769">
        <f t="shared" si="138"/>
        <v>0</v>
      </c>
      <c r="W1769">
        <f t="shared" si="139"/>
        <v>0</v>
      </c>
      <c r="X1769">
        <v>1</v>
      </c>
      <c r="Y1769" s="2">
        <v>45768</v>
      </c>
      <c r="Z1769" s="3" t="s">
        <v>38</v>
      </c>
      <c r="AA1769" t="s">
        <v>39</v>
      </c>
      <c r="AB1769" t="s">
        <v>49</v>
      </c>
      <c r="AC1769" s="5" t="s">
        <v>50</v>
      </c>
      <c r="AD1769" t="s">
        <v>391</v>
      </c>
    </row>
    <row r="1770" spans="2:30">
      <c r="B1770">
        <v>1</v>
      </c>
      <c r="C1770">
        <v>1020</v>
      </c>
      <c r="D1770" t="s">
        <v>181</v>
      </c>
      <c r="E1770">
        <v>14115243</v>
      </c>
      <c r="F1770" t="s">
        <v>1865</v>
      </c>
      <c r="G1770" t="s">
        <v>43</v>
      </c>
      <c r="H1770" t="s">
        <v>60</v>
      </c>
      <c r="I1770" t="s">
        <v>183</v>
      </c>
      <c r="J1770" t="s">
        <v>45</v>
      </c>
      <c r="K1770" t="s">
        <v>35</v>
      </c>
      <c r="L1770" t="s">
        <v>36</v>
      </c>
      <c r="M1770" t="s">
        <v>117</v>
      </c>
      <c r="N1770">
        <v>2</v>
      </c>
      <c r="O1770">
        <v>2</v>
      </c>
      <c r="P1770">
        <v>0</v>
      </c>
      <c r="Q1770">
        <v>2</v>
      </c>
      <c r="R1770">
        <v>114</v>
      </c>
      <c r="S1770" t="str">
        <f t="shared" si="135"/>
        <v>PY: Media Crit.</v>
      </c>
      <c r="T1770">
        <f t="shared" si="136"/>
        <v>0</v>
      </c>
      <c r="U1770">
        <f t="shared" si="137"/>
        <v>0</v>
      </c>
      <c r="V1770">
        <f t="shared" si="138"/>
        <v>1</v>
      </c>
      <c r="W1770">
        <f t="shared" si="139"/>
        <v>0</v>
      </c>
      <c r="X1770">
        <v>1</v>
      </c>
      <c r="Y1770" s="2">
        <v>45768</v>
      </c>
      <c r="Z1770" s="3" t="s">
        <v>118</v>
      </c>
      <c r="AA1770" t="s">
        <v>39</v>
      </c>
      <c r="AB1770" t="s">
        <v>40</v>
      </c>
      <c r="AC1770" t="s">
        <v>40</v>
      </c>
      <c r="AD1770" t="s">
        <v>184</v>
      </c>
    </row>
    <row r="1771" spans="2:30">
      <c r="B1771">
        <v>1</v>
      </c>
      <c r="C1771">
        <v>1020</v>
      </c>
      <c r="D1771" t="s">
        <v>181</v>
      </c>
      <c r="E1771">
        <v>14115317</v>
      </c>
      <c r="F1771" t="s">
        <v>1866</v>
      </c>
      <c r="G1771" t="s">
        <v>52</v>
      </c>
      <c r="H1771" t="s">
        <v>32</v>
      </c>
      <c r="I1771" t="s">
        <v>183</v>
      </c>
      <c r="J1771" t="s">
        <v>45</v>
      </c>
      <c r="K1771" t="s">
        <v>80</v>
      </c>
      <c r="L1771" t="s">
        <v>36</v>
      </c>
      <c r="M1771" t="s">
        <v>46</v>
      </c>
      <c r="N1771">
        <v>55</v>
      </c>
      <c r="O1771">
        <v>55</v>
      </c>
      <c r="P1771">
        <v>55</v>
      </c>
      <c r="Q1771">
        <v>55</v>
      </c>
      <c r="R1771" s="4">
        <v>12482.26</v>
      </c>
      <c r="S1771" t="str">
        <f t="shared" si="135"/>
        <v>PZ: Alta Crit.</v>
      </c>
      <c r="T1771">
        <f t="shared" si="136"/>
        <v>0</v>
      </c>
      <c r="U1771">
        <f t="shared" si="137"/>
        <v>1</v>
      </c>
      <c r="V1771">
        <f t="shared" si="138"/>
        <v>0</v>
      </c>
      <c r="W1771">
        <f t="shared" si="139"/>
        <v>0</v>
      </c>
      <c r="X1771">
        <v>1</v>
      </c>
      <c r="Y1771" s="2">
        <v>45768</v>
      </c>
      <c r="Z1771" s="3" t="s">
        <v>47</v>
      </c>
      <c r="AA1771" t="s">
        <v>39</v>
      </c>
      <c r="AB1771" t="s">
        <v>40</v>
      </c>
      <c r="AC1771" t="s">
        <v>40</v>
      </c>
      <c r="AD1771" t="s">
        <v>184</v>
      </c>
    </row>
    <row r="1772" spans="2:30">
      <c r="B1772">
        <v>1</v>
      </c>
      <c r="C1772">
        <v>1020</v>
      </c>
      <c r="D1772" t="s">
        <v>384</v>
      </c>
      <c r="E1772">
        <v>14117276</v>
      </c>
      <c r="F1772" t="s">
        <v>1867</v>
      </c>
      <c r="G1772" t="s">
        <v>43</v>
      </c>
      <c r="H1772" t="s">
        <v>32</v>
      </c>
      <c r="I1772" t="s">
        <v>386</v>
      </c>
      <c r="J1772" t="s">
        <v>45</v>
      </c>
      <c r="K1772" t="s">
        <v>35</v>
      </c>
      <c r="L1772" t="s">
        <v>175</v>
      </c>
      <c r="M1772" t="s">
        <v>69</v>
      </c>
      <c r="N1772">
        <v>0</v>
      </c>
      <c r="O1772">
        <v>0</v>
      </c>
      <c r="P1772">
        <v>0</v>
      </c>
      <c r="Q1772">
        <v>0</v>
      </c>
      <c r="R1772">
        <v>0</v>
      </c>
      <c r="S1772" t="str">
        <f t="shared" si="135"/>
        <v>PY: Media Crit.</v>
      </c>
      <c r="T1772">
        <f t="shared" si="136"/>
        <v>1</v>
      </c>
      <c r="U1772">
        <f t="shared" si="137"/>
        <v>0</v>
      </c>
      <c r="V1772">
        <f t="shared" si="138"/>
        <v>0</v>
      </c>
      <c r="W1772">
        <f t="shared" si="139"/>
        <v>0</v>
      </c>
      <c r="X1772">
        <v>1</v>
      </c>
      <c r="Y1772" s="2">
        <v>45768</v>
      </c>
      <c r="Z1772" s="3" t="s">
        <v>70</v>
      </c>
      <c r="AA1772" t="s">
        <v>39</v>
      </c>
      <c r="AB1772" t="s">
        <v>40</v>
      </c>
      <c r="AC1772" t="s">
        <v>40</v>
      </c>
      <c r="AD1772" t="s">
        <v>387</v>
      </c>
    </row>
    <row r="1773" spans="2:30">
      <c r="B1773">
        <v>1</v>
      </c>
      <c r="C1773">
        <v>1020</v>
      </c>
      <c r="D1773" t="s">
        <v>388</v>
      </c>
      <c r="E1773">
        <v>14121274</v>
      </c>
      <c r="F1773" t="s">
        <v>1868</v>
      </c>
      <c r="G1773" t="s">
        <v>31</v>
      </c>
      <c r="H1773" t="s">
        <v>44</v>
      </c>
      <c r="I1773" t="s">
        <v>390</v>
      </c>
      <c r="J1773" t="s">
        <v>45</v>
      </c>
      <c r="K1773" t="s">
        <v>35</v>
      </c>
      <c r="L1773" t="s">
        <v>175</v>
      </c>
      <c r="M1773" t="s">
        <v>37</v>
      </c>
      <c r="N1773">
        <v>0</v>
      </c>
      <c r="O1773">
        <v>0</v>
      </c>
      <c r="P1773">
        <v>1</v>
      </c>
      <c r="Q1773">
        <v>1</v>
      </c>
      <c r="R1773" s="4">
        <v>2578.6</v>
      </c>
      <c r="S1773" t="str">
        <f t="shared" si="135"/>
        <v>PX: Baja Crit.</v>
      </c>
      <c r="T1773">
        <f t="shared" si="136"/>
        <v>0</v>
      </c>
      <c r="U1773">
        <f t="shared" si="137"/>
        <v>1</v>
      </c>
      <c r="V1773">
        <f t="shared" si="138"/>
        <v>0</v>
      </c>
      <c r="W1773">
        <f t="shared" si="139"/>
        <v>1</v>
      </c>
      <c r="X1773">
        <v>1</v>
      </c>
      <c r="Y1773" s="2">
        <v>45768</v>
      </c>
      <c r="Z1773" s="3" t="s">
        <v>38</v>
      </c>
      <c r="AA1773" t="s">
        <v>39</v>
      </c>
      <c r="AB1773" t="s">
        <v>40</v>
      </c>
      <c r="AC1773" t="s">
        <v>40</v>
      </c>
      <c r="AD1773" t="s">
        <v>391</v>
      </c>
    </row>
    <row r="1774" spans="2:30">
      <c r="B1774">
        <v>1</v>
      </c>
      <c r="C1774">
        <v>1020</v>
      </c>
      <c r="D1774" t="s">
        <v>181</v>
      </c>
      <c r="E1774">
        <v>14126571</v>
      </c>
      <c r="F1774" t="s">
        <v>1869</v>
      </c>
      <c r="G1774" t="s">
        <v>43</v>
      </c>
      <c r="H1774" t="s">
        <v>32</v>
      </c>
      <c r="I1774" t="s">
        <v>183</v>
      </c>
      <c r="J1774" t="s">
        <v>45</v>
      </c>
      <c r="K1774" t="s">
        <v>35</v>
      </c>
      <c r="L1774" t="s">
        <v>36</v>
      </c>
      <c r="M1774" t="s">
        <v>55</v>
      </c>
      <c r="N1774">
        <v>8</v>
      </c>
      <c r="O1774">
        <v>7</v>
      </c>
      <c r="P1774">
        <v>3</v>
      </c>
      <c r="Q1774">
        <v>11</v>
      </c>
      <c r="R1774">
        <v>108.51</v>
      </c>
      <c r="S1774" t="str">
        <f t="shared" si="135"/>
        <v>PY: Media Crit.</v>
      </c>
      <c r="T1774">
        <f t="shared" si="136"/>
        <v>0</v>
      </c>
      <c r="U1774">
        <f t="shared" si="137"/>
        <v>0</v>
      </c>
      <c r="V1774">
        <f t="shared" si="138"/>
        <v>0</v>
      </c>
      <c r="W1774">
        <f t="shared" si="139"/>
        <v>1</v>
      </c>
      <c r="X1774">
        <v>1</v>
      </c>
      <c r="Y1774" s="2">
        <v>45768</v>
      </c>
      <c r="Z1774" s="3" t="s">
        <v>56</v>
      </c>
      <c r="AA1774" t="s">
        <v>39</v>
      </c>
      <c r="AB1774" t="s">
        <v>40</v>
      </c>
      <c r="AC1774" t="s">
        <v>40</v>
      </c>
      <c r="AD1774" t="s">
        <v>184</v>
      </c>
    </row>
    <row r="1775" spans="2:30">
      <c r="B1775">
        <v>1</v>
      </c>
      <c r="C1775">
        <v>1020</v>
      </c>
      <c r="D1775" t="s">
        <v>181</v>
      </c>
      <c r="E1775">
        <v>14128775</v>
      </c>
      <c r="F1775" t="s">
        <v>1870</v>
      </c>
      <c r="G1775" t="s">
        <v>43</v>
      </c>
      <c r="H1775" t="s">
        <v>60</v>
      </c>
      <c r="I1775" t="s">
        <v>183</v>
      </c>
      <c r="J1775" t="s">
        <v>45</v>
      </c>
      <c r="K1775" t="s">
        <v>35</v>
      </c>
      <c r="L1775" t="s">
        <v>36</v>
      </c>
      <c r="M1775" t="s">
        <v>46</v>
      </c>
      <c r="N1775">
        <v>10</v>
      </c>
      <c r="O1775">
        <v>8</v>
      </c>
      <c r="P1775">
        <v>0</v>
      </c>
      <c r="Q1775">
        <v>10</v>
      </c>
      <c r="R1775">
        <v>231.41</v>
      </c>
      <c r="S1775" t="str">
        <f t="shared" si="135"/>
        <v>PY: Media Crit.</v>
      </c>
      <c r="T1775">
        <f t="shared" si="136"/>
        <v>0</v>
      </c>
      <c r="U1775">
        <f t="shared" si="137"/>
        <v>0</v>
      </c>
      <c r="V1775">
        <f t="shared" si="138"/>
        <v>1</v>
      </c>
      <c r="W1775">
        <f t="shared" si="139"/>
        <v>0</v>
      </c>
      <c r="X1775">
        <v>1</v>
      </c>
      <c r="Y1775" s="2">
        <v>45768</v>
      </c>
      <c r="Z1775" s="3" t="s">
        <v>47</v>
      </c>
      <c r="AA1775" t="s">
        <v>39</v>
      </c>
      <c r="AB1775" t="s">
        <v>40</v>
      </c>
      <c r="AC1775" t="s">
        <v>40</v>
      </c>
      <c r="AD1775" t="s">
        <v>184</v>
      </c>
    </row>
    <row r="1776" spans="2:30">
      <c r="B1776">
        <v>1</v>
      </c>
      <c r="C1776">
        <v>1020</v>
      </c>
      <c r="D1776" t="s">
        <v>384</v>
      </c>
      <c r="E1776">
        <v>14128782</v>
      </c>
      <c r="F1776" t="s">
        <v>1871</v>
      </c>
      <c r="G1776" t="s">
        <v>43</v>
      </c>
      <c r="H1776" t="s">
        <v>60</v>
      </c>
      <c r="I1776" t="s">
        <v>386</v>
      </c>
      <c r="J1776" t="s">
        <v>45</v>
      </c>
      <c r="K1776" t="s">
        <v>35</v>
      </c>
      <c r="L1776" t="s">
        <v>175</v>
      </c>
      <c r="M1776" t="s">
        <v>46</v>
      </c>
      <c r="N1776">
        <v>0</v>
      </c>
      <c r="O1776">
        <v>0</v>
      </c>
      <c r="P1776">
        <v>0</v>
      </c>
      <c r="Q1776">
        <v>4</v>
      </c>
      <c r="R1776">
        <v>0</v>
      </c>
      <c r="S1776" t="str">
        <f t="shared" si="135"/>
        <v>PY: Media Crit.</v>
      </c>
      <c r="T1776">
        <f t="shared" si="136"/>
        <v>0</v>
      </c>
      <c r="U1776">
        <f t="shared" si="137"/>
        <v>0</v>
      </c>
      <c r="V1776">
        <f t="shared" si="138"/>
        <v>0</v>
      </c>
      <c r="W1776">
        <f t="shared" si="139"/>
        <v>1</v>
      </c>
      <c r="X1776">
        <v>1</v>
      </c>
      <c r="Y1776" s="2">
        <v>45768</v>
      </c>
      <c r="Z1776" s="3" t="s">
        <v>47</v>
      </c>
      <c r="AA1776" t="s">
        <v>39</v>
      </c>
      <c r="AB1776" t="s">
        <v>40</v>
      </c>
      <c r="AC1776" t="s">
        <v>40</v>
      </c>
      <c r="AD1776" t="s">
        <v>387</v>
      </c>
    </row>
    <row r="1777" spans="2:30">
      <c r="B1777">
        <v>1</v>
      </c>
      <c r="C1777">
        <v>1020</v>
      </c>
      <c r="D1777" t="s">
        <v>388</v>
      </c>
      <c r="E1777">
        <v>14132078</v>
      </c>
      <c r="F1777" t="s">
        <v>1872</v>
      </c>
      <c r="G1777" t="s">
        <v>52</v>
      </c>
      <c r="H1777" t="s">
        <v>44</v>
      </c>
      <c r="I1777" t="s">
        <v>390</v>
      </c>
      <c r="J1777" t="s">
        <v>45</v>
      </c>
      <c r="K1777" t="s">
        <v>35</v>
      </c>
      <c r="L1777" t="s">
        <v>175</v>
      </c>
      <c r="M1777" t="s">
        <v>37</v>
      </c>
      <c r="N1777">
        <v>0</v>
      </c>
      <c r="O1777">
        <v>0</v>
      </c>
      <c r="P1777">
        <v>3</v>
      </c>
      <c r="Q1777">
        <v>3</v>
      </c>
      <c r="R1777" s="4">
        <v>13906.06</v>
      </c>
      <c r="S1777" t="str">
        <f t="shared" si="135"/>
        <v>PZ: Alta Crit.</v>
      </c>
      <c r="T1777">
        <f t="shared" si="136"/>
        <v>0</v>
      </c>
      <c r="U1777">
        <f t="shared" si="137"/>
        <v>1</v>
      </c>
      <c r="V1777">
        <f t="shared" si="138"/>
        <v>0</v>
      </c>
      <c r="W1777">
        <f t="shared" si="139"/>
        <v>1</v>
      </c>
      <c r="X1777">
        <v>1</v>
      </c>
      <c r="Y1777" s="2">
        <v>45768</v>
      </c>
      <c r="Z1777" s="3" t="s">
        <v>38</v>
      </c>
      <c r="AA1777" t="s">
        <v>39</v>
      </c>
      <c r="AB1777" t="s">
        <v>40</v>
      </c>
      <c r="AC1777" t="s">
        <v>40</v>
      </c>
      <c r="AD1777" t="s">
        <v>391</v>
      </c>
    </row>
    <row r="1778" spans="2:30">
      <c r="B1778">
        <v>1</v>
      </c>
      <c r="C1778">
        <v>1020</v>
      </c>
      <c r="D1778" t="s">
        <v>181</v>
      </c>
      <c r="E1778">
        <v>14132558</v>
      </c>
      <c r="F1778" t="s">
        <v>1873</v>
      </c>
      <c r="G1778" t="s">
        <v>43</v>
      </c>
      <c r="H1778" t="s">
        <v>32</v>
      </c>
      <c r="I1778" t="s">
        <v>183</v>
      </c>
      <c r="J1778" t="s">
        <v>45</v>
      </c>
      <c r="K1778" t="s">
        <v>35</v>
      </c>
      <c r="L1778" t="s">
        <v>36</v>
      </c>
      <c r="M1778" t="s">
        <v>88</v>
      </c>
      <c r="N1778">
        <v>50</v>
      </c>
      <c r="O1778">
        <v>26</v>
      </c>
      <c r="P1778">
        <v>10</v>
      </c>
      <c r="Q1778">
        <v>45</v>
      </c>
      <c r="R1778">
        <v>300</v>
      </c>
      <c r="S1778" t="str">
        <f t="shared" si="135"/>
        <v>PY: Media Crit.</v>
      </c>
      <c r="T1778">
        <f t="shared" si="136"/>
        <v>0</v>
      </c>
      <c r="U1778">
        <f t="shared" si="137"/>
        <v>0</v>
      </c>
      <c r="V1778">
        <f t="shared" si="138"/>
        <v>1</v>
      </c>
      <c r="W1778">
        <f t="shared" si="139"/>
        <v>0</v>
      </c>
      <c r="X1778">
        <v>1</v>
      </c>
      <c r="Y1778" s="2">
        <v>45768</v>
      </c>
      <c r="Z1778" s="3" t="s">
        <v>89</v>
      </c>
      <c r="AA1778" t="s">
        <v>39</v>
      </c>
      <c r="AB1778" t="s">
        <v>40</v>
      </c>
      <c r="AC1778" t="s">
        <v>40</v>
      </c>
      <c r="AD1778" t="s">
        <v>184</v>
      </c>
    </row>
    <row r="1779" spans="2:30">
      <c r="B1779">
        <v>1</v>
      </c>
      <c r="C1779">
        <v>1020</v>
      </c>
      <c r="D1779" t="s">
        <v>181</v>
      </c>
      <c r="E1779">
        <v>14133583</v>
      </c>
      <c r="F1779" t="s">
        <v>1874</v>
      </c>
      <c r="G1779" t="s">
        <v>43</v>
      </c>
      <c r="H1779" t="s">
        <v>60</v>
      </c>
      <c r="I1779" t="s">
        <v>183</v>
      </c>
      <c r="J1779" t="s">
        <v>45</v>
      </c>
      <c r="K1779" t="s">
        <v>62</v>
      </c>
      <c r="L1779" t="s">
        <v>36</v>
      </c>
      <c r="M1779" t="s">
        <v>117</v>
      </c>
      <c r="N1779">
        <v>8</v>
      </c>
      <c r="O1779">
        <v>5</v>
      </c>
      <c r="P1779">
        <v>2</v>
      </c>
      <c r="Q1779">
        <v>8</v>
      </c>
      <c r="R1779" s="4">
        <v>16810.25</v>
      </c>
      <c r="S1779" t="str">
        <f t="shared" si="135"/>
        <v>PY: Media Crit.</v>
      </c>
      <c r="T1779">
        <f t="shared" si="136"/>
        <v>0</v>
      </c>
      <c r="U1779">
        <f t="shared" si="137"/>
        <v>0</v>
      </c>
      <c r="V1779">
        <f t="shared" si="138"/>
        <v>1</v>
      </c>
      <c r="W1779">
        <f t="shared" si="139"/>
        <v>0</v>
      </c>
      <c r="X1779">
        <v>1</v>
      </c>
      <c r="Y1779" s="2">
        <v>45768</v>
      </c>
      <c r="Z1779" s="3" t="s">
        <v>118</v>
      </c>
      <c r="AA1779" t="s">
        <v>39</v>
      </c>
      <c r="AB1779" t="s">
        <v>40</v>
      </c>
      <c r="AC1779" t="s">
        <v>40</v>
      </c>
      <c r="AD1779" t="s">
        <v>184</v>
      </c>
    </row>
    <row r="1780" spans="2:30">
      <c r="B1780">
        <v>1</v>
      </c>
      <c r="C1780">
        <v>1020</v>
      </c>
      <c r="D1780" t="s">
        <v>181</v>
      </c>
      <c r="E1780">
        <v>14136288</v>
      </c>
      <c r="F1780" t="s">
        <v>1875</v>
      </c>
      <c r="G1780" t="s">
        <v>31</v>
      </c>
      <c r="H1780" t="s">
        <v>44</v>
      </c>
      <c r="I1780" t="s">
        <v>183</v>
      </c>
      <c r="J1780" t="s">
        <v>45</v>
      </c>
      <c r="K1780" t="s">
        <v>35</v>
      </c>
      <c r="L1780" t="s">
        <v>36</v>
      </c>
      <c r="M1780" t="s">
        <v>69</v>
      </c>
      <c r="N1780">
        <v>8</v>
      </c>
      <c r="O1780">
        <v>1</v>
      </c>
      <c r="P1780">
        <v>0</v>
      </c>
      <c r="Q1780">
        <v>8</v>
      </c>
      <c r="R1780" s="4">
        <v>4295.76</v>
      </c>
      <c r="S1780" t="str">
        <f t="shared" si="135"/>
        <v>PX: Baja Crit.</v>
      </c>
      <c r="T1780">
        <f t="shared" si="136"/>
        <v>0</v>
      </c>
      <c r="U1780">
        <f t="shared" si="137"/>
        <v>0</v>
      </c>
      <c r="V1780">
        <f t="shared" si="138"/>
        <v>1</v>
      </c>
      <c r="W1780">
        <f t="shared" si="139"/>
        <v>0</v>
      </c>
      <c r="X1780">
        <v>1</v>
      </c>
      <c r="Y1780" s="2">
        <v>45768</v>
      </c>
      <c r="Z1780" s="3" t="s">
        <v>70</v>
      </c>
      <c r="AA1780" t="s">
        <v>39</v>
      </c>
      <c r="AB1780" t="s">
        <v>40</v>
      </c>
      <c r="AC1780" t="s">
        <v>40</v>
      </c>
      <c r="AD1780" t="s">
        <v>184</v>
      </c>
    </row>
    <row r="1781" spans="2:30">
      <c r="B1781">
        <v>1</v>
      </c>
      <c r="C1781">
        <v>1020</v>
      </c>
      <c r="D1781" t="s">
        <v>181</v>
      </c>
      <c r="E1781">
        <v>14137326</v>
      </c>
      <c r="F1781" t="s">
        <v>1876</v>
      </c>
      <c r="G1781" t="s">
        <v>43</v>
      </c>
      <c r="H1781" t="s">
        <v>32</v>
      </c>
      <c r="I1781" t="s">
        <v>183</v>
      </c>
      <c r="J1781" t="s">
        <v>45</v>
      </c>
      <c r="K1781" t="s">
        <v>35</v>
      </c>
      <c r="L1781" t="s">
        <v>36</v>
      </c>
      <c r="M1781" t="s">
        <v>46</v>
      </c>
      <c r="N1781">
        <v>5</v>
      </c>
      <c r="O1781">
        <v>5</v>
      </c>
      <c r="P1781">
        <v>1</v>
      </c>
      <c r="Q1781">
        <v>5</v>
      </c>
      <c r="R1781">
        <v>538.77</v>
      </c>
      <c r="S1781" t="str">
        <f t="shared" si="135"/>
        <v>PY: Media Crit.</v>
      </c>
      <c r="T1781">
        <f t="shared" si="136"/>
        <v>0</v>
      </c>
      <c r="U1781">
        <f t="shared" si="137"/>
        <v>0</v>
      </c>
      <c r="V1781">
        <f t="shared" si="138"/>
        <v>1</v>
      </c>
      <c r="W1781">
        <f t="shared" si="139"/>
        <v>0</v>
      </c>
      <c r="X1781">
        <v>1</v>
      </c>
      <c r="Y1781" s="2">
        <v>45768</v>
      </c>
      <c r="Z1781" s="3" t="s">
        <v>47</v>
      </c>
      <c r="AA1781" t="s">
        <v>39</v>
      </c>
      <c r="AB1781" t="s">
        <v>40</v>
      </c>
      <c r="AC1781" t="s">
        <v>40</v>
      </c>
      <c r="AD1781" t="s">
        <v>184</v>
      </c>
    </row>
    <row r="1782" spans="2:30">
      <c r="B1782">
        <v>1</v>
      </c>
      <c r="C1782">
        <v>1020</v>
      </c>
      <c r="D1782" t="s">
        <v>181</v>
      </c>
      <c r="E1782">
        <v>14140124</v>
      </c>
      <c r="F1782" t="s">
        <v>1877</v>
      </c>
      <c r="G1782" t="s">
        <v>52</v>
      </c>
      <c r="H1782" t="s">
        <v>44</v>
      </c>
      <c r="I1782" t="s">
        <v>183</v>
      </c>
      <c r="J1782" t="s">
        <v>45</v>
      </c>
      <c r="K1782" t="s">
        <v>35</v>
      </c>
      <c r="L1782" t="s">
        <v>36</v>
      </c>
      <c r="M1782" t="s">
        <v>69</v>
      </c>
      <c r="N1782">
        <v>5</v>
      </c>
      <c r="O1782">
        <v>3</v>
      </c>
      <c r="P1782">
        <v>0</v>
      </c>
      <c r="Q1782">
        <v>5</v>
      </c>
      <c r="R1782" s="4">
        <v>1971.18</v>
      </c>
      <c r="S1782" t="str">
        <f t="shared" si="135"/>
        <v>PZ: Alta Crit.</v>
      </c>
      <c r="T1782">
        <f t="shared" si="136"/>
        <v>0</v>
      </c>
      <c r="U1782">
        <f t="shared" si="137"/>
        <v>0</v>
      </c>
      <c r="V1782">
        <f t="shared" si="138"/>
        <v>1</v>
      </c>
      <c r="W1782">
        <f t="shared" si="139"/>
        <v>0</v>
      </c>
      <c r="X1782">
        <v>1</v>
      </c>
      <c r="Y1782" s="2">
        <v>45768</v>
      </c>
      <c r="Z1782" s="3" t="s">
        <v>70</v>
      </c>
      <c r="AA1782" t="s">
        <v>39</v>
      </c>
      <c r="AB1782" t="s">
        <v>40</v>
      </c>
      <c r="AC1782" t="s">
        <v>40</v>
      </c>
      <c r="AD1782" t="s">
        <v>184</v>
      </c>
    </row>
    <row r="1783" spans="2:30">
      <c r="B1783">
        <v>1</v>
      </c>
      <c r="C1783">
        <v>1020</v>
      </c>
      <c r="D1783" t="s">
        <v>181</v>
      </c>
      <c r="E1783">
        <v>14143918</v>
      </c>
      <c r="F1783" t="s">
        <v>1878</v>
      </c>
      <c r="G1783" t="s">
        <v>52</v>
      </c>
      <c r="H1783" t="s">
        <v>44</v>
      </c>
      <c r="I1783" t="s">
        <v>183</v>
      </c>
      <c r="J1783" t="s">
        <v>45</v>
      </c>
      <c r="K1783" t="s">
        <v>35</v>
      </c>
      <c r="L1783" t="s">
        <v>36</v>
      </c>
      <c r="M1783" t="s">
        <v>69</v>
      </c>
      <c r="N1783">
        <v>5</v>
      </c>
      <c r="O1783">
        <v>3</v>
      </c>
      <c r="P1783">
        <v>0</v>
      </c>
      <c r="Q1783">
        <v>5</v>
      </c>
      <c r="R1783" s="4">
        <v>1422.1</v>
      </c>
      <c r="S1783" t="str">
        <f t="shared" si="135"/>
        <v>PZ: Alta Crit.</v>
      </c>
      <c r="T1783">
        <f t="shared" si="136"/>
        <v>0</v>
      </c>
      <c r="U1783">
        <f t="shared" si="137"/>
        <v>0</v>
      </c>
      <c r="V1783">
        <f t="shared" si="138"/>
        <v>1</v>
      </c>
      <c r="W1783">
        <f t="shared" si="139"/>
        <v>0</v>
      </c>
      <c r="X1783">
        <v>1</v>
      </c>
      <c r="Y1783" s="2">
        <v>45768</v>
      </c>
      <c r="Z1783" s="3" t="s">
        <v>70</v>
      </c>
      <c r="AA1783" t="s">
        <v>39</v>
      </c>
      <c r="AB1783" t="s">
        <v>40</v>
      </c>
      <c r="AC1783" t="s">
        <v>40</v>
      </c>
      <c r="AD1783" t="s">
        <v>184</v>
      </c>
    </row>
    <row r="1784" spans="2:30">
      <c r="B1784">
        <v>1</v>
      </c>
      <c r="C1784">
        <v>1020</v>
      </c>
      <c r="D1784" t="s">
        <v>181</v>
      </c>
      <c r="E1784">
        <v>14144001</v>
      </c>
      <c r="F1784" t="s">
        <v>1879</v>
      </c>
      <c r="G1784" t="s">
        <v>52</v>
      </c>
      <c r="H1784" t="s">
        <v>44</v>
      </c>
      <c r="I1784" t="s">
        <v>183</v>
      </c>
      <c r="J1784" t="s">
        <v>45</v>
      </c>
      <c r="K1784" t="s">
        <v>35</v>
      </c>
      <c r="L1784" t="s">
        <v>36</v>
      </c>
      <c r="M1784" t="s">
        <v>69</v>
      </c>
      <c r="N1784">
        <v>5</v>
      </c>
      <c r="O1784">
        <v>3</v>
      </c>
      <c r="P1784">
        <v>0</v>
      </c>
      <c r="Q1784">
        <v>7</v>
      </c>
      <c r="R1784" s="4">
        <v>3822.71</v>
      </c>
      <c r="S1784" t="str">
        <f t="shared" si="135"/>
        <v>PZ: Alta Crit.</v>
      </c>
      <c r="T1784">
        <f t="shared" si="136"/>
        <v>0</v>
      </c>
      <c r="U1784">
        <f t="shared" si="137"/>
        <v>0</v>
      </c>
      <c r="V1784">
        <f t="shared" si="138"/>
        <v>0</v>
      </c>
      <c r="W1784">
        <f t="shared" si="139"/>
        <v>1</v>
      </c>
      <c r="X1784">
        <v>1</v>
      </c>
      <c r="Y1784" s="2">
        <v>45768</v>
      </c>
      <c r="Z1784" s="3" t="s">
        <v>70</v>
      </c>
      <c r="AA1784" t="s">
        <v>39</v>
      </c>
      <c r="AB1784" t="s">
        <v>40</v>
      </c>
      <c r="AC1784" t="s">
        <v>40</v>
      </c>
      <c r="AD1784" t="s">
        <v>184</v>
      </c>
    </row>
    <row r="1785" spans="2:30">
      <c r="B1785">
        <v>1</v>
      </c>
      <c r="C1785">
        <v>1020</v>
      </c>
      <c r="D1785" t="s">
        <v>181</v>
      </c>
      <c r="E1785">
        <v>14145131</v>
      </c>
      <c r="F1785" t="s">
        <v>1880</v>
      </c>
      <c r="G1785" t="s">
        <v>43</v>
      </c>
      <c r="H1785" t="s">
        <v>32</v>
      </c>
      <c r="I1785" t="s">
        <v>183</v>
      </c>
      <c r="J1785" t="s">
        <v>45</v>
      </c>
      <c r="K1785" t="s">
        <v>35</v>
      </c>
      <c r="L1785" t="s">
        <v>36</v>
      </c>
      <c r="M1785" t="s">
        <v>55</v>
      </c>
      <c r="N1785">
        <v>8</v>
      </c>
      <c r="O1785">
        <v>6</v>
      </c>
      <c r="P1785">
        <v>2</v>
      </c>
      <c r="Q1785">
        <v>8</v>
      </c>
      <c r="R1785">
        <v>949.93</v>
      </c>
      <c r="S1785" t="str">
        <f t="shared" si="135"/>
        <v>PY: Media Crit.</v>
      </c>
      <c r="T1785">
        <f t="shared" si="136"/>
        <v>0</v>
      </c>
      <c r="U1785">
        <f t="shared" si="137"/>
        <v>0</v>
      </c>
      <c r="V1785">
        <f t="shared" si="138"/>
        <v>1</v>
      </c>
      <c r="W1785">
        <f t="shared" si="139"/>
        <v>0</v>
      </c>
      <c r="X1785">
        <v>1</v>
      </c>
      <c r="Y1785" s="2">
        <v>45768</v>
      </c>
      <c r="Z1785" s="3" t="s">
        <v>56</v>
      </c>
      <c r="AA1785" t="s">
        <v>39</v>
      </c>
      <c r="AB1785" t="s">
        <v>40</v>
      </c>
      <c r="AC1785" t="s">
        <v>40</v>
      </c>
      <c r="AD1785" t="s">
        <v>184</v>
      </c>
    </row>
    <row r="1786" spans="2:30">
      <c r="B1786">
        <v>1</v>
      </c>
      <c r="C1786">
        <v>1020</v>
      </c>
      <c r="D1786" t="s">
        <v>181</v>
      </c>
      <c r="E1786">
        <v>14145132</v>
      </c>
      <c r="F1786" t="s">
        <v>1881</v>
      </c>
      <c r="G1786" t="s">
        <v>43</v>
      </c>
      <c r="H1786" t="s">
        <v>32</v>
      </c>
      <c r="I1786" t="s">
        <v>183</v>
      </c>
      <c r="J1786" t="s">
        <v>45</v>
      </c>
      <c r="K1786" t="s">
        <v>35</v>
      </c>
      <c r="L1786" t="s">
        <v>36</v>
      </c>
      <c r="M1786" t="s">
        <v>55</v>
      </c>
      <c r="N1786">
        <v>8</v>
      </c>
      <c r="O1786">
        <v>6</v>
      </c>
      <c r="P1786">
        <v>4</v>
      </c>
      <c r="Q1786">
        <v>0</v>
      </c>
      <c r="R1786">
        <v>0</v>
      </c>
      <c r="S1786" t="str">
        <f t="shared" si="135"/>
        <v>PY: Media Crit.</v>
      </c>
      <c r="T1786">
        <f t="shared" si="136"/>
        <v>1</v>
      </c>
      <c r="U1786">
        <f t="shared" si="137"/>
        <v>0</v>
      </c>
      <c r="V1786">
        <f t="shared" si="138"/>
        <v>0</v>
      </c>
      <c r="W1786">
        <f t="shared" si="139"/>
        <v>0</v>
      </c>
      <c r="X1786">
        <v>1</v>
      </c>
      <c r="Y1786" s="2">
        <v>45768</v>
      </c>
      <c r="Z1786" s="3" t="s">
        <v>56</v>
      </c>
      <c r="AA1786" t="s">
        <v>39</v>
      </c>
      <c r="AB1786" t="s">
        <v>76</v>
      </c>
      <c r="AC1786" s="5" t="s">
        <v>77</v>
      </c>
      <c r="AD1786" t="s">
        <v>184</v>
      </c>
    </row>
    <row r="1787" spans="2:30">
      <c r="B1787">
        <v>1</v>
      </c>
      <c r="C1787">
        <v>1020</v>
      </c>
      <c r="D1787" t="s">
        <v>181</v>
      </c>
      <c r="E1787">
        <v>14145177</v>
      </c>
      <c r="F1787" t="s">
        <v>1882</v>
      </c>
      <c r="G1787" t="s">
        <v>43</v>
      </c>
      <c r="H1787" t="s">
        <v>44</v>
      </c>
      <c r="I1787" t="s">
        <v>183</v>
      </c>
      <c r="J1787" t="s">
        <v>45</v>
      </c>
      <c r="K1787" t="s">
        <v>35</v>
      </c>
      <c r="L1787" t="s">
        <v>36</v>
      </c>
      <c r="M1787" t="s">
        <v>46</v>
      </c>
      <c r="N1787">
        <v>3</v>
      </c>
      <c r="O1787">
        <v>2</v>
      </c>
      <c r="P1787">
        <v>0</v>
      </c>
      <c r="Q1787">
        <v>0</v>
      </c>
      <c r="R1787">
        <v>0</v>
      </c>
      <c r="S1787" t="str">
        <f t="shared" si="135"/>
        <v>PY: Media Crit.</v>
      </c>
      <c r="T1787">
        <f t="shared" si="136"/>
        <v>1</v>
      </c>
      <c r="U1787">
        <f t="shared" si="137"/>
        <v>0</v>
      </c>
      <c r="V1787">
        <f t="shared" si="138"/>
        <v>0</v>
      </c>
      <c r="W1787">
        <f t="shared" si="139"/>
        <v>0</v>
      </c>
      <c r="X1787">
        <v>1</v>
      </c>
      <c r="Y1787" s="2">
        <v>45768</v>
      </c>
      <c r="Z1787" s="3" t="s">
        <v>47</v>
      </c>
      <c r="AA1787" t="s">
        <v>39</v>
      </c>
      <c r="AB1787" t="s">
        <v>76</v>
      </c>
      <c r="AC1787" s="5" t="s">
        <v>77</v>
      </c>
      <c r="AD1787" t="s">
        <v>184</v>
      </c>
    </row>
    <row r="1788" spans="2:30">
      <c r="B1788">
        <v>1</v>
      </c>
      <c r="C1788">
        <v>1020</v>
      </c>
      <c r="D1788" t="s">
        <v>181</v>
      </c>
      <c r="E1788">
        <v>14148276</v>
      </c>
      <c r="F1788" t="s">
        <v>1883</v>
      </c>
      <c r="G1788" t="s">
        <v>31</v>
      </c>
      <c r="H1788" t="s">
        <v>32</v>
      </c>
      <c r="I1788" t="s">
        <v>183</v>
      </c>
      <c r="J1788" t="s">
        <v>45</v>
      </c>
      <c r="K1788" t="s">
        <v>35</v>
      </c>
      <c r="L1788" t="s">
        <v>36</v>
      </c>
      <c r="M1788" t="s">
        <v>37</v>
      </c>
      <c r="N1788">
        <v>10</v>
      </c>
      <c r="O1788">
        <v>4</v>
      </c>
      <c r="P1788">
        <v>0</v>
      </c>
      <c r="Q1788">
        <v>72</v>
      </c>
      <c r="R1788">
        <v>258.41000000000003</v>
      </c>
      <c r="S1788" t="str">
        <f t="shared" si="135"/>
        <v>PX: Baja Crit.</v>
      </c>
      <c r="T1788">
        <f t="shared" si="136"/>
        <v>0</v>
      </c>
      <c r="U1788">
        <f t="shared" si="137"/>
        <v>0</v>
      </c>
      <c r="V1788">
        <f t="shared" si="138"/>
        <v>0</v>
      </c>
      <c r="W1788">
        <f t="shared" si="139"/>
        <v>1</v>
      </c>
      <c r="X1788">
        <v>1</v>
      </c>
      <c r="Y1788" s="2">
        <v>45768</v>
      </c>
      <c r="Z1788" s="3" t="s">
        <v>38</v>
      </c>
      <c r="AA1788" t="s">
        <v>39</v>
      </c>
      <c r="AB1788" t="s">
        <v>40</v>
      </c>
      <c r="AC1788" t="s">
        <v>40</v>
      </c>
      <c r="AD1788" t="s">
        <v>184</v>
      </c>
    </row>
    <row r="1789" spans="2:30">
      <c r="B1789">
        <v>1</v>
      </c>
      <c r="C1789">
        <v>1020</v>
      </c>
      <c r="D1789" t="s">
        <v>181</v>
      </c>
      <c r="E1789">
        <v>14149405</v>
      </c>
      <c r="F1789" t="s">
        <v>1884</v>
      </c>
      <c r="G1789" t="s">
        <v>31</v>
      </c>
      <c r="H1789" t="s">
        <v>44</v>
      </c>
      <c r="I1789" t="s">
        <v>183</v>
      </c>
      <c r="J1789" t="s">
        <v>45</v>
      </c>
      <c r="K1789" t="s">
        <v>35</v>
      </c>
      <c r="L1789" t="s">
        <v>36</v>
      </c>
      <c r="M1789" t="s">
        <v>117</v>
      </c>
      <c r="N1789">
        <v>4</v>
      </c>
      <c r="O1789">
        <v>4</v>
      </c>
      <c r="P1789">
        <v>0</v>
      </c>
      <c r="Q1789">
        <v>3</v>
      </c>
      <c r="R1789">
        <v>179.32</v>
      </c>
      <c r="S1789" t="str">
        <f t="shared" si="135"/>
        <v>PX: Baja Crit.</v>
      </c>
      <c r="T1789">
        <f t="shared" si="136"/>
        <v>0</v>
      </c>
      <c r="U1789">
        <f t="shared" si="137"/>
        <v>0</v>
      </c>
      <c r="V1789">
        <f t="shared" si="138"/>
        <v>1</v>
      </c>
      <c r="W1789">
        <f t="shared" si="139"/>
        <v>0</v>
      </c>
      <c r="X1789">
        <v>1</v>
      </c>
      <c r="Y1789" s="2">
        <v>45768</v>
      </c>
      <c r="Z1789" s="3" t="s">
        <v>118</v>
      </c>
      <c r="AA1789" t="s">
        <v>39</v>
      </c>
      <c r="AB1789" t="s">
        <v>49</v>
      </c>
      <c r="AC1789" s="5" t="s">
        <v>50</v>
      </c>
      <c r="AD1789" t="s">
        <v>184</v>
      </c>
    </row>
    <row r="1790" spans="2:30">
      <c r="B1790">
        <v>1</v>
      </c>
      <c r="C1790">
        <v>1020</v>
      </c>
      <c r="D1790" t="s">
        <v>388</v>
      </c>
      <c r="E1790">
        <v>14150011</v>
      </c>
      <c r="F1790" t="s">
        <v>1885</v>
      </c>
      <c r="G1790" t="s">
        <v>52</v>
      </c>
      <c r="H1790" t="s">
        <v>32</v>
      </c>
      <c r="I1790" t="s">
        <v>390</v>
      </c>
      <c r="J1790" t="s">
        <v>45</v>
      </c>
      <c r="K1790" t="s">
        <v>35</v>
      </c>
      <c r="L1790" t="s">
        <v>175</v>
      </c>
      <c r="M1790" t="s">
        <v>46</v>
      </c>
      <c r="N1790">
        <v>0</v>
      </c>
      <c r="O1790">
        <v>0</v>
      </c>
      <c r="P1790">
        <v>1</v>
      </c>
      <c r="Q1790">
        <v>1</v>
      </c>
      <c r="R1790" s="4">
        <v>35262.44</v>
      </c>
      <c r="S1790" t="str">
        <f t="shared" si="135"/>
        <v>PZ: Alta Crit.</v>
      </c>
      <c r="T1790">
        <f t="shared" si="136"/>
        <v>0</v>
      </c>
      <c r="U1790">
        <f t="shared" si="137"/>
        <v>1</v>
      </c>
      <c r="V1790">
        <f t="shared" si="138"/>
        <v>0</v>
      </c>
      <c r="W1790">
        <f t="shared" si="139"/>
        <v>1</v>
      </c>
      <c r="X1790">
        <v>1</v>
      </c>
      <c r="Y1790" s="2">
        <v>45768</v>
      </c>
      <c r="Z1790" s="3" t="s">
        <v>47</v>
      </c>
      <c r="AA1790" t="s">
        <v>39</v>
      </c>
      <c r="AB1790" t="s">
        <v>40</v>
      </c>
      <c r="AC1790" t="s">
        <v>40</v>
      </c>
      <c r="AD1790" t="s">
        <v>391</v>
      </c>
    </row>
    <row r="1791" spans="2:30">
      <c r="B1791">
        <v>1</v>
      </c>
      <c r="C1791">
        <v>1020</v>
      </c>
      <c r="D1791" t="s">
        <v>384</v>
      </c>
      <c r="E1791">
        <v>14151718</v>
      </c>
      <c r="F1791" t="s">
        <v>1886</v>
      </c>
      <c r="G1791" t="s">
        <v>31</v>
      </c>
      <c r="H1791" t="s">
        <v>32</v>
      </c>
      <c r="I1791" t="s">
        <v>386</v>
      </c>
      <c r="J1791" t="s">
        <v>45</v>
      </c>
      <c r="K1791" t="s">
        <v>35</v>
      </c>
      <c r="L1791" t="s">
        <v>175</v>
      </c>
      <c r="M1791" t="s">
        <v>46</v>
      </c>
      <c r="N1791">
        <v>0</v>
      </c>
      <c r="O1791">
        <v>0</v>
      </c>
      <c r="P1791">
        <v>0</v>
      </c>
      <c r="Q1791">
        <v>0</v>
      </c>
      <c r="R1791">
        <v>0</v>
      </c>
      <c r="S1791" t="str">
        <f t="shared" si="135"/>
        <v>PX: Baja Crit.</v>
      </c>
      <c r="T1791">
        <f t="shared" si="136"/>
        <v>1</v>
      </c>
      <c r="U1791">
        <f t="shared" si="137"/>
        <v>0</v>
      </c>
      <c r="V1791">
        <f t="shared" si="138"/>
        <v>0</v>
      </c>
      <c r="W1791">
        <f t="shared" si="139"/>
        <v>0</v>
      </c>
      <c r="X1791">
        <v>1</v>
      </c>
      <c r="Y1791" s="2">
        <v>45768</v>
      </c>
      <c r="Z1791" s="3" t="s">
        <v>47</v>
      </c>
      <c r="AA1791" t="s">
        <v>39</v>
      </c>
      <c r="AB1791" t="s">
        <v>76</v>
      </c>
      <c r="AC1791" s="5" t="s">
        <v>77</v>
      </c>
      <c r="AD1791" t="s">
        <v>387</v>
      </c>
    </row>
    <row r="1792" spans="2:30">
      <c r="B1792">
        <v>1</v>
      </c>
      <c r="C1792">
        <v>1020</v>
      </c>
      <c r="D1792" t="s">
        <v>388</v>
      </c>
      <c r="E1792">
        <v>14155138</v>
      </c>
      <c r="F1792" t="s">
        <v>1887</v>
      </c>
      <c r="G1792" t="s">
        <v>52</v>
      </c>
      <c r="H1792" t="s">
        <v>44</v>
      </c>
      <c r="I1792" t="s">
        <v>390</v>
      </c>
      <c r="J1792" t="s">
        <v>45</v>
      </c>
      <c r="K1792" t="s">
        <v>35</v>
      </c>
      <c r="L1792" t="s">
        <v>175</v>
      </c>
      <c r="M1792" t="s">
        <v>46</v>
      </c>
      <c r="N1792">
        <v>0</v>
      </c>
      <c r="O1792">
        <v>0</v>
      </c>
      <c r="P1792">
        <v>1</v>
      </c>
      <c r="Q1792">
        <v>1</v>
      </c>
      <c r="R1792" s="4">
        <v>32384.02</v>
      </c>
      <c r="S1792" t="str">
        <f t="shared" si="135"/>
        <v>PZ: Alta Crit.</v>
      </c>
      <c r="T1792">
        <f t="shared" si="136"/>
        <v>0</v>
      </c>
      <c r="U1792">
        <f t="shared" si="137"/>
        <v>1</v>
      </c>
      <c r="V1792">
        <f t="shared" si="138"/>
        <v>0</v>
      </c>
      <c r="W1792">
        <f t="shared" si="139"/>
        <v>1</v>
      </c>
      <c r="X1792">
        <v>1</v>
      </c>
      <c r="Y1792" s="2">
        <v>45768</v>
      </c>
      <c r="Z1792" s="3" t="s">
        <v>47</v>
      </c>
      <c r="AA1792" t="s">
        <v>39</v>
      </c>
      <c r="AB1792" t="s">
        <v>40</v>
      </c>
      <c r="AC1792" t="s">
        <v>40</v>
      </c>
      <c r="AD1792" t="s">
        <v>391</v>
      </c>
    </row>
    <row r="1793" spans="2:30">
      <c r="B1793">
        <v>1</v>
      </c>
      <c r="C1793">
        <v>1020</v>
      </c>
      <c r="D1793" t="s">
        <v>181</v>
      </c>
      <c r="E1793">
        <v>14158906</v>
      </c>
      <c r="F1793" t="s">
        <v>1888</v>
      </c>
      <c r="G1793" t="s">
        <v>31</v>
      </c>
      <c r="H1793" t="s">
        <v>60</v>
      </c>
      <c r="I1793" t="s">
        <v>183</v>
      </c>
      <c r="J1793" t="s">
        <v>45</v>
      </c>
      <c r="K1793" t="s">
        <v>35</v>
      </c>
      <c r="L1793" t="s">
        <v>36</v>
      </c>
      <c r="M1793" t="s">
        <v>46</v>
      </c>
      <c r="N1793">
        <v>6</v>
      </c>
      <c r="O1793">
        <v>4</v>
      </c>
      <c r="P1793">
        <v>2</v>
      </c>
      <c r="Q1793">
        <v>6</v>
      </c>
      <c r="R1793">
        <v>351.5</v>
      </c>
      <c r="S1793" t="str">
        <f t="shared" si="135"/>
        <v>PX: Baja Crit.</v>
      </c>
      <c r="T1793">
        <f t="shared" si="136"/>
        <v>0</v>
      </c>
      <c r="U1793">
        <f t="shared" si="137"/>
        <v>0</v>
      </c>
      <c r="V1793">
        <f t="shared" si="138"/>
        <v>1</v>
      </c>
      <c r="W1793">
        <f t="shared" si="139"/>
        <v>0</v>
      </c>
      <c r="X1793">
        <v>1</v>
      </c>
      <c r="Y1793" s="2">
        <v>45768</v>
      </c>
      <c r="Z1793" s="3" t="s">
        <v>47</v>
      </c>
      <c r="AA1793" t="s">
        <v>39</v>
      </c>
      <c r="AB1793" t="s">
        <v>40</v>
      </c>
      <c r="AC1793" t="s">
        <v>40</v>
      </c>
      <c r="AD1793" t="s">
        <v>184</v>
      </c>
    </row>
    <row r="1794" spans="2:30">
      <c r="B1794">
        <v>1</v>
      </c>
      <c r="C1794">
        <v>1020</v>
      </c>
      <c r="D1794" t="s">
        <v>181</v>
      </c>
      <c r="E1794">
        <v>14158907</v>
      </c>
      <c r="F1794" t="s">
        <v>1889</v>
      </c>
      <c r="G1794" t="s">
        <v>31</v>
      </c>
      <c r="H1794" t="s">
        <v>32</v>
      </c>
      <c r="I1794" t="s">
        <v>183</v>
      </c>
      <c r="J1794" t="s">
        <v>45</v>
      </c>
      <c r="K1794" t="s">
        <v>35</v>
      </c>
      <c r="L1794" t="s">
        <v>36</v>
      </c>
      <c r="M1794" t="s">
        <v>46</v>
      </c>
      <c r="N1794">
        <v>2</v>
      </c>
      <c r="O1794">
        <v>2</v>
      </c>
      <c r="P1794">
        <v>1</v>
      </c>
      <c r="Q1794">
        <v>2</v>
      </c>
      <c r="R1794">
        <v>286.22000000000003</v>
      </c>
      <c r="S1794" t="str">
        <f t="shared" ref="S1794:S1857" si="140">+IF(G1794="PZ", "PZ: Alta Crit.",IF(G1794="PY","PY: Media Crit.", "PX: Baja Crit."))</f>
        <v>PX: Baja Crit.</v>
      </c>
      <c r="T1794">
        <f t="shared" ref="T1794:T1857" si="141">+IF(Q1794=0,1,0)</f>
        <v>0</v>
      </c>
      <c r="U1794">
        <f t="shared" ref="U1794:U1857" si="142">+IF(AND(Q1794&lt;=P1794,Q1794&gt;0),1,0)</f>
        <v>0</v>
      </c>
      <c r="V1794">
        <f t="shared" ref="V1794:V1857" si="143">+IF(AND(Q1794&gt;P1794,Q1794&lt;=N1794),1,0)</f>
        <v>1</v>
      </c>
      <c r="W1794">
        <f t="shared" ref="W1794:W1857" si="144">+IF(Q1794&gt;N1794,1,0)</f>
        <v>0</v>
      </c>
      <c r="X1794">
        <v>1</v>
      </c>
      <c r="Y1794" s="2">
        <v>45768</v>
      </c>
      <c r="Z1794" s="3" t="s">
        <v>47</v>
      </c>
      <c r="AA1794" t="s">
        <v>39</v>
      </c>
      <c r="AB1794" t="s">
        <v>40</v>
      </c>
      <c r="AC1794" t="s">
        <v>40</v>
      </c>
      <c r="AD1794" t="s">
        <v>184</v>
      </c>
    </row>
    <row r="1795" spans="2:30">
      <c r="B1795">
        <v>1</v>
      </c>
      <c r="C1795">
        <v>1020</v>
      </c>
      <c r="D1795" t="s">
        <v>181</v>
      </c>
      <c r="E1795">
        <v>14158908</v>
      </c>
      <c r="F1795" t="s">
        <v>1890</v>
      </c>
      <c r="G1795" t="s">
        <v>31</v>
      </c>
      <c r="H1795" t="s">
        <v>60</v>
      </c>
      <c r="I1795" t="s">
        <v>183</v>
      </c>
      <c r="J1795" t="s">
        <v>45</v>
      </c>
      <c r="K1795" t="s">
        <v>35</v>
      </c>
      <c r="L1795" t="s">
        <v>36</v>
      </c>
      <c r="M1795" t="s">
        <v>46</v>
      </c>
      <c r="N1795">
        <v>2</v>
      </c>
      <c r="O1795">
        <v>2</v>
      </c>
      <c r="P1795">
        <v>1</v>
      </c>
      <c r="Q1795">
        <v>2</v>
      </c>
      <c r="R1795">
        <v>308.29000000000002</v>
      </c>
      <c r="S1795" t="str">
        <f t="shared" si="140"/>
        <v>PX: Baja Crit.</v>
      </c>
      <c r="T1795">
        <f t="shared" si="141"/>
        <v>0</v>
      </c>
      <c r="U1795">
        <f t="shared" si="142"/>
        <v>0</v>
      </c>
      <c r="V1795">
        <f t="shared" si="143"/>
        <v>1</v>
      </c>
      <c r="W1795">
        <f t="shared" si="144"/>
        <v>0</v>
      </c>
      <c r="X1795">
        <v>1</v>
      </c>
      <c r="Y1795" s="2">
        <v>45768</v>
      </c>
      <c r="Z1795" s="3" t="s">
        <v>47</v>
      </c>
      <c r="AA1795" t="s">
        <v>39</v>
      </c>
      <c r="AB1795" t="s">
        <v>40</v>
      </c>
      <c r="AC1795" t="s">
        <v>40</v>
      </c>
      <c r="AD1795" t="s">
        <v>184</v>
      </c>
    </row>
    <row r="1796" spans="2:30">
      <c r="B1796">
        <v>1</v>
      </c>
      <c r="C1796">
        <v>1020</v>
      </c>
      <c r="D1796" t="s">
        <v>388</v>
      </c>
      <c r="E1796">
        <v>14161709</v>
      </c>
      <c r="F1796" t="s">
        <v>1891</v>
      </c>
      <c r="G1796" t="s">
        <v>52</v>
      </c>
      <c r="H1796" t="s">
        <v>44</v>
      </c>
      <c r="I1796" t="s">
        <v>390</v>
      </c>
      <c r="J1796" t="s">
        <v>45</v>
      </c>
      <c r="K1796" t="s">
        <v>35</v>
      </c>
      <c r="L1796" t="s">
        <v>175</v>
      </c>
      <c r="M1796" t="s">
        <v>46</v>
      </c>
      <c r="N1796">
        <v>0</v>
      </c>
      <c r="O1796">
        <v>0</v>
      </c>
      <c r="P1796">
        <v>6</v>
      </c>
      <c r="Q1796">
        <v>6</v>
      </c>
      <c r="R1796" s="4">
        <v>7726.35</v>
      </c>
      <c r="S1796" t="str">
        <f t="shared" si="140"/>
        <v>PZ: Alta Crit.</v>
      </c>
      <c r="T1796">
        <f t="shared" si="141"/>
        <v>0</v>
      </c>
      <c r="U1796">
        <f t="shared" si="142"/>
        <v>1</v>
      </c>
      <c r="V1796">
        <f t="shared" si="143"/>
        <v>0</v>
      </c>
      <c r="W1796">
        <f t="shared" si="144"/>
        <v>1</v>
      </c>
      <c r="X1796">
        <v>1</v>
      </c>
      <c r="Y1796" s="2">
        <v>45768</v>
      </c>
      <c r="Z1796" s="3" t="s">
        <v>47</v>
      </c>
      <c r="AA1796" t="s">
        <v>39</v>
      </c>
      <c r="AB1796" t="s">
        <v>40</v>
      </c>
      <c r="AC1796" t="s">
        <v>40</v>
      </c>
      <c r="AD1796" t="s">
        <v>391</v>
      </c>
    </row>
    <row r="1797" spans="2:30">
      <c r="B1797">
        <v>1</v>
      </c>
      <c r="C1797">
        <v>1020</v>
      </c>
      <c r="D1797" t="s">
        <v>181</v>
      </c>
      <c r="E1797">
        <v>14162133</v>
      </c>
      <c r="F1797" t="s">
        <v>1892</v>
      </c>
      <c r="G1797" t="s">
        <v>43</v>
      </c>
      <c r="H1797" t="s">
        <v>60</v>
      </c>
      <c r="I1797" t="s">
        <v>183</v>
      </c>
      <c r="J1797" t="s">
        <v>45</v>
      </c>
      <c r="K1797" t="s">
        <v>35</v>
      </c>
      <c r="L1797" t="s">
        <v>36</v>
      </c>
      <c r="M1797" t="s">
        <v>117</v>
      </c>
      <c r="N1797">
        <v>4</v>
      </c>
      <c r="O1797">
        <v>2</v>
      </c>
      <c r="P1797">
        <v>0</v>
      </c>
      <c r="Q1797">
        <v>4</v>
      </c>
      <c r="R1797" s="4">
        <v>1000</v>
      </c>
      <c r="S1797" t="str">
        <f t="shared" si="140"/>
        <v>PY: Media Crit.</v>
      </c>
      <c r="T1797">
        <f t="shared" si="141"/>
        <v>0</v>
      </c>
      <c r="U1797">
        <f t="shared" si="142"/>
        <v>0</v>
      </c>
      <c r="V1797">
        <f t="shared" si="143"/>
        <v>1</v>
      </c>
      <c r="W1797">
        <f t="shared" si="144"/>
        <v>0</v>
      </c>
      <c r="X1797">
        <v>1</v>
      </c>
      <c r="Y1797" s="2">
        <v>45768</v>
      </c>
      <c r="Z1797" s="3" t="s">
        <v>118</v>
      </c>
      <c r="AA1797" t="s">
        <v>39</v>
      </c>
      <c r="AB1797" t="s">
        <v>40</v>
      </c>
      <c r="AC1797" t="s">
        <v>40</v>
      </c>
      <c r="AD1797" t="s">
        <v>184</v>
      </c>
    </row>
    <row r="1798" spans="2:30">
      <c r="B1798">
        <v>1</v>
      </c>
      <c r="C1798">
        <v>1020</v>
      </c>
      <c r="D1798" t="s">
        <v>181</v>
      </c>
      <c r="E1798">
        <v>14162222</v>
      </c>
      <c r="F1798" t="s">
        <v>1893</v>
      </c>
      <c r="G1798" t="s">
        <v>52</v>
      </c>
      <c r="H1798" t="s">
        <v>32</v>
      </c>
      <c r="I1798" t="s">
        <v>183</v>
      </c>
      <c r="J1798" t="s">
        <v>45</v>
      </c>
      <c r="K1798" t="s">
        <v>35</v>
      </c>
      <c r="L1798" t="s">
        <v>36</v>
      </c>
      <c r="M1798" t="s">
        <v>69</v>
      </c>
      <c r="N1798">
        <v>2</v>
      </c>
      <c r="O1798">
        <v>1</v>
      </c>
      <c r="P1798">
        <v>0</v>
      </c>
      <c r="Q1798">
        <v>2</v>
      </c>
      <c r="R1798" s="4">
        <v>1768.19</v>
      </c>
      <c r="S1798" t="str">
        <f t="shared" si="140"/>
        <v>PZ: Alta Crit.</v>
      </c>
      <c r="T1798">
        <f t="shared" si="141"/>
        <v>0</v>
      </c>
      <c r="U1798">
        <f t="shared" si="142"/>
        <v>0</v>
      </c>
      <c r="V1798">
        <f t="shared" si="143"/>
        <v>1</v>
      </c>
      <c r="W1798">
        <f t="shared" si="144"/>
        <v>0</v>
      </c>
      <c r="X1798">
        <v>1</v>
      </c>
      <c r="Y1798" s="2">
        <v>45768</v>
      </c>
      <c r="Z1798" s="3" t="s">
        <v>70</v>
      </c>
      <c r="AA1798" t="s">
        <v>39</v>
      </c>
      <c r="AB1798" t="s">
        <v>40</v>
      </c>
      <c r="AC1798" t="s">
        <v>40</v>
      </c>
      <c r="AD1798" t="s">
        <v>184</v>
      </c>
    </row>
    <row r="1799" spans="2:30">
      <c r="B1799">
        <v>1</v>
      </c>
      <c r="C1799">
        <v>1020</v>
      </c>
      <c r="D1799" t="s">
        <v>181</v>
      </c>
      <c r="E1799">
        <v>14162652</v>
      </c>
      <c r="F1799" t="s">
        <v>1894</v>
      </c>
      <c r="G1799" t="s">
        <v>43</v>
      </c>
      <c r="H1799" t="s">
        <v>60</v>
      </c>
      <c r="I1799" t="s">
        <v>183</v>
      </c>
      <c r="J1799" t="s">
        <v>45</v>
      </c>
      <c r="K1799" t="s">
        <v>35</v>
      </c>
      <c r="L1799" t="s">
        <v>36</v>
      </c>
      <c r="M1799" t="s">
        <v>46</v>
      </c>
      <c r="N1799">
        <v>3</v>
      </c>
      <c r="O1799">
        <v>3</v>
      </c>
      <c r="P1799">
        <v>0</v>
      </c>
      <c r="Q1799">
        <v>3</v>
      </c>
      <c r="R1799" s="4">
        <v>3153.6</v>
      </c>
      <c r="S1799" t="str">
        <f t="shared" si="140"/>
        <v>PY: Media Crit.</v>
      </c>
      <c r="T1799">
        <f t="shared" si="141"/>
        <v>0</v>
      </c>
      <c r="U1799">
        <f t="shared" si="142"/>
        <v>0</v>
      </c>
      <c r="V1799">
        <f t="shared" si="143"/>
        <v>1</v>
      </c>
      <c r="W1799">
        <f t="shared" si="144"/>
        <v>0</v>
      </c>
      <c r="X1799">
        <v>1</v>
      </c>
      <c r="Y1799" s="2">
        <v>45768</v>
      </c>
      <c r="Z1799" s="3" t="s">
        <v>47</v>
      </c>
      <c r="AA1799" t="s">
        <v>39</v>
      </c>
      <c r="AB1799" t="s">
        <v>40</v>
      </c>
      <c r="AC1799" t="s">
        <v>40</v>
      </c>
      <c r="AD1799" t="s">
        <v>184</v>
      </c>
    </row>
    <row r="1800" spans="2:30">
      <c r="B1800">
        <v>1</v>
      </c>
      <c r="C1800">
        <v>1020</v>
      </c>
      <c r="D1800" t="s">
        <v>181</v>
      </c>
      <c r="E1800">
        <v>14164262</v>
      </c>
      <c r="F1800" t="s">
        <v>1895</v>
      </c>
      <c r="G1800" t="s">
        <v>31</v>
      </c>
      <c r="H1800" t="s">
        <v>60</v>
      </c>
      <c r="I1800" t="s">
        <v>183</v>
      </c>
      <c r="J1800" t="s">
        <v>45</v>
      </c>
      <c r="K1800" t="s">
        <v>35</v>
      </c>
      <c r="L1800" t="s">
        <v>36</v>
      </c>
      <c r="M1800" t="s">
        <v>46</v>
      </c>
      <c r="N1800">
        <v>6</v>
      </c>
      <c r="O1800">
        <v>4</v>
      </c>
      <c r="P1800">
        <v>1</v>
      </c>
      <c r="Q1800">
        <v>1</v>
      </c>
      <c r="R1800">
        <v>0</v>
      </c>
      <c r="S1800" t="str">
        <f t="shared" si="140"/>
        <v>PX: Baja Crit.</v>
      </c>
      <c r="T1800">
        <f t="shared" si="141"/>
        <v>0</v>
      </c>
      <c r="U1800">
        <f t="shared" si="142"/>
        <v>1</v>
      </c>
      <c r="V1800">
        <f t="shared" si="143"/>
        <v>0</v>
      </c>
      <c r="W1800">
        <f t="shared" si="144"/>
        <v>0</v>
      </c>
      <c r="X1800">
        <v>1</v>
      </c>
      <c r="Y1800" s="2">
        <v>45768</v>
      </c>
      <c r="Z1800" s="3" t="s">
        <v>47</v>
      </c>
      <c r="AA1800" t="s">
        <v>39</v>
      </c>
      <c r="AB1800" t="s">
        <v>76</v>
      </c>
      <c r="AC1800" s="5" t="s">
        <v>77</v>
      </c>
      <c r="AD1800" t="s">
        <v>184</v>
      </c>
    </row>
    <row r="1801" spans="2:30">
      <c r="B1801">
        <v>1</v>
      </c>
      <c r="C1801">
        <v>1020</v>
      </c>
      <c r="D1801" t="s">
        <v>181</v>
      </c>
      <c r="E1801">
        <v>14164263</v>
      </c>
      <c r="F1801" t="s">
        <v>1896</v>
      </c>
      <c r="G1801" t="s">
        <v>31</v>
      </c>
      <c r="H1801" t="s">
        <v>60</v>
      </c>
      <c r="I1801" t="s">
        <v>183</v>
      </c>
      <c r="J1801" t="s">
        <v>45</v>
      </c>
      <c r="K1801" t="s">
        <v>35</v>
      </c>
      <c r="L1801" t="s">
        <v>36</v>
      </c>
      <c r="M1801" t="s">
        <v>46</v>
      </c>
      <c r="N1801">
        <v>6</v>
      </c>
      <c r="O1801">
        <v>4</v>
      </c>
      <c r="P1801">
        <v>1</v>
      </c>
      <c r="Q1801">
        <v>3</v>
      </c>
      <c r="R1801" s="4">
        <v>45740.17</v>
      </c>
      <c r="S1801" t="str">
        <f t="shared" si="140"/>
        <v>PX: Baja Crit.</v>
      </c>
      <c r="T1801">
        <f t="shared" si="141"/>
        <v>0</v>
      </c>
      <c r="U1801">
        <f t="shared" si="142"/>
        <v>0</v>
      </c>
      <c r="V1801">
        <f t="shared" si="143"/>
        <v>1</v>
      </c>
      <c r="W1801">
        <f t="shared" si="144"/>
        <v>0</v>
      </c>
      <c r="X1801">
        <v>1</v>
      </c>
      <c r="Y1801" s="2">
        <v>45768</v>
      </c>
      <c r="Z1801" s="3" t="s">
        <v>47</v>
      </c>
      <c r="AA1801" t="s">
        <v>39</v>
      </c>
      <c r="AB1801" t="s">
        <v>76</v>
      </c>
      <c r="AC1801" s="5" t="s">
        <v>77</v>
      </c>
      <c r="AD1801" t="s">
        <v>184</v>
      </c>
    </row>
    <row r="1802" spans="2:30">
      <c r="B1802">
        <v>1</v>
      </c>
      <c r="C1802">
        <v>1020</v>
      </c>
      <c r="D1802" t="s">
        <v>384</v>
      </c>
      <c r="E1802">
        <v>14164392</v>
      </c>
      <c r="F1802" t="s">
        <v>1897</v>
      </c>
      <c r="G1802" t="s">
        <v>31</v>
      </c>
      <c r="H1802" t="s">
        <v>44</v>
      </c>
      <c r="I1802" t="s">
        <v>386</v>
      </c>
      <c r="J1802" t="s">
        <v>45</v>
      </c>
      <c r="K1802" t="s">
        <v>35</v>
      </c>
      <c r="L1802" t="s">
        <v>175</v>
      </c>
      <c r="M1802" t="s">
        <v>117</v>
      </c>
      <c r="N1802">
        <v>0</v>
      </c>
      <c r="O1802">
        <v>0</v>
      </c>
      <c r="P1802">
        <v>0</v>
      </c>
      <c r="Q1802">
        <v>18</v>
      </c>
      <c r="R1802" s="4">
        <v>74445.22</v>
      </c>
      <c r="S1802" t="str">
        <f t="shared" si="140"/>
        <v>PX: Baja Crit.</v>
      </c>
      <c r="T1802">
        <f t="shared" si="141"/>
        <v>0</v>
      </c>
      <c r="U1802">
        <f t="shared" si="142"/>
        <v>0</v>
      </c>
      <c r="V1802">
        <f t="shared" si="143"/>
        <v>0</v>
      </c>
      <c r="W1802">
        <f t="shared" si="144"/>
        <v>1</v>
      </c>
      <c r="X1802">
        <v>1</v>
      </c>
      <c r="Y1802" s="2">
        <v>45768</v>
      </c>
      <c r="Z1802" s="3" t="s">
        <v>118</v>
      </c>
      <c r="AA1802" t="s">
        <v>39</v>
      </c>
      <c r="AB1802" t="s">
        <v>40</v>
      </c>
      <c r="AC1802" t="s">
        <v>40</v>
      </c>
      <c r="AD1802" t="s">
        <v>387</v>
      </c>
    </row>
    <row r="1803" spans="2:30">
      <c r="B1803">
        <v>1</v>
      </c>
      <c r="C1803">
        <v>1020</v>
      </c>
      <c r="D1803" t="s">
        <v>384</v>
      </c>
      <c r="E1803">
        <v>14164393</v>
      </c>
      <c r="F1803" t="s">
        <v>1898</v>
      </c>
      <c r="G1803" t="s">
        <v>31</v>
      </c>
      <c r="H1803" t="s">
        <v>44</v>
      </c>
      <c r="I1803" t="s">
        <v>386</v>
      </c>
      <c r="J1803" t="s">
        <v>45</v>
      </c>
      <c r="K1803" t="s">
        <v>35</v>
      </c>
      <c r="L1803" t="s">
        <v>175</v>
      </c>
      <c r="M1803" t="s">
        <v>117</v>
      </c>
      <c r="N1803">
        <v>0</v>
      </c>
      <c r="O1803">
        <v>0</v>
      </c>
      <c r="P1803">
        <v>0</v>
      </c>
      <c r="Q1803">
        <v>24</v>
      </c>
      <c r="R1803" s="4">
        <v>105570.53</v>
      </c>
      <c r="S1803" t="str">
        <f t="shared" si="140"/>
        <v>PX: Baja Crit.</v>
      </c>
      <c r="T1803">
        <f t="shared" si="141"/>
        <v>0</v>
      </c>
      <c r="U1803">
        <f t="shared" si="142"/>
        <v>0</v>
      </c>
      <c r="V1803">
        <f t="shared" si="143"/>
        <v>0</v>
      </c>
      <c r="W1803">
        <f t="shared" si="144"/>
        <v>1</v>
      </c>
      <c r="X1803">
        <v>1</v>
      </c>
      <c r="Y1803" s="2">
        <v>45768</v>
      </c>
      <c r="Z1803" s="3" t="s">
        <v>118</v>
      </c>
      <c r="AA1803" t="s">
        <v>39</v>
      </c>
      <c r="AB1803" t="s">
        <v>40</v>
      </c>
      <c r="AC1803" t="s">
        <v>40</v>
      </c>
      <c r="AD1803" t="s">
        <v>387</v>
      </c>
    </row>
    <row r="1804" spans="2:30">
      <c r="B1804">
        <v>1</v>
      </c>
      <c r="C1804">
        <v>1020</v>
      </c>
      <c r="D1804" t="s">
        <v>181</v>
      </c>
      <c r="E1804">
        <v>14165446</v>
      </c>
      <c r="F1804" t="s">
        <v>1899</v>
      </c>
      <c r="G1804" t="s">
        <v>43</v>
      </c>
      <c r="H1804" t="s">
        <v>60</v>
      </c>
      <c r="I1804" t="s">
        <v>183</v>
      </c>
      <c r="J1804" t="s">
        <v>45</v>
      </c>
      <c r="K1804" t="s">
        <v>35</v>
      </c>
      <c r="L1804" t="s">
        <v>36</v>
      </c>
      <c r="M1804" t="s">
        <v>46</v>
      </c>
      <c r="N1804">
        <v>2</v>
      </c>
      <c r="O1804">
        <v>2</v>
      </c>
      <c r="P1804">
        <v>0</v>
      </c>
      <c r="Q1804">
        <v>2</v>
      </c>
      <c r="R1804" s="4">
        <v>1503.79</v>
      </c>
      <c r="S1804" t="str">
        <f t="shared" si="140"/>
        <v>PY: Media Crit.</v>
      </c>
      <c r="T1804">
        <f t="shared" si="141"/>
        <v>0</v>
      </c>
      <c r="U1804">
        <f t="shared" si="142"/>
        <v>0</v>
      </c>
      <c r="V1804">
        <f t="shared" si="143"/>
        <v>1</v>
      </c>
      <c r="W1804">
        <f t="shared" si="144"/>
        <v>0</v>
      </c>
      <c r="X1804">
        <v>1</v>
      </c>
      <c r="Y1804" s="2">
        <v>45768</v>
      </c>
      <c r="Z1804" s="3" t="s">
        <v>47</v>
      </c>
      <c r="AA1804" t="s">
        <v>39</v>
      </c>
      <c r="AB1804" t="s">
        <v>40</v>
      </c>
      <c r="AC1804" t="s">
        <v>40</v>
      </c>
      <c r="AD1804" t="s">
        <v>184</v>
      </c>
    </row>
    <row r="1805" spans="2:30">
      <c r="B1805">
        <v>1</v>
      </c>
      <c r="C1805">
        <v>1020</v>
      </c>
      <c r="D1805" t="s">
        <v>181</v>
      </c>
      <c r="E1805">
        <v>14166661</v>
      </c>
      <c r="F1805" t="s">
        <v>1900</v>
      </c>
      <c r="G1805" t="s">
        <v>31</v>
      </c>
      <c r="H1805" t="s">
        <v>44</v>
      </c>
      <c r="I1805" t="s">
        <v>183</v>
      </c>
      <c r="J1805" t="s">
        <v>45</v>
      </c>
      <c r="K1805" t="s">
        <v>35</v>
      </c>
      <c r="L1805" t="s">
        <v>36</v>
      </c>
      <c r="M1805" t="s">
        <v>117</v>
      </c>
      <c r="N1805">
        <v>1</v>
      </c>
      <c r="O1805">
        <v>1</v>
      </c>
      <c r="P1805">
        <v>0</v>
      </c>
      <c r="Q1805">
        <v>1</v>
      </c>
      <c r="R1805">
        <v>280</v>
      </c>
      <c r="S1805" t="str">
        <f t="shared" si="140"/>
        <v>PX: Baja Crit.</v>
      </c>
      <c r="T1805">
        <f t="shared" si="141"/>
        <v>0</v>
      </c>
      <c r="U1805">
        <f t="shared" si="142"/>
        <v>0</v>
      </c>
      <c r="V1805">
        <f t="shared" si="143"/>
        <v>1</v>
      </c>
      <c r="W1805">
        <f t="shared" si="144"/>
        <v>0</v>
      </c>
      <c r="X1805">
        <v>1</v>
      </c>
      <c r="Y1805" s="2">
        <v>45768</v>
      </c>
      <c r="Z1805" s="3" t="s">
        <v>118</v>
      </c>
      <c r="AA1805" t="s">
        <v>39</v>
      </c>
      <c r="AB1805" t="s">
        <v>40</v>
      </c>
      <c r="AC1805" t="s">
        <v>40</v>
      </c>
      <c r="AD1805" t="s">
        <v>184</v>
      </c>
    </row>
    <row r="1806" spans="2:30">
      <c r="B1806">
        <v>1</v>
      </c>
      <c r="C1806">
        <v>1020</v>
      </c>
      <c r="D1806" t="s">
        <v>181</v>
      </c>
      <c r="E1806">
        <v>14166884</v>
      </c>
      <c r="F1806" t="s">
        <v>1901</v>
      </c>
      <c r="G1806" t="s">
        <v>43</v>
      </c>
      <c r="H1806" t="s">
        <v>60</v>
      </c>
      <c r="I1806" t="s">
        <v>183</v>
      </c>
      <c r="J1806" t="s">
        <v>45</v>
      </c>
      <c r="K1806" t="s">
        <v>35</v>
      </c>
      <c r="L1806" t="s">
        <v>36</v>
      </c>
      <c r="M1806" t="s">
        <v>117</v>
      </c>
      <c r="N1806">
        <v>1</v>
      </c>
      <c r="O1806">
        <v>1</v>
      </c>
      <c r="P1806">
        <v>0</v>
      </c>
      <c r="Q1806">
        <v>1</v>
      </c>
      <c r="R1806" s="4">
        <v>14149.29</v>
      </c>
      <c r="S1806" t="str">
        <f t="shared" si="140"/>
        <v>PY: Media Crit.</v>
      </c>
      <c r="T1806">
        <f t="shared" si="141"/>
        <v>0</v>
      </c>
      <c r="U1806">
        <f t="shared" si="142"/>
        <v>0</v>
      </c>
      <c r="V1806">
        <f t="shared" si="143"/>
        <v>1</v>
      </c>
      <c r="W1806">
        <f t="shared" si="144"/>
        <v>0</v>
      </c>
      <c r="X1806">
        <v>1</v>
      </c>
      <c r="Y1806" s="2">
        <v>45768</v>
      </c>
      <c r="Z1806" s="3" t="s">
        <v>118</v>
      </c>
      <c r="AA1806" t="s">
        <v>39</v>
      </c>
      <c r="AB1806" t="s">
        <v>40</v>
      </c>
      <c r="AC1806" t="s">
        <v>40</v>
      </c>
      <c r="AD1806" t="s">
        <v>184</v>
      </c>
    </row>
    <row r="1807" spans="2:30">
      <c r="B1807">
        <v>1</v>
      </c>
      <c r="C1807">
        <v>1020</v>
      </c>
      <c r="D1807" t="s">
        <v>384</v>
      </c>
      <c r="E1807">
        <v>14167174</v>
      </c>
      <c r="F1807" t="s">
        <v>1902</v>
      </c>
      <c r="G1807" t="s">
        <v>52</v>
      </c>
      <c r="H1807" t="s">
        <v>32</v>
      </c>
      <c r="I1807" t="s">
        <v>386</v>
      </c>
      <c r="J1807" t="s">
        <v>45</v>
      </c>
      <c r="K1807" t="s">
        <v>35</v>
      </c>
      <c r="L1807" t="s">
        <v>175</v>
      </c>
      <c r="M1807" t="s">
        <v>46</v>
      </c>
      <c r="N1807">
        <v>0</v>
      </c>
      <c r="O1807">
        <v>0</v>
      </c>
      <c r="P1807">
        <v>0</v>
      </c>
      <c r="Q1807">
        <v>0</v>
      </c>
      <c r="R1807">
        <v>0</v>
      </c>
      <c r="S1807" t="str">
        <f t="shared" si="140"/>
        <v>PZ: Alta Crit.</v>
      </c>
      <c r="T1807">
        <f t="shared" si="141"/>
        <v>1</v>
      </c>
      <c r="U1807">
        <f t="shared" si="142"/>
        <v>0</v>
      </c>
      <c r="V1807">
        <f t="shared" si="143"/>
        <v>0</v>
      </c>
      <c r="W1807">
        <f t="shared" si="144"/>
        <v>0</v>
      </c>
      <c r="X1807">
        <v>1</v>
      </c>
      <c r="Y1807" s="2">
        <v>45768</v>
      </c>
      <c r="Z1807" s="3" t="s">
        <v>47</v>
      </c>
      <c r="AA1807" t="s">
        <v>39</v>
      </c>
      <c r="AB1807" t="s">
        <v>40</v>
      </c>
      <c r="AC1807" t="s">
        <v>40</v>
      </c>
      <c r="AD1807" t="s">
        <v>387</v>
      </c>
    </row>
    <row r="1808" spans="2:30">
      <c r="B1808">
        <v>1</v>
      </c>
      <c r="C1808">
        <v>1020</v>
      </c>
      <c r="D1808" t="s">
        <v>181</v>
      </c>
      <c r="E1808">
        <v>14167176</v>
      </c>
      <c r="F1808" t="s">
        <v>1903</v>
      </c>
      <c r="G1808" t="s">
        <v>52</v>
      </c>
      <c r="H1808" t="s">
        <v>32</v>
      </c>
      <c r="I1808" t="s">
        <v>183</v>
      </c>
      <c r="J1808" t="s">
        <v>45</v>
      </c>
      <c r="K1808" t="s">
        <v>35</v>
      </c>
      <c r="L1808" t="s">
        <v>36</v>
      </c>
      <c r="M1808" t="s">
        <v>88</v>
      </c>
      <c r="N1808">
        <v>1</v>
      </c>
      <c r="O1808">
        <v>1</v>
      </c>
      <c r="P1808">
        <v>0</v>
      </c>
      <c r="Q1808">
        <v>0</v>
      </c>
      <c r="R1808">
        <v>0</v>
      </c>
      <c r="S1808" t="str">
        <f t="shared" si="140"/>
        <v>PZ: Alta Crit.</v>
      </c>
      <c r="T1808">
        <f t="shared" si="141"/>
        <v>1</v>
      </c>
      <c r="U1808">
        <f t="shared" si="142"/>
        <v>0</v>
      </c>
      <c r="V1808">
        <f t="shared" si="143"/>
        <v>0</v>
      </c>
      <c r="W1808">
        <f t="shared" si="144"/>
        <v>0</v>
      </c>
      <c r="X1808">
        <v>1</v>
      </c>
      <c r="Y1808" s="2">
        <v>45768</v>
      </c>
      <c r="Z1808" s="3" t="s">
        <v>89</v>
      </c>
      <c r="AA1808" t="s">
        <v>39</v>
      </c>
      <c r="AB1808" t="s">
        <v>49</v>
      </c>
      <c r="AC1808" s="5" t="s">
        <v>50</v>
      </c>
      <c r="AD1808" t="s">
        <v>184</v>
      </c>
    </row>
    <row r="1809" spans="2:30">
      <c r="B1809">
        <v>1</v>
      </c>
      <c r="C1809">
        <v>1020</v>
      </c>
      <c r="D1809" t="s">
        <v>388</v>
      </c>
      <c r="E1809">
        <v>14168232</v>
      </c>
      <c r="F1809" t="s">
        <v>1904</v>
      </c>
      <c r="G1809" t="s">
        <v>43</v>
      </c>
      <c r="H1809" t="s">
        <v>32</v>
      </c>
      <c r="I1809" t="s">
        <v>390</v>
      </c>
      <c r="J1809" t="s">
        <v>45</v>
      </c>
      <c r="K1809" t="s">
        <v>35</v>
      </c>
      <c r="L1809" t="s">
        <v>175</v>
      </c>
      <c r="M1809" t="s">
        <v>69</v>
      </c>
      <c r="N1809">
        <v>0</v>
      </c>
      <c r="O1809">
        <v>0</v>
      </c>
      <c r="P1809">
        <v>9</v>
      </c>
      <c r="Q1809">
        <v>9</v>
      </c>
      <c r="R1809" s="4">
        <v>5625.09</v>
      </c>
      <c r="S1809" t="str">
        <f t="shared" si="140"/>
        <v>PY: Media Crit.</v>
      </c>
      <c r="T1809">
        <f t="shared" si="141"/>
        <v>0</v>
      </c>
      <c r="U1809">
        <f t="shared" si="142"/>
        <v>1</v>
      </c>
      <c r="V1809">
        <f t="shared" si="143"/>
        <v>0</v>
      </c>
      <c r="W1809">
        <f t="shared" si="144"/>
        <v>1</v>
      </c>
      <c r="X1809">
        <v>1</v>
      </c>
      <c r="Y1809" s="2">
        <v>45768</v>
      </c>
      <c r="Z1809" s="3" t="s">
        <v>70</v>
      </c>
      <c r="AA1809" t="s">
        <v>39</v>
      </c>
      <c r="AB1809" t="s">
        <v>76</v>
      </c>
      <c r="AC1809" s="5" t="s">
        <v>77</v>
      </c>
      <c r="AD1809" t="s">
        <v>391</v>
      </c>
    </row>
    <row r="1810" spans="2:30">
      <c r="B1810">
        <v>1</v>
      </c>
      <c r="C1810">
        <v>1020</v>
      </c>
      <c r="D1810" t="s">
        <v>181</v>
      </c>
      <c r="E1810">
        <v>14168383</v>
      </c>
      <c r="F1810" t="s">
        <v>1905</v>
      </c>
      <c r="G1810" t="s">
        <v>43</v>
      </c>
      <c r="H1810" t="s">
        <v>60</v>
      </c>
      <c r="I1810" t="s">
        <v>183</v>
      </c>
      <c r="J1810" t="s">
        <v>45</v>
      </c>
      <c r="K1810" t="s">
        <v>35</v>
      </c>
      <c r="L1810" t="s">
        <v>36</v>
      </c>
      <c r="M1810" t="s">
        <v>117</v>
      </c>
      <c r="N1810">
        <v>4</v>
      </c>
      <c r="O1810">
        <v>2</v>
      </c>
      <c r="P1810">
        <v>0</v>
      </c>
      <c r="Q1810">
        <v>0</v>
      </c>
      <c r="R1810">
        <v>0</v>
      </c>
      <c r="S1810" t="str">
        <f t="shared" si="140"/>
        <v>PY: Media Crit.</v>
      </c>
      <c r="T1810">
        <f t="shared" si="141"/>
        <v>1</v>
      </c>
      <c r="U1810">
        <f t="shared" si="142"/>
        <v>0</v>
      </c>
      <c r="V1810">
        <f t="shared" si="143"/>
        <v>0</v>
      </c>
      <c r="W1810">
        <f t="shared" si="144"/>
        <v>0</v>
      </c>
      <c r="X1810">
        <v>1</v>
      </c>
      <c r="Y1810" s="2">
        <v>45768</v>
      </c>
      <c r="Z1810" s="3" t="s">
        <v>118</v>
      </c>
      <c r="AA1810" t="s">
        <v>39</v>
      </c>
      <c r="AB1810" t="s">
        <v>49</v>
      </c>
      <c r="AC1810" s="5" t="s">
        <v>50</v>
      </c>
      <c r="AD1810" t="s">
        <v>184</v>
      </c>
    </row>
    <row r="1811" spans="2:30">
      <c r="B1811">
        <v>1</v>
      </c>
      <c r="C1811">
        <v>1020</v>
      </c>
      <c r="D1811" t="s">
        <v>181</v>
      </c>
      <c r="E1811">
        <v>14168536</v>
      </c>
      <c r="F1811" t="s">
        <v>1906</v>
      </c>
      <c r="G1811" t="s">
        <v>43</v>
      </c>
      <c r="H1811" t="s">
        <v>60</v>
      </c>
      <c r="I1811" t="s">
        <v>183</v>
      </c>
      <c r="J1811" t="s">
        <v>45</v>
      </c>
      <c r="K1811" t="s">
        <v>35</v>
      </c>
      <c r="L1811" t="s">
        <v>36</v>
      </c>
      <c r="M1811" t="s">
        <v>117</v>
      </c>
      <c r="N1811">
        <v>6</v>
      </c>
      <c r="O1811">
        <v>3</v>
      </c>
      <c r="P1811">
        <v>0</v>
      </c>
      <c r="Q1811">
        <v>6</v>
      </c>
      <c r="R1811" s="4">
        <v>1117.01</v>
      </c>
      <c r="S1811" t="str">
        <f t="shared" si="140"/>
        <v>PY: Media Crit.</v>
      </c>
      <c r="T1811">
        <f t="shared" si="141"/>
        <v>0</v>
      </c>
      <c r="U1811">
        <f t="shared" si="142"/>
        <v>0</v>
      </c>
      <c r="V1811">
        <f t="shared" si="143"/>
        <v>1</v>
      </c>
      <c r="W1811">
        <f t="shared" si="144"/>
        <v>0</v>
      </c>
      <c r="X1811">
        <v>1</v>
      </c>
      <c r="Y1811" s="2">
        <v>45768</v>
      </c>
      <c r="Z1811" s="3" t="s">
        <v>118</v>
      </c>
      <c r="AA1811" t="s">
        <v>39</v>
      </c>
      <c r="AB1811" t="s">
        <v>40</v>
      </c>
      <c r="AC1811" t="s">
        <v>40</v>
      </c>
      <c r="AD1811" t="s">
        <v>184</v>
      </c>
    </row>
    <row r="1812" spans="2:30">
      <c r="B1812">
        <v>1</v>
      </c>
      <c r="C1812">
        <v>1020</v>
      </c>
      <c r="D1812" t="s">
        <v>388</v>
      </c>
      <c r="E1812">
        <v>14170190</v>
      </c>
      <c r="F1812" t="s">
        <v>1907</v>
      </c>
      <c r="G1812" t="s">
        <v>52</v>
      </c>
      <c r="H1812" t="s">
        <v>44</v>
      </c>
      <c r="I1812" t="s">
        <v>390</v>
      </c>
      <c r="J1812" t="s">
        <v>45</v>
      </c>
      <c r="K1812" t="s">
        <v>35</v>
      </c>
      <c r="L1812" t="s">
        <v>175</v>
      </c>
      <c r="M1812" t="s">
        <v>37</v>
      </c>
      <c r="N1812">
        <v>0</v>
      </c>
      <c r="O1812">
        <v>0</v>
      </c>
      <c r="P1812">
        <v>1</v>
      </c>
      <c r="Q1812">
        <v>1</v>
      </c>
      <c r="R1812" s="4">
        <v>5789.81</v>
      </c>
      <c r="S1812" t="str">
        <f t="shared" si="140"/>
        <v>PZ: Alta Crit.</v>
      </c>
      <c r="T1812">
        <f t="shared" si="141"/>
        <v>0</v>
      </c>
      <c r="U1812">
        <f t="shared" si="142"/>
        <v>1</v>
      </c>
      <c r="V1812">
        <f t="shared" si="143"/>
        <v>0</v>
      </c>
      <c r="W1812">
        <f t="shared" si="144"/>
        <v>1</v>
      </c>
      <c r="X1812">
        <v>1</v>
      </c>
      <c r="Y1812" s="2">
        <v>45768</v>
      </c>
      <c r="Z1812" s="3" t="s">
        <v>38</v>
      </c>
      <c r="AA1812" t="s">
        <v>39</v>
      </c>
      <c r="AB1812" t="s">
        <v>40</v>
      </c>
      <c r="AC1812" t="s">
        <v>40</v>
      </c>
      <c r="AD1812" t="s">
        <v>391</v>
      </c>
    </row>
    <row r="1813" spans="2:30">
      <c r="B1813">
        <v>1</v>
      </c>
      <c r="C1813">
        <v>1020</v>
      </c>
      <c r="D1813" t="s">
        <v>388</v>
      </c>
      <c r="E1813">
        <v>14170191</v>
      </c>
      <c r="F1813" t="s">
        <v>1908</v>
      </c>
      <c r="G1813" t="s">
        <v>52</v>
      </c>
      <c r="H1813" t="s">
        <v>44</v>
      </c>
      <c r="I1813" t="s">
        <v>390</v>
      </c>
      <c r="J1813" t="s">
        <v>45</v>
      </c>
      <c r="K1813" t="s">
        <v>35</v>
      </c>
      <c r="L1813" t="s">
        <v>175</v>
      </c>
      <c r="M1813" t="s">
        <v>37</v>
      </c>
      <c r="N1813">
        <v>0</v>
      </c>
      <c r="O1813">
        <v>0</v>
      </c>
      <c r="P1813">
        <v>1</v>
      </c>
      <c r="Q1813">
        <v>1</v>
      </c>
      <c r="R1813" s="4">
        <v>7161.69</v>
      </c>
      <c r="S1813" t="str">
        <f t="shared" si="140"/>
        <v>PZ: Alta Crit.</v>
      </c>
      <c r="T1813">
        <f t="shared" si="141"/>
        <v>0</v>
      </c>
      <c r="U1813">
        <f t="shared" si="142"/>
        <v>1</v>
      </c>
      <c r="V1813">
        <f t="shared" si="143"/>
        <v>0</v>
      </c>
      <c r="W1813">
        <f t="shared" si="144"/>
        <v>1</v>
      </c>
      <c r="X1813">
        <v>1</v>
      </c>
      <c r="Y1813" s="2">
        <v>45768</v>
      </c>
      <c r="Z1813" s="3" t="s">
        <v>38</v>
      </c>
      <c r="AA1813" t="s">
        <v>39</v>
      </c>
      <c r="AB1813" t="s">
        <v>40</v>
      </c>
      <c r="AC1813" t="s">
        <v>40</v>
      </c>
      <c r="AD1813" t="s">
        <v>391</v>
      </c>
    </row>
    <row r="1814" spans="2:30">
      <c r="B1814">
        <v>1</v>
      </c>
      <c r="C1814">
        <v>1020</v>
      </c>
      <c r="D1814" t="s">
        <v>384</v>
      </c>
      <c r="E1814">
        <v>14170651</v>
      </c>
      <c r="F1814" t="s">
        <v>1909</v>
      </c>
      <c r="G1814" t="s">
        <v>52</v>
      </c>
      <c r="H1814" t="s">
        <v>44</v>
      </c>
      <c r="I1814" t="s">
        <v>386</v>
      </c>
      <c r="J1814" t="s">
        <v>45</v>
      </c>
      <c r="K1814" t="s">
        <v>35</v>
      </c>
      <c r="L1814" t="s">
        <v>175</v>
      </c>
      <c r="M1814" t="s">
        <v>117</v>
      </c>
      <c r="N1814">
        <v>0</v>
      </c>
      <c r="O1814">
        <v>0</v>
      </c>
      <c r="P1814">
        <v>0</v>
      </c>
      <c r="Q1814">
        <v>0</v>
      </c>
      <c r="R1814">
        <v>0</v>
      </c>
      <c r="S1814" t="str">
        <f t="shared" si="140"/>
        <v>PZ: Alta Crit.</v>
      </c>
      <c r="T1814">
        <f t="shared" si="141"/>
        <v>1</v>
      </c>
      <c r="U1814">
        <f t="shared" si="142"/>
        <v>0</v>
      </c>
      <c r="V1814">
        <f t="shared" si="143"/>
        <v>0</v>
      </c>
      <c r="W1814">
        <f t="shared" si="144"/>
        <v>0</v>
      </c>
      <c r="X1814">
        <v>1</v>
      </c>
      <c r="Y1814" s="2">
        <v>45768</v>
      </c>
      <c r="Z1814" s="3" t="s">
        <v>118</v>
      </c>
      <c r="AA1814" t="s">
        <v>39</v>
      </c>
      <c r="AB1814" t="s">
        <v>40</v>
      </c>
      <c r="AC1814" t="s">
        <v>40</v>
      </c>
      <c r="AD1814" t="s">
        <v>387</v>
      </c>
    </row>
    <row r="1815" spans="2:30">
      <c r="B1815">
        <v>1</v>
      </c>
      <c r="C1815">
        <v>1020</v>
      </c>
      <c r="D1815" t="s">
        <v>181</v>
      </c>
      <c r="E1815">
        <v>14173376</v>
      </c>
      <c r="F1815" t="s">
        <v>1910</v>
      </c>
      <c r="G1815" t="s">
        <v>43</v>
      </c>
      <c r="H1815" t="s">
        <v>60</v>
      </c>
      <c r="I1815" t="s">
        <v>183</v>
      </c>
      <c r="J1815" t="s">
        <v>45</v>
      </c>
      <c r="K1815" t="s">
        <v>35</v>
      </c>
      <c r="L1815" t="s">
        <v>36</v>
      </c>
      <c r="M1815" t="s">
        <v>69</v>
      </c>
      <c r="N1815">
        <v>1</v>
      </c>
      <c r="O1815">
        <v>1</v>
      </c>
      <c r="P1815">
        <v>0</v>
      </c>
      <c r="Q1815">
        <v>1</v>
      </c>
      <c r="R1815" s="4">
        <v>4163.53</v>
      </c>
      <c r="S1815" t="str">
        <f t="shared" si="140"/>
        <v>PY: Media Crit.</v>
      </c>
      <c r="T1815">
        <f t="shared" si="141"/>
        <v>0</v>
      </c>
      <c r="U1815">
        <f t="shared" si="142"/>
        <v>0</v>
      </c>
      <c r="V1815">
        <f t="shared" si="143"/>
        <v>1</v>
      </c>
      <c r="W1815">
        <f t="shared" si="144"/>
        <v>0</v>
      </c>
      <c r="X1815">
        <v>1</v>
      </c>
      <c r="Y1815" s="2">
        <v>45768</v>
      </c>
      <c r="Z1815" s="3" t="s">
        <v>70</v>
      </c>
      <c r="AA1815" t="s">
        <v>39</v>
      </c>
      <c r="AB1815" t="s">
        <v>40</v>
      </c>
      <c r="AC1815" t="s">
        <v>40</v>
      </c>
      <c r="AD1815" t="s">
        <v>184</v>
      </c>
    </row>
    <row r="1816" spans="2:30">
      <c r="B1816">
        <v>1</v>
      </c>
      <c r="C1816">
        <v>1020</v>
      </c>
      <c r="D1816" t="s">
        <v>181</v>
      </c>
      <c r="E1816">
        <v>14175658</v>
      </c>
      <c r="F1816" t="s">
        <v>1911</v>
      </c>
      <c r="G1816" t="s">
        <v>31</v>
      </c>
      <c r="H1816" t="s">
        <v>32</v>
      </c>
      <c r="I1816" t="s">
        <v>183</v>
      </c>
      <c r="J1816" t="s">
        <v>45</v>
      </c>
      <c r="K1816" t="s">
        <v>252</v>
      </c>
      <c r="L1816" t="s">
        <v>36</v>
      </c>
      <c r="M1816" t="s">
        <v>46</v>
      </c>
      <c r="N1816">
        <v>5</v>
      </c>
      <c r="O1816">
        <v>3</v>
      </c>
      <c r="P1816">
        <v>0</v>
      </c>
      <c r="Q1816">
        <v>14</v>
      </c>
      <c r="R1816">
        <v>68.08</v>
      </c>
      <c r="S1816" t="str">
        <f t="shared" si="140"/>
        <v>PX: Baja Crit.</v>
      </c>
      <c r="T1816">
        <f t="shared" si="141"/>
        <v>0</v>
      </c>
      <c r="U1816">
        <f t="shared" si="142"/>
        <v>0</v>
      </c>
      <c r="V1816">
        <f t="shared" si="143"/>
        <v>0</v>
      </c>
      <c r="W1816">
        <f t="shared" si="144"/>
        <v>1</v>
      </c>
      <c r="X1816">
        <v>1</v>
      </c>
      <c r="Y1816" s="2">
        <v>45768</v>
      </c>
      <c r="Z1816" s="3" t="s">
        <v>47</v>
      </c>
      <c r="AA1816" t="s">
        <v>39</v>
      </c>
      <c r="AB1816" t="s">
        <v>40</v>
      </c>
      <c r="AC1816" t="s">
        <v>40</v>
      </c>
      <c r="AD1816" t="s">
        <v>184</v>
      </c>
    </row>
    <row r="1817" spans="2:30">
      <c r="B1817">
        <v>1</v>
      </c>
      <c r="C1817">
        <v>1020</v>
      </c>
      <c r="D1817" t="s">
        <v>181</v>
      </c>
      <c r="E1817">
        <v>14175682</v>
      </c>
      <c r="F1817" t="s">
        <v>1912</v>
      </c>
      <c r="G1817" t="s">
        <v>31</v>
      </c>
      <c r="H1817" t="s">
        <v>32</v>
      </c>
      <c r="I1817" t="s">
        <v>183</v>
      </c>
      <c r="J1817" t="s">
        <v>45</v>
      </c>
      <c r="K1817" t="s">
        <v>35</v>
      </c>
      <c r="L1817" t="s">
        <v>36</v>
      </c>
      <c r="M1817" t="s">
        <v>69</v>
      </c>
      <c r="N1817">
        <v>8</v>
      </c>
      <c r="O1817">
        <v>4</v>
      </c>
      <c r="P1817">
        <v>0</v>
      </c>
      <c r="Q1817">
        <v>8</v>
      </c>
      <c r="R1817">
        <v>742.45</v>
      </c>
      <c r="S1817" t="str">
        <f t="shared" si="140"/>
        <v>PX: Baja Crit.</v>
      </c>
      <c r="T1817">
        <f t="shared" si="141"/>
        <v>0</v>
      </c>
      <c r="U1817">
        <f t="shared" si="142"/>
        <v>0</v>
      </c>
      <c r="V1817">
        <f t="shared" si="143"/>
        <v>1</v>
      </c>
      <c r="W1817">
        <f t="shared" si="144"/>
        <v>0</v>
      </c>
      <c r="X1817">
        <v>1</v>
      </c>
      <c r="Y1817" s="2">
        <v>45768</v>
      </c>
      <c r="Z1817" s="3" t="s">
        <v>70</v>
      </c>
      <c r="AA1817" t="s">
        <v>39</v>
      </c>
      <c r="AB1817" t="s">
        <v>40</v>
      </c>
      <c r="AC1817" t="s">
        <v>40</v>
      </c>
      <c r="AD1817" t="s">
        <v>184</v>
      </c>
    </row>
    <row r="1818" spans="2:30">
      <c r="B1818">
        <v>1</v>
      </c>
      <c r="C1818">
        <v>1020</v>
      </c>
      <c r="D1818" t="s">
        <v>181</v>
      </c>
      <c r="E1818">
        <v>14175683</v>
      </c>
      <c r="F1818" t="s">
        <v>1913</v>
      </c>
      <c r="G1818" t="s">
        <v>31</v>
      </c>
      <c r="H1818" t="s">
        <v>32</v>
      </c>
      <c r="I1818" t="s">
        <v>183</v>
      </c>
      <c r="J1818" t="s">
        <v>45</v>
      </c>
      <c r="K1818" t="s">
        <v>35</v>
      </c>
      <c r="L1818" t="s">
        <v>36</v>
      </c>
      <c r="M1818" t="s">
        <v>69</v>
      </c>
      <c r="N1818">
        <v>6</v>
      </c>
      <c r="O1818">
        <v>3</v>
      </c>
      <c r="P1818">
        <v>0</v>
      </c>
      <c r="Q1818">
        <v>6</v>
      </c>
      <c r="R1818">
        <v>723.56</v>
      </c>
      <c r="S1818" t="str">
        <f t="shared" si="140"/>
        <v>PX: Baja Crit.</v>
      </c>
      <c r="T1818">
        <f t="shared" si="141"/>
        <v>0</v>
      </c>
      <c r="U1818">
        <f t="shared" si="142"/>
        <v>0</v>
      </c>
      <c r="V1818">
        <f t="shared" si="143"/>
        <v>1</v>
      </c>
      <c r="W1818">
        <f t="shared" si="144"/>
        <v>0</v>
      </c>
      <c r="X1818">
        <v>1</v>
      </c>
      <c r="Y1818" s="2">
        <v>45768</v>
      </c>
      <c r="Z1818" s="3" t="s">
        <v>70</v>
      </c>
      <c r="AA1818" t="s">
        <v>39</v>
      </c>
      <c r="AB1818" t="s">
        <v>40</v>
      </c>
      <c r="AC1818" t="s">
        <v>40</v>
      </c>
      <c r="AD1818" t="s">
        <v>184</v>
      </c>
    </row>
    <row r="1819" spans="2:30">
      <c r="B1819">
        <v>1</v>
      </c>
      <c r="C1819">
        <v>1020</v>
      </c>
      <c r="D1819" t="s">
        <v>181</v>
      </c>
      <c r="E1819">
        <v>14175684</v>
      </c>
      <c r="F1819" t="s">
        <v>1914</v>
      </c>
      <c r="G1819" t="s">
        <v>31</v>
      </c>
      <c r="H1819" t="s">
        <v>32</v>
      </c>
      <c r="I1819" t="s">
        <v>183</v>
      </c>
      <c r="J1819" t="s">
        <v>45</v>
      </c>
      <c r="K1819" t="s">
        <v>35</v>
      </c>
      <c r="L1819" t="s">
        <v>36</v>
      </c>
      <c r="M1819" t="s">
        <v>69</v>
      </c>
      <c r="N1819">
        <v>12</v>
      </c>
      <c r="O1819">
        <v>8</v>
      </c>
      <c r="P1819">
        <v>0</v>
      </c>
      <c r="Q1819">
        <v>12</v>
      </c>
      <c r="R1819">
        <v>726.84</v>
      </c>
      <c r="S1819" t="str">
        <f t="shared" si="140"/>
        <v>PX: Baja Crit.</v>
      </c>
      <c r="T1819">
        <f t="shared" si="141"/>
        <v>0</v>
      </c>
      <c r="U1819">
        <f t="shared" si="142"/>
        <v>0</v>
      </c>
      <c r="V1819">
        <f t="shared" si="143"/>
        <v>1</v>
      </c>
      <c r="W1819">
        <f t="shared" si="144"/>
        <v>0</v>
      </c>
      <c r="X1819">
        <v>1</v>
      </c>
      <c r="Y1819" s="2">
        <v>45768</v>
      </c>
      <c r="Z1819" s="3" t="s">
        <v>70</v>
      </c>
      <c r="AA1819" t="s">
        <v>39</v>
      </c>
      <c r="AB1819" t="s">
        <v>40</v>
      </c>
      <c r="AC1819" t="s">
        <v>40</v>
      </c>
      <c r="AD1819" t="s">
        <v>184</v>
      </c>
    </row>
    <row r="1820" spans="2:30">
      <c r="B1820">
        <v>1</v>
      </c>
      <c r="C1820">
        <v>1020</v>
      </c>
      <c r="D1820" t="s">
        <v>181</v>
      </c>
      <c r="E1820">
        <v>14175688</v>
      </c>
      <c r="F1820" t="s">
        <v>1915</v>
      </c>
      <c r="G1820" t="s">
        <v>31</v>
      </c>
      <c r="H1820" t="s">
        <v>32</v>
      </c>
      <c r="I1820" t="s">
        <v>183</v>
      </c>
      <c r="J1820" t="s">
        <v>45</v>
      </c>
      <c r="K1820" t="s">
        <v>35</v>
      </c>
      <c r="L1820" t="s">
        <v>36</v>
      </c>
      <c r="M1820" t="s">
        <v>69</v>
      </c>
      <c r="N1820">
        <v>8</v>
      </c>
      <c r="O1820">
        <v>4</v>
      </c>
      <c r="P1820">
        <v>0</v>
      </c>
      <c r="Q1820">
        <v>8</v>
      </c>
      <c r="R1820" s="4">
        <v>1186.3699999999999</v>
      </c>
      <c r="S1820" t="str">
        <f t="shared" si="140"/>
        <v>PX: Baja Crit.</v>
      </c>
      <c r="T1820">
        <f t="shared" si="141"/>
        <v>0</v>
      </c>
      <c r="U1820">
        <f t="shared" si="142"/>
        <v>0</v>
      </c>
      <c r="V1820">
        <f t="shared" si="143"/>
        <v>1</v>
      </c>
      <c r="W1820">
        <f t="shared" si="144"/>
        <v>0</v>
      </c>
      <c r="X1820">
        <v>1</v>
      </c>
      <c r="Y1820" s="2">
        <v>45768</v>
      </c>
      <c r="Z1820" s="3" t="s">
        <v>70</v>
      </c>
      <c r="AA1820" t="s">
        <v>39</v>
      </c>
      <c r="AB1820" t="s">
        <v>40</v>
      </c>
      <c r="AC1820" t="s">
        <v>40</v>
      </c>
      <c r="AD1820" t="s">
        <v>184</v>
      </c>
    </row>
    <row r="1821" spans="2:30">
      <c r="B1821">
        <v>1</v>
      </c>
      <c r="C1821">
        <v>1020</v>
      </c>
      <c r="D1821" t="s">
        <v>181</v>
      </c>
      <c r="E1821">
        <v>14175689</v>
      </c>
      <c r="F1821" t="s">
        <v>1691</v>
      </c>
      <c r="G1821" t="s">
        <v>31</v>
      </c>
      <c r="H1821" t="s">
        <v>32</v>
      </c>
      <c r="I1821" t="s">
        <v>183</v>
      </c>
      <c r="J1821" t="s">
        <v>45</v>
      </c>
      <c r="K1821" t="s">
        <v>35</v>
      </c>
      <c r="L1821" t="s">
        <v>36</v>
      </c>
      <c r="M1821" t="s">
        <v>69</v>
      </c>
      <c r="N1821">
        <v>8</v>
      </c>
      <c r="O1821">
        <v>4</v>
      </c>
      <c r="P1821">
        <v>0</v>
      </c>
      <c r="Q1821">
        <v>8</v>
      </c>
      <c r="R1821" s="4">
        <v>1020.21</v>
      </c>
      <c r="S1821" t="str">
        <f t="shared" si="140"/>
        <v>PX: Baja Crit.</v>
      </c>
      <c r="T1821">
        <f t="shared" si="141"/>
        <v>0</v>
      </c>
      <c r="U1821">
        <f t="shared" si="142"/>
        <v>0</v>
      </c>
      <c r="V1821">
        <f t="shared" si="143"/>
        <v>1</v>
      </c>
      <c r="W1821">
        <f t="shared" si="144"/>
        <v>0</v>
      </c>
      <c r="X1821">
        <v>1</v>
      </c>
      <c r="Y1821" s="2">
        <v>45768</v>
      </c>
      <c r="Z1821" s="3" t="s">
        <v>70</v>
      </c>
      <c r="AA1821" t="s">
        <v>39</v>
      </c>
      <c r="AB1821" t="s">
        <v>40</v>
      </c>
      <c r="AC1821" t="s">
        <v>40</v>
      </c>
      <c r="AD1821" t="s">
        <v>184</v>
      </c>
    </row>
    <row r="1822" spans="2:30">
      <c r="B1822">
        <v>1</v>
      </c>
      <c r="C1822">
        <v>1020</v>
      </c>
      <c r="D1822" t="s">
        <v>181</v>
      </c>
      <c r="E1822">
        <v>14175690</v>
      </c>
      <c r="F1822" t="s">
        <v>1916</v>
      </c>
      <c r="G1822" t="s">
        <v>31</v>
      </c>
      <c r="H1822" t="s">
        <v>32</v>
      </c>
      <c r="I1822" t="s">
        <v>183</v>
      </c>
      <c r="J1822" t="s">
        <v>45</v>
      </c>
      <c r="K1822" t="s">
        <v>35</v>
      </c>
      <c r="L1822" t="s">
        <v>36</v>
      </c>
      <c r="M1822" t="s">
        <v>69</v>
      </c>
      <c r="N1822">
        <v>8</v>
      </c>
      <c r="O1822">
        <v>4</v>
      </c>
      <c r="P1822">
        <v>0</v>
      </c>
      <c r="Q1822">
        <v>8</v>
      </c>
      <c r="R1822" s="4">
        <v>1064.75</v>
      </c>
      <c r="S1822" t="str">
        <f t="shared" si="140"/>
        <v>PX: Baja Crit.</v>
      </c>
      <c r="T1822">
        <f t="shared" si="141"/>
        <v>0</v>
      </c>
      <c r="U1822">
        <f t="shared" si="142"/>
        <v>0</v>
      </c>
      <c r="V1822">
        <f t="shared" si="143"/>
        <v>1</v>
      </c>
      <c r="W1822">
        <f t="shared" si="144"/>
        <v>0</v>
      </c>
      <c r="X1822">
        <v>1</v>
      </c>
      <c r="Y1822" s="2">
        <v>45768</v>
      </c>
      <c r="Z1822" s="3" t="s">
        <v>70</v>
      </c>
      <c r="AA1822" t="s">
        <v>39</v>
      </c>
      <c r="AB1822" t="s">
        <v>40</v>
      </c>
      <c r="AC1822" t="s">
        <v>40</v>
      </c>
      <c r="AD1822" t="s">
        <v>184</v>
      </c>
    </row>
    <row r="1823" spans="2:30">
      <c r="B1823">
        <v>1</v>
      </c>
      <c r="C1823">
        <v>1020</v>
      </c>
      <c r="D1823" t="s">
        <v>181</v>
      </c>
      <c r="E1823">
        <v>14175696</v>
      </c>
      <c r="F1823" t="s">
        <v>1917</v>
      </c>
      <c r="G1823" t="s">
        <v>31</v>
      </c>
      <c r="H1823" t="s">
        <v>32</v>
      </c>
      <c r="I1823" t="s">
        <v>183</v>
      </c>
      <c r="J1823" t="s">
        <v>45</v>
      </c>
      <c r="K1823" t="s">
        <v>35</v>
      </c>
      <c r="L1823" t="s">
        <v>36</v>
      </c>
      <c r="M1823" t="s">
        <v>69</v>
      </c>
      <c r="N1823">
        <v>8</v>
      </c>
      <c r="O1823">
        <v>4</v>
      </c>
      <c r="P1823">
        <v>0</v>
      </c>
      <c r="Q1823">
        <v>8</v>
      </c>
      <c r="R1823" s="4">
        <v>1463.37</v>
      </c>
      <c r="S1823" t="str">
        <f t="shared" si="140"/>
        <v>PX: Baja Crit.</v>
      </c>
      <c r="T1823">
        <f t="shared" si="141"/>
        <v>0</v>
      </c>
      <c r="U1823">
        <f t="shared" si="142"/>
        <v>0</v>
      </c>
      <c r="V1823">
        <f t="shared" si="143"/>
        <v>1</v>
      </c>
      <c r="W1823">
        <f t="shared" si="144"/>
        <v>0</v>
      </c>
      <c r="X1823">
        <v>1</v>
      </c>
      <c r="Y1823" s="2">
        <v>45768</v>
      </c>
      <c r="Z1823" s="3" t="s">
        <v>70</v>
      </c>
      <c r="AA1823" t="s">
        <v>39</v>
      </c>
      <c r="AB1823" t="s">
        <v>40</v>
      </c>
      <c r="AC1823" t="s">
        <v>40</v>
      </c>
      <c r="AD1823" t="s">
        <v>184</v>
      </c>
    </row>
    <row r="1824" spans="2:30">
      <c r="B1824">
        <v>1</v>
      </c>
      <c r="C1824">
        <v>1020</v>
      </c>
      <c r="D1824" t="s">
        <v>181</v>
      </c>
      <c r="E1824">
        <v>14175697</v>
      </c>
      <c r="F1824" t="s">
        <v>1918</v>
      </c>
      <c r="G1824" t="s">
        <v>31</v>
      </c>
      <c r="H1824" t="s">
        <v>32</v>
      </c>
      <c r="I1824" t="s">
        <v>183</v>
      </c>
      <c r="J1824" t="s">
        <v>45</v>
      </c>
      <c r="K1824" t="s">
        <v>35</v>
      </c>
      <c r="L1824" t="s">
        <v>36</v>
      </c>
      <c r="M1824" t="s">
        <v>69</v>
      </c>
      <c r="N1824">
        <v>8</v>
      </c>
      <c r="O1824">
        <v>4</v>
      </c>
      <c r="P1824">
        <v>0</v>
      </c>
      <c r="Q1824">
        <v>5</v>
      </c>
      <c r="R1824">
        <v>853.66</v>
      </c>
      <c r="S1824" t="str">
        <f t="shared" si="140"/>
        <v>PX: Baja Crit.</v>
      </c>
      <c r="T1824">
        <f t="shared" si="141"/>
        <v>0</v>
      </c>
      <c r="U1824">
        <f t="shared" si="142"/>
        <v>0</v>
      </c>
      <c r="V1824">
        <f t="shared" si="143"/>
        <v>1</v>
      </c>
      <c r="W1824">
        <f t="shared" si="144"/>
        <v>0</v>
      </c>
      <c r="X1824">
        <v>1</v>
      </c>
      <c r="Y1824" s="2">
        <v>45768</v>
      </c>
      <c r="Z1824" s="3" t="s">
        <v>70</v>
      </c>
      <c r="AA1824" t="s">
        <v>39</v>
      </c>
      <c r="AB1824" t="s">
        <v>49</v>
      </c>
      <c r="AC1824" s="5" t="s">
        <v>50</v>
      </c>
      <c r="AD1824" t="s">
        <v>184</v>
      </c>
    </row>
    <row r="1825" spans="2:30">
      <c r="B1825">
        <v>1</v>
      </c>
      <c r="C1825">
        <v>1020</v>
      </c>
      <c r="D1825" t="s">
        <v>181</v>
      </c>
      <c r="E1825">
        <v>14175698</v>
      </c>
      <c r="F1825" t="s">
        <v>1919</v>
      </c>
      <c r="G1825" t="s">
        <v>31</v>
      </c>
      <c r="H1825" t="s">
        <v>32</v>
      </c>
      <c r="I1825" t="s">
        <v>183</v>
      </c>
      <c r="J1825" t="s">
        <v>45</v>
      </c>
      <c r="K1825" t="s">
        <v>35</v>
      </c>
      <c r="L1825" t="s">
        <v>36</v>
      </c>
      <c r="M1825" t="s">
        <v>69</v>
      </c>
      <c r="N1825">
        <v>8</v>
      </c>
      <c r="O1825">
        <v>4</v>
      </c>
      <c r="P1825">
        <v>0</v>
      </c>
      <c r="Q1825">
        <v>8</v>
      </c>
      <c r="R1825" s="4">
        <v>1985.27</v>
      </c>
      <c r="S1825" t="str">
        <f t="shared" si="140"/>
        <v>PX: Baja Crit.</v>
      </c>
      <c r="T1825">
        <f t="shared" si="141"/>
        <v>0</v>
      </c>
      <c r="U1825">
        <f t="shared" si="142"/>
        <v>0</v>
      </c>
      <c r="V1825">
        <f t="shared" si="143"/>
        <v>1</v>
      </c>
      <c r="W1825">
        <f t="shared" si="144"/>
        <v>0</v>
      </c>
      <c r="X1825">
        <v>1</v>
      </c>
      <c r="Y1825" s="2">
        <v>45768</v>
      </c>
      <c r="Z1825" s="3" t="s">
        <v>70</v>
      </c>
      <c r="AA1825" t="s">
        <v>39</v>
      </c>
      <c r="AB1825" t="s">
        <v>40</v>
      </c>
      <c r="AC1825" t="s">
        <v>40</v>
      </c>
      <c r="AD1825" t="s">
        <v>184</v>
      </c>
    </row>
    <row r="1826" spans="2:30">
      <c r="B1826">
        <v>1</v>
      </c>
      <c r="C1826">
        <v>1020</v>
      </c>
      <c r="D1826" t="s">
        <v>181</v>
      </c>
      <c r="E1826">
        <v>14175700</v>
      </c>
      <c r="F1826" t="s">
        <v>1920</v>
      </c>
      <c r="G1826" t="s">
        <v>31</v>
      </c>
      <c r="H1826" t="s">
        <v>32</v>
      </c>
      <c r="I1826" t="s">
        <v>183</v>
      </c>
      <c r="J1826" t="s">
        <v>45</v>
      </c>
      <c r="K1826" t="s">
        <v>35</v>
      </c>
      <c r="L1826" t="s">
        <v>36</v>
      </c>
      <c r="M1826" t="s">
        <v>69</v>
      </c>
      <c r="N1826">
        <v>8</v>
      </c>
      <c r="O1826">
        <v>4</v>
      </c>
      <c r="P1826">
        <v>0</v>
      </c>
      <c r="Q1826">
        <v>8</v>
      </c>
      <c r="R1826" s="4">
        <v>2290.6</v>
      </c>
      <c r="S1826" t="str">
        <f t="shared" si="140"/>
        <v>PX: Baja Crit.</v>
      </c>
      <c r="T1826">
        <f t="shared" si="141"/>
        <v>0</v>
      </c>
      <c r="U1826">
        <f t="shared" si="142"/>
        <v>0</v>
      </c>
      <c r="V1826">
        <f t="shared" si="143"/>
        <v>1</v>
      </c>
      <c r="W1826">
        <f t="shared" si="144"/>
        <v>0</v>
      </c>
      <c r="X1826">
        <v>1</v>
      </c>
      <c r="Y1826" s="2">
        <v>45768</v>
      </c>
      <c r="Z1826" s="3" t="s">
        <v>70</v>
      </c>
      <c r="AA1826" t="s">
        <v>39</v>
      </c>
      <c r="AB1826" t="s">
        <v>40</v>
      </c>
      <c r="AC1826" t="s">
        <v>40</v>
      </c>
      <c r="AD1826" t="s">
        <v>184</v>
      </c>
    </row>
    <row r="1827" spans="2:30">
      <c r="B1827">
        <v>1</v>
      </c>
      <c r="C1827">
        <v>1020</v>
      </c>
      <c r="D1827" t="s">
        <v>181</v>
      </c>
      <c r="E1827">
        <v>14175701</v>
      </c>
      <c r="F1827" t="s">
        <v>1921</v>
      </c>
      <c r="G1827" t="s">
        <v>31</v>
      </c>
      <c r="H1827" t="s">
        <v>32</v>
      </c>
      <c r="I1827" t="s">
        <v>183</v>
      </c>
      <c r="J1827" t="s">
        <v>45</v>
      </c>
      <c r="K1827" t="s">
        <v>35</v>
      </c>
      <c r="L1827" t="s">
        <v>36</v>
      </c>
      <c r="M1827" t="s">
        <v>69</v>
      </c>
      <c r="N1827">
        <v>2</v>
      </c>
      <c r="O1827">
        <v>1</v>
      </c>
      <c r="P1827">
        <v>0</v>
      </c>
      <c r="Q1827">
        <v>2</v>
      </c>
      <c r="R1827">
        <v>903.98</v>
      </c>
      <c r="S1827" t="str">
        <f t="shared" si="140"/>
        <v>PX: Baja Crit.</v>
      </c>
      <c r="T1827">
        <f t="shared" si="141"/>
        <v>0</v>
      </c>
      <c r="U1827">
        <f t="shared" si="142"/>
        <v>0</v>
      </c>
      <c r="V1827">
        <f t="shared" si="143"/>
        <v>1</v>
      </c>
      <c r="W1827">
        <f t="shared" si="144"/>
        <v>0</v>
      </c>
      <c r="X1827">
        <v>1</v>
      </c>
      <c r="Y1827" s="2">
        <v>45768</v>
      </c>
      <c r="Z1827" s="3" t="s">
        <v>70</v>
      </c>
      <c r="AA1827" t="s">
        <v>39</v>
      </c>
      <c r="AB1827" t="s">
        <v>40</v>
      </c>
      <c r="AC1827" t="s">
        <v>40</v>
      </c>
      <c r="AD1827" t="s">
        <v>184</v>
      </c>
    </row>
    <row r="1828" spans="2:30">
      <c r="B1828">
        <v>1</v>
      </c>
      <c r="C1828">
        <v>1020</v>
      </c>
      <c r="D1828" t="s">
        <v>181</v>
      </c>
      <c r="E1828">
        <v>14175702</v>
      </c>
      <c r="F1828" t="s">
        <v>1922</v>
      </c>
      <c r="G1828" t="s">
        <v>31</v>
      </c>
      <c r="H1828" t="s">
        <v>32</v>
      </c>
      <c r="I1828" t="s">
        <v>183</v>
      </c>
      <c r="J1828" t="s">
        <v>45</v>
      </c>
      <c r="K1828" t="s">
        <v>35</v>
      </c>
      <c r="L1828" t="s">
        <v>36</v>
      </c>
      <c r="M1828" t="s">
        <v>69</v>
      </c>
      <c r="N1828">
        <v>4</v>
      </c>
      <c r="O1828">
        <v>2</v>
      </c>
      <c r="P1828">
        <v>1</v>
      </c>
      <c r="Q1828">
        <v>4</v>
      </c>
      <c r="R1828" s="4">
        <v>1319.15</v>
      </c>
      <c r="S1828" t="str">
        <f t="shared" si="140"/>
        <v>PX: Baja Crit.</v>
      </c>
      <c r="T1828">
        <f t="shared" si="141"/>
        <v>0</v>
      </c>
      <c r="U1828">
        <f t="shared" si="142"/>
        <v>0</v>
      </c>
      <c r="V1828">
        <f t="shared" si="143"/>
        <v>1</v>
      </c>
      <c r="W1828">
        <f t="shared" si="144"/>
        <v>0</v>
      </c>
      <c r="X1828">
        <v>1</v>
      </c>
      <c r="Y1828" s="2">
        <v>45768</v>
      </c>
      <c r="Z1828" s="3" t="s">
        <v>70</v>
      </c>
      <c r="AA1828" t="s">
        <v>39</v>
      </c>
      <c r="AB1828" t="s">
        <v>40</v>
      </c>
      <c r="AC1828" t="s">
        <v>40</v>
      </c>
      <c r="AD1828" t="s">
        <v>184</v>
      </c>
    </row>
    <row r="1829" spans="2:30">
      <c r="B1829">
        <v>1</v>
      </c>
      <c r="C1829">
        <v>1020</v>
      </c>
      <c r="D1829" t="s">
        <v>181</v>
      </c>
      <c r="E1829">
        <v>14175703</v>
      </c>
      <c r="F1829" t="s">
        <v>1923</v>
      </c>
      <c r="G1829" t="s">
        <v>31</v>
      </c>
      <c r="H1829" t="s">
        <v>32</v>
      </c>
      <c r="I1829" t="s">
        <v>183</v>
      </c>
      <c r="J1829" t="s">
        <v>45</v>
      </c>
      <c r="K1829" t="s">
        <v>35</v>
      </c>
      <c r="L1829" t="s">
        <v>36</v>
      </c>
      <c r="M1829" t="s">
        <v>69</v>
      </c>
      <c r="N1829">
        <v>4</v>
      </c>
      <c r="O1829">
        <v>2</v>
      </c>
      <c r="P1829">
        <v>0</v>
      </c>
      <c r="Q1829">
        <v>4</v>
      </c>
      <c r="R1829" s="4">
        <v>1967.73</v>
      </c>
      <c r="S1829" t="str">
        <f t="shared" si="140"/>
        <v>PX: Baja Crit.</v>
      </c>
      <c r="T1829">
        <f t="shared" si="141"/>
        <v>0</v>
      </c>
      <c r="U1829">
        <f t="shared" si="142"/>
        <v>0</v>
      </c>
      <c r="V1829">
        <f t="shared" si="143"/>
        <v>1</v>
      </c>
      <c r="W1829">
        <f t="shared" si="144"/>
        <v>0</v>
      </c>
      <c r="X1829">
        <v>1</v>
      </c>
      <c r="Y1829" s="2">
        <v>45768</v>
      </c>
      <c r="Z1829" s="3" t="s">
        <v>70</v>
      </c>
      <c r="AA1829" t="s">
        <v>39</v>
      </c>
      <c r="AB1829" t="s">
        <v>40</v>
      </c>
      <c r="AC1829" t="s">
        <v>40</v>
      </c>
      <c r="AD1829" t="s">
        <v>184</v>
      </c>
    </row>
    <row r="1830" spans="2:30">
      <c r="B1830">
        <v>1</v>
      </c>
      <c r="C1830">
        <v>1020</v>
      </c>
      <c r="D1830" t="s">
        <v>181</v>
      </c>
      <c r="E1830">
        <v>14182320</v>
      </c>
      <c r="F1830" t="s">
        <v>1924</v>
      </c>
      <c r="G1830" t="s">
        <v>52</v>
      </c>
      <c r="H1830" t="s">
        <v>60</v>
      </c>
      <c r="I1830" t="s">
        <v>183</v>
      </c>
      <c r="J1830" t="s">
        <v>45</v>
      </c>
      <c r="K1830" t="s">
        <v>35</v>
      </c>
      <c r="L1830" t="s">
        <v>36</v>
      </c>
      <c r="M1830" t="s">
        <v>69</v>
      </c>
      <c r="N1830">
        <v>18</v>
      </c>
      <c r="O1830">
        <v>11</v>
      </c>
      <c r="P1830">
        <v>0</v>
      </c>
      <c r="Q1830">
        <v>0</v>
      </c>
      <c r="R1830">
        <v>0</v>
      </c>
      <c r="S1830" t="str">
        <f t="shared" si="140"/>
        <v>PZ: Alta Crit.</v>
      </c>
      <c r="T1830">
        <f t="shared" si="141"/>
        <v>1</v>
      </c>
      <c r="U1830">
        <f t="shared" si="142"/>
        <v>0</v>
      </c>
      <c r="V1830">
        <f t="shared" si="143"/>
        <v>0</v>
      </c>
      <c r="W1830">
        <f t="shared" si="144"/>
        <v>0</v>
      </c>
      <c r="X1830">
        <v>1</v>
      </c>
      <c r="Y1830" s="2">
        <v>45768</v>
      </c>
      <c r="Z1830" s="3" t="s">
        <v>70</v>
      </c>
      <c r="AA1830" t="s">
        <v>39</v>
      </c>
      <c r="AB1830" t="s">
        <v>76</v>
      </c>
      <c r="AC1830" s="5" t="s">
        <v>77</v>
      </c>
      <c r="AD1830" t="s">
        <v>184</v>
      </c>
    </row>
    <row r="1831" spans="2:30">
      <c r="B1831">
        <v>1</v>
      </c>
      <c r="C1831">
        <v>1020</v>
      </c>
      <c r="D1831" t="s">
        <v>181</v>
      </c>
      <c r="E1831">
        <v>14183746</v>
      </c>
      <c r="F1831" t="s">
        <v>1925</v>
      </c>
      <c r="G1831" t="s">
        <v>43</v>
      </c>
      <c r="H1831" t="s">
        <v>44</v>
      </c>
      <c r="I1831" t="s">
        <v>183</v>
      </c>
      <c r="J1831" t="s">
        <v>45</v>
      </c>
      <c r="K1831" t="s">
        <v>35</v>
      </c>
      <c r="L1831" t="s">
        <v>36</v>
      </c>
      <c r="M1831" t="s">
        <v>46</v>
      </c>
      <c r="N1831">
        <v>2</v>
      </c>
      <c r="O1831">
        <v>1</v>
      </c>
      <c r="P1831">
        <v>0</v>
      </c>
      <c r="Q1831">
        <v>2</v>
      </c>
      <c r="R1831" s="4">
        <v>1658.73</v>
      </c>
      <c r="S1831" t="str">
        <f t="shared" si="140"/>
        <v>PY: Media Crit.</v>
      </c>
      <c r="T1831">
        <f t="shared" si="141"/>
        <v>0</v>
      </c>
      <c r="U1831">
        <f t="shared" si="142"/>
        <v>0</v>
      </c>
      <c r="V1831">
        <f t="shared" si="143"/>
        <v>1</v>
      </c>
      <c r="W1831">
        <f t="shared" si="144"/>
        <v>0</v>
      </c>
      <c r="X1831">
        <v>1</v>
      </c>
      <c r="Y1831" s="2">
        <v>45768</v>
      </c>
      <c r="Z1831" s="3" t="s">
        <v>47</v>
      </c>
      <c r="AA1831" t="s">
        <v>39</v>
      </c>
      <c r="AB1831" t="s">
        <v>40</v>
      </c>
      <c r="AC1831" t="s">
        <v>40</v>
      </c>
      <c r="AD1831" t="s">
        <v>184</v>
      </c>
    </row>
    <row r="1832" spans="2:30">
      <c r="B1832">
        <v>1</v>
      </c>
      <c r="C1832">
        <v>1020</v>
      </c>
      <c r="D1832" t="s">
        <v>181</v>
      </c>
      <c r="E1832">
        <v>14183747</v>
      </c>
      <c r="F1832" t="s">
        <v>1926</v>
      </c>
      <c r="G1832" t="s">
        <v>43</v>
      </c>
      <c r="H1832" t="s">
        <v>44</v>
      </c>
      <c r="I1832" t="s">
        <v>183</v>
      </c>
      <c r="J1832" t="s">
        <v>45</v>
      </c>
      <c r="K1832" t="s">
        <v>35</v>
      </c>
      <c r="L1832" t="s">
        <v>36</v>
      </c>
      <c r="M1832" t="s">
        <v>46</v>
      </c>
      <c r="N1832">
        <v>2</v>
      </c>
      <c r="O1832">
        <v>1</v>
      </c>
      <c r="P1832">
        <v>0</v>
      </c>
      <c r="Q1832">
        <v>2</v>
      </c>
      <c r="R1832" s="4">
        <v>1658.73</v>
      </c>
      <c r="S1832" t="str">
        <f t="shared" si="140"/>
        <v>PY: Media Crit.</v>
      </c>
      <c r="T1832">
        <f t="shared" si="141"/>
        <v>0</v>
      </c>
      <c r="U1832">
        <f t="shared" si="142"/>
        <v>0</v>
      </c>
      <c r="V1832">
        <f t="shared" si="143"/>
        <v>1</v>
      </c>
      <c r="W1832">
        <f t="shared" si="144"/>
        <v>0</v>
      </c>
      <c r="X1832">
        <v>1</v>
      </c>
      <c r="Y1832" s="2">
        <v>45768</v>
      </c>
      <c r="Z1832" s="3" t="s">
        <v>47</v>
      </c>
      <c r="AA1832" t="s">
        <v>39</v>
      </c>
      <c r="AB1832" t="s">
        <v>40</v>
      </c>
      <c r="AC1832" t="s">
        <v>40</v>
      </c>
      <c r="AD1832" t="s">
        <v>184</v>
      </c>
    </row>
    <row r="1833" spans="2:30">
      <c r="B1833">
        <v>1</v>
      </c>
      <c r="C1833">
        <v>1020</v>
      </c>
      <c r="D1833" t="s">
        <v>181</v>
      </c>
      <c r="E1833">
        <v>14183748</v>
      </c>
      <c r="F1833" t="s">
        <v>1927</v>
      </c>
      <c r="G1833" t="s">
        <v>43</v>
      </c>
      <c r="H1833" t="s">
        <v>44</v>
      </c>
      <c r="I1833" t="s">
        <v>183</v>
      </c>
      <c r="J1833" t="s">
        <v>45</v>
      </c>
      <c r="K1833" t="s">
        <v>35</v>
      </c>
      <c r="L1833" t="s">
        <v>36</v>
      </c>
      <c r="M1833" t="s">
        <v>46</v>
      </c>
      <c r="N1833">
        <v>2</v>
      </c>
      <c r="O1833">
        <v>2</v>
      </c>
      <c r="P1833">
        <v>0</v>
      </c>
      <c r="Q1833">
        <v>1</v>
      </c>
      <c r="R1833">
        <v>829.36</v>
      </c>
      <c r="S1833" t="str">
        <f t="shared" si="140"/>
        <v>PY: Media Crit.</v>
      </c>
      <c r="T1833">
        <f t="shared" si="141"/>
        <v>0</v>
      </c>
      <c r="U1833">
        <f t="shared" si="142"/>
        <v>0</v>
      </c>
      <c r="V1833">
        <f t="shared" si="143"/>
        <v>1</v>
      </c>
      <c r="W1833">
        <f t="shared" si="144"/>
        <v>0</v>
      </c>
      <c r="X1833">
        <v>1</v>
      </c>
      <c r="Y1833" s="2">
        <v>45768</v>
      </c>
      <c r="Z1833" s="3" t="s">
        <v>47</v>
      </c>
      <c r="AA1833" t="s">
        <v>39</v>
      </c>
      <c r="AB1833" t="s">
        <v>49</v>
      </c>
      <c r="AC1833" s="5" t="s">
        <v>50</v>
      </c>
      <c r="AD1833" t="s">
        <v>184</v>
      </c>
    </row>
    <row r="1834" spans="2:30">
      <c r="B1834">
        <v>1</v>
      </c>
      <c r="C1834">
        <v>1020</v>
      </c>
      <c r="D1834" t="s">
        <v>388</v>
      </c>
      <c r="E1834">
        <v>14188572</v>
      </c>
      <c r="F1834" t="s">
        <v>1928</v>
      </c>
      <c r="G1834" t="s">
        <v>43</v>
      </c>
      <c r="H1834" t="s">
        <v>60</v>
      </c>
      <c r="I1834" t="s">
        <v>390</v>
      </c>
      <c r="J1834" t="s">
        <v>45</v>
      </c>
      <c r="K1834" t="s">
        <v>35</v>
      </c>
      <c r="L1834" t="s">
        <v>175</v>
      </c>
      <c r="M1834" t="s">
        <v>69</v>
      </c>
      <c r="N1834">
        <v>0</v>
      </c>
      <c r="O1834">
        <v>0</v>
      </c>
      <c r="P1834">
        <v>12</v>
      </c>
      <c r="Q1834">
        <v>12</v>
      </c>
      <c r="R1834" s="4">
        <v>7186.49</v>
      </c>
      <c r="S1834" t="str">
        <f t="shared" si="140"/>
        <v>PY: Media Crit.</v>
      </c>
      <c r="T1834">
        <f t="shared" si="141"/>
        <v>0</v>
      </c>
      <c r="U1834">
        <f t="shared" si="142"/>
        <v>1</v>
      </c>
      <c r="V1834">
        <f t="shared" si="143"/>
        <v>0</v>
      </c>
      <c r="W1834">
        <f t="shared" si="144"/>
        <v>1</v>
      </c>
      <c r="X1834">
        <v>1</v>
      </c>
      <c r="Y1834" s="2">
        <v>45768</v>
      </c>
      <c r="Z1834" s="3" t="s">
        <v>70</v>
      </c>
      <c r="AA1834" t="s">
        <v>39</v>
      </c>
      <c r="AB1834" t="s">
        <v>49</v>
      </c>
      <c r="AC1834" s="5" t="s">
        <v>50</v>
      </c>
      <c r="AD1834" t="s">
        <v>391</v>
      </c>
    </row>
    <row r="1835" spans="2:30">
      <c r="B1835">
        <v>1</v>
      </c>
      <c r="C1835">
        <v>1020</v>
      </c>
      <c r="D1835" t="s">
        <v>388</v>
      </c>
      <c r="E1835">
        <v>14189280</v>
      </c>
      <c r="F1835" t="s">
        <v>1929</v>
      </c>
      <c r="G1835" t="s">
        <v>52</v>
      </c>
      <c r="H1835" t="s">
        <v>60</v>
      </c>
      <c r="I1835" t="s">
        <v>390</v>
      </c>
      <c r="J1835" t="s">
        <v>45</v>
      </c>
      <c r="K1835" t="s">
        <v>35</v>
      </c>
      <c r="L1835" t="s">
        <v>175</v>
      </c>
      <c r="M1835" t="s">
        <v>37</v>
      </c>
      <c r="N1835">
        <v>0</v>
      </c>
      <c r="O1835">
        <v>0</v>
      </c>
      <c r="P1835">
        <v>8</v>
      </c>
      <c r="Q1835">
        <v>0</v>
      </c>
      <c r="R1835">
        <v>0</v>
      </c>
      <c r="S1835" t="str">
        <f t="shared" si="140"/>
        <v>PZ: Alta Crit.</v>
      </c>
      <c r="T1835">
        <f t="shared" si="141"/>
        <v>1</v>
      </c>
      <c r="U1835">
        <f t="shared" si="142"/>
        <v>0</v>
      </c>
      <c r="V1835">
        <f t="shared" si="143"/>
        <v>0</v>
      </c>
      <c r="W1835">
        <f t="shared" si="144"/>
        <v>0</v>
      </c>
      <c r="X1835">
        <v>1</v>
      </c>
      <c r="Y1835" s="2">
        <v>45768</v>
      </c>
      <c r="Z1835" s="3" t="s">
        <v>38</v>
      </c>
      <c r="AA1835" t="s">
        <v>39</v>
      </c>
      <c r="AB1835" t="s">
        <v>76</v>
      </c>
      <c r="AC1835" s="5" t="s">
        <v>77</v>
      </c>
      <c r="AD1835" t="s">
        <v>391</v>
      </c>
    </row>
    <row r="1836" spans="2:30">
      <c r="B1836">
        <v>1</v>
      </c>
      <c r="C1836">
        <v>1020</v>
      </c>
      <c r="D1836" t="s">
        <v>388</v>
      </c>
      <c r="E1836">
        <v>14190738</v>
      </c>
      <c r="F1836" t="s">
        <v>1930</v>
      </c>
      <c r="G1836" t="s">
        <v>52</v>
      </c>
      <c r="H1836" t="s">
        <v>44</v>
      </c>
      <c r="I1836" t="s">
        <v>390</v>
      </c>
      <c r="J1836" t="s">
        <v>45</v>
      </c>
      <c r="K1836" t="s">
        <v>35</v>
      </c>
      <c r="L1836" t="s">
        <v>175</v>
      </c>
      <c r="M1836" t="s">
        <v>69</v>
      </c>
      <c r="N1836">
        <v>0</v>
      </c>
      <c r="O1836">
        <v>0</v>
      </c>
      <c r="P1836">
        <v>5</v>
      </c>
      <c r="Q1836">
        <v>4</v>
      </c>
      <c r="R1836" s="4">
        <v>31312.86</v>
      </c>
      <c r="S1836" t="str">
        <f t="shared" si="140"/>
        <v>PZ: Alta Crit.</v>
      </c>
      <c r="T1836">
        <f t="shared" si="141"/>
        <v>0</v>
      </c>
      <c r="U1836">
        <f t="shared" si="142"/>
        <v>1</v>
      </c>
      <c r="V1836">
        <f t="shared" si="143"/>
        <v>0</v>
      </c>
      <c r="W1836">
        <f t="shared" si="144"/>
        <v>1</v>
      </c>
      <c r="X1836">
        <v>1</v>
      </c>
      <c r="Y1836" s="2">
        <v>45768</v>
      </c>
      <c r="Z1836" s="3" t="s">
        <v>70</v>
      </c>
      <c r="AA1836" t="s">
        <v>39</v>
      </c>
      <c r="AB1836" t="s">
        <v>49</v>
      </c>
      <c r="AC1836" s="5" t="s">
        <v>50</v>
      </c>
      <c r="AD1836" t="s">
        <v>391</v>
      </c>
    </row>
    <row r="1837" spans="2:30">
      <c r="B1837">
        <v>1</v>
      </c>
      <c r="C1837">
        <v>1020</v>
      </c>
      <c r="D1837" t="s">
        <v>388</v>
      </c>
      <c r="E1837">
        <v>14197492</v>
      </c>
      <c r="F1837" t="s">
        <v>1931</v>
      </c>
      <c r="G1837" t="s">
        <v>52</v>
      </c>
      <c r="H1837" t="s">
        <v>44</v>
      </c>
      <c r="I1837" t="s">
        <v>390</v>
      </c>
      <c r="J1837" t="s">
        <v>45</v>
      </c>
      <c r="K1837" t="s">
        <v>35</v>
      </c>
      <c r="L1837" t="s">
        <v>175</v>
      </c>
      <c r="M1837" t="s">
        <v>46</v>
      </c>
      <c r="N1837">
        <v>0</v>
      </c>
      <c r="O1837">
        <v>0</v>
      </c>
      <c r="P1837">
        <v>1</v>
      </c>
      <c r="Q1837">
        <v>0</v>
      </c>
      <c r="R1837">
        <v>0</v>
      </c>
      <c r="S1837" t="str">
        <f t="shared" si="140"/>
        <v>PZ: Alta Crit.</v>
      </c>
      <c r="T1837">
        <f t="shared" si="141"/>
        <v>1</v>
      </c>
      <c r="U1837">
        <f t="shared" si="142"/>
        <v>0</v>
      </c>
      <c r="V1837">
        <f t="shared" si="143"/>
        <v>0</v>
      </c>
      <c r="W1837">
        <f t="shared" si="144"/>
        <v>0</v>
      </c>
      <c r="X1837">
        <v>1</v>
      </c>
      <c r="Y1837" s="2">
        <v>45768</v>
      </c>
      <c r="Z1837" s="3" t="s">
        <v>47</v>
      </c>
      <c r="AA1837" t="s">
        <v>39</v>
      </c>
      <c r="AB1837" t="s">
        <v>49</v>
      </c>
      <c r="AC1837" s="5" t="s">
        <v>50</v>
      </c>
      <c r="AD1837" t="s">
        <v>391</v>
      </c>
    </row>
    <row r="1838" spans="2:30">
      <c r="B1838">
        <v>1</v>
      </c>
      <c r="C1838">
        <v>1020</v>
      </c>
      <c r="D1838" t="s">
        <v>181</v>
      </c>
      <c r="E1838">
        <v>14205749</v>
      </c>
      <c r="F1838" t="s">
        <v>1932</v>
      </c>
      <c r="G1838" t="s">
        <v>43</v>
      </c>
      <c r="H1838" t="s">
        <v>60</v>
      </c>
      <c r="I1838" t="s">
        <v>183</v>
      </c>
      <c r="J1838" t="s">
        <v>45</v>
      </c>
      <c r="K1838" t="s">
        <v>35</v>
      </c>
      <c r="L1838" t="s">
        <v>36</v>
      </c>
      <c r="M1838" t="s">
        <v>37</v>
      </c>
      <c r="N1838">
        <v>30</v>
      </c>
      <c r="O1838">
        <v>11</v>
      </c>
      <c r="P1838">
        <v>0</v>
      </c>
      <c r="Q1838">
        <v>80</v>
      </c>
      <c r="R1838">
        <v>483.08</v>
      </c>
      <c r="S1838" t="str">
        <f t="shared" si="140"/>
        <v>PY: Media Crit.</v>
      </c>
      <c r="T1838">
        <f t="shared" si="141"/>
        <v>0</v>
      </c>
      <c r="U1838">
        <f t="shared" si="142"/>
        <v>0</v>
      </c>
      <c r="V1838">
        <f t="shared" si="143"/>
        <v>0</v>
      </c>
      <c r="W1838">
        <f t="shared" si="144"/>
        <v>1</v>
      </c>
      <c r="X1838">
        <v>1</v>
      </c>
      <c r="Y1838" s="2">
        <v>45768</v>
      </c>
      <c r="Z1838" s="3" t="s">
        <v>38</v>
      </c>
      <c r="AA1838" t="s">
        <v>39</v>
      </c>
      <c r="AB1838" t="s">
        <v>40</v>
      </c>
      <c r="AC1838" t="s">
        <v>40</v>
      </c>
      <c r="AD1838" t="s">
        <v>184</v>
      </c>
    </row>
    <row r="1839" spans="2:30">
      <c r="B1839">
        <v>1</v>
      </c>
      <c r="C1839">
        <v>1020</v>
      </c>
      <c r="D1839" t="s">
        <v>181</v>
      </c>
      <c r="E1839">
        <v>14206027</v>
      </c>
      <c r="F1839" t="s">
        <v>1933</v>
      </c>
      <c r="G1839" t="s">
        <v>43</v>
      </c>
      <c r="H1839" t="s">
        <v>60</v>
      </c>
      <c r="I1839" t="s">
        <v>183</v>
      </c>
      <c r="J1839" t="s">
        <v>45</v>
      </c>
      <c r="K1839" t="s">
        <v>35</v>
      </c>
      <c r="L1839" t="s">
        <v>36</v>
      </c>
      <c r="M1839" t="s">
        <v>46</v>
      </c>
      <c r="N1839">
        <v>3</v>
      </c>
      <c r="O1839">
        <v>2</v>
      </c>
      <c r="P1839">
        <v>0</v>
      </c>
      <c r="Q1839">
        <v>0</v>
      </c>
      <c r="R1839">
        <v>0</v>
      </c>
      <c r="S1839" t="str">
        <f t="shared" si="140"/>
        <v>PY: Media Crit.</v>
      </c>
      <c r="T1839">
        <f t="shared" si="141"/>
        <v>1</v>
      </c>
      <c r="U1839">
        <f t="shared" si="142"/>
        <v>0</v>
      </c>
      <c r="V1839">
        <f t="shared" si="143"/>
        <v>0</v>
      </c>
      <c r="W1839">
        <f t="shared" si="144"/>
        <v>0</v>
      </c>
      <c r="X1839">
        <v>1</v>
      </c>
      <c r="Y1839" s="2">
        <v>45768</v>
      </c>
      <c r="Z1839" s="3" t="s">
        <v>47</v>
      </c>
      <c r="AA1839" t="s">
        <v>39</v>
      </c>
      <c r="AB1839" t="s">
        <v>49</v>
      </c>
      <c r="AC1839" s="5" t="s">
        <v>50</v>
      </c>
      <c r="AD1839" t="s">
        <v>184</v>
      </c>
    </row>
    <row r="1840" spans="2:30">
      <c r="B1840">
        <v>1</v>
      </c>
      <c r="C1840">
        <v>1020</v>
      </c>
      <c r="D1840" t="s">
        <v>181</v>
      </c>
      <c r="E1840">
        <v>14207696</v>
      </c>
      <c r="F1840" t="s">
        <v>1934</v>
      </c>
      <c r="G1840" t="s">
        <v>43</v>
      </c>
      <c r="H1840" t="s">
        <v>60</v>
      </c>
      <c r="I1840" t="s">
        <v>183</v>
      </c>
      <c r="J1840" t="s">
        <v>45</v>
      </c>
      <c r="K1840" t="s">
        <v>35</v>
      </c>
      <c r="L1840" t="s">
        <v>36</v>
      </c>
      <c r="M1840" t="s">
        <v>37</v>
      </c>
      <c r="N1840">
        <v>30</v>
      </c>
      <c r="O1840">
        <v>11</v>
      </c>
      <c r="P1840">
        <v>0</v>
      </c>
      <c r="Q1840">
        <v>80</v>
      </c>
      <c r="R1840">
        <v>438.58</v>
      </c>
      <c r="S1840" t="str">
        <f t="shared" si="140"/>
        <v>PY: Media Crit.</v>
      </c>
      <c r="T1840">
        <f t="shared" si="141"/>
        <v>0</v>
      </c>
      <c r="U1840">
        <f t="shared" si="142"/>
        <v>0</v>
      </c>
      <c r="V1840">
        <f t="shared" si="143"/>
        <v>0</v>
      </c>
      <c r="W1840">
        <f t="shared" si="144"/>
        <v>1</v>
      </c>
      <c r="X1840">
        <v>1</v>
      </c>
      <c r="Y1840" s="2">
        <v>45768</v>
      </c>
      <c r="Z1840" s="3" t="s">
        <v>38</v>
      </c>
      <c r="AA1840" t="s">
        <v>39</v>
      </c>
      <c r="AB1840" t="s">
        <v>40</v>
      </c>
      <c r="AC1840" t="s">
        <v>40</v>
      </c>
      <c r="AD1840" t="s">
        <v>184</v>
      </c>
    </row>
    <row r="1841" spans="2:30">
      <c r="B1841">
        <v>1</v>
      </c>
      <c r="C1841">
        <v>1020</v>
      </c>
      <c r="D1841" t="s">
        <v>181</v>
      </c>
      <c r="E1841">
        <v>14207697</v>
      </c>
      <c r="F1841" t="s">
        <v>1935</v>
      </c>
      <c r="G1841" t="s">
        <v>43</v>
      </c>
      <c r="H1841" t="s">
        <v>60</v>
      </c>
      <c r="I1841" t="s">
        <v>183</v>
      </c>
      <c r="J1841" t="s">
        <v>45</v>
      </c>
      <c r="K1841" t="s">
        <v>35</v>
      </c>
      <c r="L1841" t="s">
        <v>36</v>
      </c>
      <c r="M1841" t="s">
        <v>37</v>
      </c>
      <c r="N1841">
        <v>30</v>
      </c>
      <c r="O1841">
        <v>11</v>
      </c>
      <c r="P1841">
        <v>0</v>
      </c>
      <c r="Q1841">
        <v>80</v>
      </c>
      <c r="R1841">
        <v>438.58</v>
      </c>
      <c r="S1841" t="str">
        <f t="shared" si="140"/>
        <v>PY: Media Crit.</v>
      </c>
      <c r="T1841">
        <f t="shared" si="141"/>
        <v>0</v>
      </c>
      <c r="U1841">
        <f t="shared" si="142"/>
        <v>0</v>
      </c>
      <c r="V1841">
        <f t="shared" si="143"/>
        <v>0</v>
      </c>
      <c r="W1841">
        <f t="shared" si="144"/>
        <v>1</v>
      </c>
      <c r="X1841">
        <v>1</v>
      </c>
      <c r="Y1841" s="2">
        <v>45768</v>
      </c>
      <c r="Z1841" s="3" t="s">
        <v>38</v>
      </c>
      <c r="AA1841" t="s">
        <v>39</v>
      </c>
      <c r="AB1841" t="s">
        <v>40</v>
      </c>
      <c r="AC1841" t="s">
        <v>40</v>
      </c>
      <c r="AD1841" t="s">
        <v>184</v>
      </c>
    </row>
    <row r="1842" spans="2:30">
      <c r="B1842">
        <v>1</v>
      </c>
      <c r="C1842">
        <v>1020</v>
      </c>
      <c r="D1842" t="s">
        <v>181</v>
      </c>
      <c r="E1842">
        <v>14207698</v>
      </c>
      <c r="F1842" t="s">
        <v>1936</v>
      </c>
      <c r="G1842" t="s">
        <v>43</v>
      </c>
      <c r="H1842" t="s">
        <v>60</v>
      </c>
      <c r="I1842" t="s">
        <v>183</v>
      </c>
      <c r="J1842" t="s">
        <v>45</v>
      </c>
      <c r="K1842" t="s">
        <v>35</v>
      </c>
      <c r="L1842" t="s">
        <v>36</v>
      </c>
      <c r="M1842" t="s">
        <v>37</v>
      </c>
      <c r="N1842">
        <v>30</v>
      </c>
      <c r="O1842">
        <v>11</v>
      </c>
      <c r="P1842">
        <v>0</v>
      </c>
      <c r="Q1842">
        <v>80</v>
      </c>
      <c r="R1842">
        <v>438.58</v>
      </c>
      <c r="S1842" t="str">
        <f t="shared" si="140"/>
        <v>PY: Media Crit.</v>
      </c>
      <c r="T1842">
        <f t="shared" si="141"/>
        <v>0</v>
      </c>
      <c r="U1842">
        <f t="shared" si="142"/>
        <v>0</v>
      </c>
      <c r="V1842">
        <f t="shared" si="143"/>
        <v>0</v>
      </c>
      <c r="W1842">
        <f t="shared" si="144"/>
        <v>1</v>
      </c>
      <c r="X1842">
        <v>1</v>
      </c>
      <c r="Y1842" s="2">
        <v>45768</v>
      </c>
      <c r="Z1842" s="3" t="s">
        <v>38</v>
      </c>
      <c r="AA1842" t="s">
        <v>39</v>
      </c>
      <c r="AB1842" t="s">
        <v>40</v>
      </c>
      <c r="AC1842" t="s">
        <v>40</v>
      </c>
      <c r="AD1842" t="s">
        <v>184</v>
      </c>
    </row>
    <row r="1843" spans="2:30">
      <c r="B1843">
        <v>1</v>
      </c>
      <c r="C1843">
        <v>1020</v>
      </c>
      <c r="D1843" t="s">
        <v>181</v>
      </c>
      <c r="E1843">
        <v>14207699</v>
      </c>
      <c r="F1843" t="s">
        <v>1937</v>
      </c>
      <c r="G1843" t="s">
        <v>43</v>
      </c>
      <c r="H1843" t="s">
        <v>60</v>
      </c>
      <c r="I1843" t="s">
        <v>183</v>
      </c>
      <c r="J1843" t="s">
        <v>45</v>
      </c>
      <c r="K1843" t="s">
        <v>35</v>
      </c>
      <c r="L1843" t="s">
        <v>36</v>
      </c>
      <c r="M1843" t="s">
        <v>37</v>
      </c>
      <c r="N1843">
        <v>30</v>
      </c>
      <c r="O1843">
        <v>11</v>
      </c>
      <c r="P1843">
        <v>0</v>
      </c>
      <c r="Q1843">
        <v>80</v>
      </c>
      <c r="R1843">
        <v>479.46</v>
      </c>
      <c r="S1843" t="str">
        <f t="shared" si="140"/>
        <v>PY: Media Crit.</v>
      </c>
      <c r="T1843">
        <f t="shared" si="141"/>
        <v>0</v>
      </c>
      <c r="U1843">
        <f t="shared" si="142"/>
        <v>0</v>
      </c>
      <c r="V1843">
        <f t="shared" si="143"/>
        <v>0</v>
      </c>
      <c r="W1843">
        <f t="shared" si="144"/>
        <v>1</v>
      </c>
      <c r="X1843">
        <v>1</v>
      </c>
      <c r="Y1843" s="2">
        <v>45768</v>
      </c>
      <c r="Z1843" s="3" t="s">
        <v>38</v>
      </c>
      <c r="AA1843" t="s">
        <v>39</v>
      </c>
      <c r="AB1843" t="s">
        <v>40</v>
      </c>
      <c r="AC1843" t="s">
        <v>40</v>
      </c>
      <c r="AD1843" t="s">
        <v>184</v>
      </c>
    </row>
    <row r="1844" spans="2:30">
      <c r="B1844">
        <v>1</v>
      </c>
      <c r="C1844">
        <v>1020</v>
      </c>
      <c r="D1844" t="s">
        <v>181</v>
      </c>
      <c r="E1844">
        <v>14207700</v>
      </c>
      <c r="F1844" t="s">
        <v>1938</v>
      </c>
      <c r="G1844" t="s">
        <v>43</v>
      </c>
      <c r="H1844" t="s">
        <v>60</v>
      </c>
      <c r="I1844" t="s">
        <v>183</v>
      </c>
      <c r="J1844" t="s">
        <v>45</v>
      </c>
      <c r="K1844" t="s">
        <v>35</v>
      </c>
      <c r="L1844" t="s">
        <v>36</v>
      </c>
      <c r="M1844" t="s">
        <v>37</v>
      </c>
      <c r="N1844">
        <v>30</v>
      </c>
      <c r="O1844">
        <v>11</v>
      </c>
      <c r="P1844">
        <v>0</v>
      </c>
      <c r="Q1844">
        <v>80</v>
      </c>
      <c r="R1844">
        <v>438.58</v>
      </c>
      <c r="S1844" t="str">
        <f t="shared" si="140"/>
        <v>PY: Media Crit.</v>
      </c>
      <c r="T1844">
        <f t="shared" si="141"/>
        <v>0</v>
      </c>
      <c r="U1844">
        <f t="shared" si="142"/>
        <v>0</v>
      </c>
      <c r="V1844">
        <f t="shared" si="143"/>
        <v>0</v>
      </c>
      <c r="W1844">
        <f t="shared" si="144"/>
        <v>1</v>
      </c>
      <c r="X1844">
        <v>1</v>
      </c>
      <c r="Y1844" s="2">
        <v>45768</v>
      </c>
      <c r="Z1844" s="3" t="s">
        <v>38</v>
      </c>
      <c r="AA1844" t="s">
        <v>39</v>
      </c>
      <c r="AB1844" t="s">
        <v>40</v>
      </c>
      <c r="AC1844" t="s">
        <v>40</v>
      </c>
      <c r="AD1844" t="s">
        <v>184</v>
      </c>
    </row>
    <row r="1845" spans="2:30">
      <c r="B1845">
        <v>1</v>
      </c>
      <c r="C1845">
        <v>1020</v>
      </c>
      <c r="D1845" t="s">
        <v>181</v>
      </c>
      <c r="E1845">
        <v>14208178</v>
      </c>
      <c r="F1845" t="s">
        <v>1939</v>
      </c>
      <c r="G1845" t="s">
        <v>52</v>
      </c>
      <c r="H1845" t="s">
        <v>44</v>
      </c>
      <c r="I1845" t="s">
        <v>183</v>
      </c>
      <c r="J1845" t="s">
        <v>45</v>
      </c>
      <c r="K1845" t="s">
        <v>252</v>
      </c>
      <c r="L1845" t="s">
        <v>36</v>
      </c>
      <c r="M1845" t="s">
        <v>37</v>
      </c>
      <c r="N1845">
        <v>4</v>
      </c>
      <c r="O1845">
        <v>4</v>
      </c>
      <c r="P1845">
        <v>0</v>
      </c>
      <c r="Q1845">
        <v>4</v>
      </c>
      <c r="R1845">
        <v>991.97</v>
      </c>
      <c r="S1845" t="str">
        <f t="shared" si="140"/>
        <v>PZ: Alta Crit.</v>
      </c>
      <c r="T1845">
        <f t="shared" si="141"/>
        <v>0</v>
      </c>
      <c r="U1845">
        <f t="shared" si="142"/>
        <v>0</v>
      </c>
      <c r="V1845">
        <f t="shared" si="143"/>
        <v>1</v>
      </c>
      <c r="W1845">
        <f t="shared" si="144"/>
        <v>0</v>
      </c>
      <c r="X1845">
        <v>1</v>
      </c>
      <c r="Y1845" s="2">
        <v>45768</v>
      </c>
      <c r="Z1845" s="3" t="s">
        <v>38</v>
      </c>
      <c r="AA1845" t="s">
        <v>39</v>
      </c>
      <c r="AB1845" t="s">
        <v>40</v>
      </c>
      <c r="AC1845" t="s">
        <v>40</v>
      </c>
      <c r="AD1845" t="s">
        <v>184</v>
      </c>
    </row>
    <row r="1846" spans="2:30">
      <c r="B1846">
        <v>1</v>
      </c>
      <c r="C1846">
        <v>1020</v>
      </c>
      <c r="D1846" t="s">
        <v>181</v>
      </c>
      <c r="E1846">
        <v>14209450</v>
      </c>
      <c r="F1846" t="s">
        <v>1940</v>
      </c>
      <c r="G1846" t="s">
        <v>43</v>
      </c>
      <c r="H1846" t="s">
        <v>60</v>
      </c>
      <c r="I1846" t="s">
        <v>183</v>
      </c>
      <c r="J1846" t="s">
        <v>45</v>
      </c>
      <c r="K1846" t="s">
        <v>35</v>
      </c>
      <c r="L1846" t="s">
        <v>36</v>
      </c>
      <c r="M1846" t="s">
        <v>46</v>
      </c>
      <c r="N1846">
        <v>2</v>
      </c>
      <c r="O1846">
        <v>1</v>
      </c>
      <c r="P1846">
        <v>0</v>
      </c>
      <c r="Q1846">
        <v>1</v>
      </c>
      <c r="R1846">
        <v>238.88</v>
      </c>
      <c r="S1846" t="str">
        <f t="shared" si="140"/>
        <v>PY: Media Crit.</v>
      </c>
      <c r="T1846">
        <f t="shared" si="141"/>
        <v>0</v>
      </c>
      <c r="U1846">
        <f t="shared" si="142"/>
        <v>0</v>
      </c>
      <c r="V1846">
        <f t="shared" si="143"/>
        <v>1</v>
      </c>
      <c r="W1846">
        <f t="shared" si="144"/>
        <v>0</v>
      </c>
      <c r="X1846">
        <v>1</v>
      </c>
      <c r="Y1846" s="2">
        <v>45768</v>
      </c>
      <c r="Z1846" s="3" t="s">
        <v>47</v>
      </c>
      <c r="AA1846" t="s">
        <v>39</v>
      </c>
      <c r="AB1846" t="s">
        <v>40</v>
      </c>
      <c r="AC1846" t="s">
        <v>40</v>
      </c>
      <c r="AD1846" t="s">
        <v>184</v>
      </c>
    </row>
    <row r="1847" spans="2:30">
      <c r="B1847">
        <v>1</v>
      </c>
      <c r="C1847">
        <v>1020</v>
      </c>
      <c r="D1847" t="s">
        <v>181</v>
      </c>
      <c r="E1847">
        <v>14209452</v>
      </c>
      <c r="F1847" t="s">
        <v>1941</v>
      </c>
      <c r="G1847" t="s">
        <v>43</v>
      </c>
      <c r="H1847" t="s">
        <v>60</v>
      </c>
      <c r="I1847" t="s">
        <v>183</v>
      </c>
      <c r="J1847" t="s">
        <v>45</v>
      </c>
      <c r="K1847" t="s">
        <v>35</v>
      </c>
      <c r="L1847" t="s">
        <v>36</v>
      </c>
      <c r="M1847" t="s">
        <v>46</v>
      </c>
      <c r="N1847">
        <v>2</v>
      </c>
      <c r="O1847">
        <v>1</v>
      </c>
      <c r="P1847">
        <v>0</v>
      </c>
      <c r="Q1847">
        <v>2</v>
      </c>
      <c r="R1847">
        <v>963.68</v>
      </c>
      <c r="S1847" t="str">
        <f t="shared" si="140"/>
        <v>PY: Media Crit.</v>
      </c>
      <c r="T1847">
        <f t="shared" si="141"/>
        <v>0</v>
      </c>
      <c r="U1847">
        <f t="shared" si="142"/>
        <v>0</v>
      </c>
      <c r="V1847">
        <f t="shared" si="143"/>
        <v>1</v>
      </c>
      <c r="W1847">
        <f t="shared" si="144"/>
        <v>0</v>
      </c>
      <c r="X1847">
        <v>1</v>
      </c>
      <c r="Y1847" s="2">
        <v>45768</v>
      </c>
      <c r="Z1847" s="3" t="s">
        <v>47</v>
      </c>
      <c r="AA1847" t="s">
        <v>39</v>
      </c>
      <c r="AB1847" t="s">
        <v>40</v>
      </c>
      <c r="AC1847" t="s">
        <v>40</v>
      </c>
      <c r="AD1847" t="s">
        <v>184</v>
      </c>
    </row>
    <row r="1848" spans="2:30">
      <c r="B1848">
        <v>1</v>
      </c>
      <c r="C1848">
        <v>1020</v>
      </c>
      <c r="D1848" t="s">
        <v>181</v>
      </c>
      <c r="E1848">
        <v>14210151</v>
      </c>
      <c r="F1848" t="s">
        <v>1942</v>
      </c>
      <c r="G1848" t="s">
        <v>31</v>
      </c>
      <c r="H1848" t="s">
        <v>32</v>
      </c>
      <c r="I1848" t="s">
        <v>183</v>
      </c>
      <c r="J1848" t="s">
        <v>45</v>
      </c>
      <c r="K1848" t="s">
        <v>35</v>
      </c>
      <c r="L1848" t="s">
        <v>36</v>
      </c>
      <c r="M1848" t="s">
        <v>69</v>
      </c>
      <c r="N1848">
        <v>1</v>
      </c>
      <c r="O1848">
        <v>1</v>
      </c>
      <c r="P1848">
        <v>0</v>
      </c>
      <c r="Q1848">
        <v>0</v>
      </c>
      <c r="R1848">
        <v>0</v>
      </c>
      <c r="S1848" t="str">
        <f t="shared" si="140"/>
        <v>PX: Baja Crit.</v>
      </c>
      <c r="T1848">
        <f t="shared" si="141"/>
        <v>1</v>
      </c>
      <c r="U1848">
        <f t="shared" si="142"/>
        <v>0</v>
      </c>
      <c r="V1848">
        <f t="shared" si="143"/>
        <v>0</v>
      </c>
      <c r="W1848">
        <f t="shared" si="144"/>
        <v>0</v>
      </c>
      <c r="X1848">
        <v>1</v>
      </c>
      <c r="Y1848" s="2">
        <v>45768</v>
      </c>
      <c r="Z1848" s="3" t="s">
        <v>70</v>
      </c>
      <c r="AA1848" t="s">
        <v>39</v>
      </c>
      <c r="AB1848" t="s">
        <v>40</v>
      </c>
      <c r="AC1848" t="s">
        <v>40</v>
      </c>
      <c r="AD1848" t="s">
        <v>184</v>
      </c>
    </row>
    <row r="1849" spans="2:30">
      <c r="B1849">
        <v>1</v>
      </c>
      <c r="C1849">
        <v>1020</v>
      </c>
      <c r="D1849" t="s">
        <v>388</v>
      </c>
      <c r="E1849">
        <v>14210823</v>
      </c>
      <c r="F1849" t="s">
        <v>1943</v>
      </c>
      <c r="G1849" t="s">
        <v>31</v>
      </c>
      <c r="H1849" t="s">
        <v>44</v>
      </c>
      <c r="I1849" t="s">
        <v>390</v>
      </c>
      <c r="J1849" t="s">
        <v>45</v>
      </c>
      <c r="K1849" t="s">
        <v>35</v>
      </c>
      <c r="L1849" t="s">
        <v>175</v>
      </c>
      <c r="M1849" t="s">
        <v>69</v>
      </c>
      <c r="N1849">
        <v>0</v>
      </c>
      <c r="O1849">
        <v>0</v>
      </c>
      <c r="P1849">
        <v>2</v>
      </c>
      <c r="Q1849">
        <v>2</v>
      </c>
      <c r="R1849" s="4">
        <v>1569.97</v>
      </c>
      <c r="S1849" t="str">
        <f t="shared" si="140"/>
        <v>PX: Baja Crit.</v>
      </c>
      <c r="T1849">
        <f t="shared" si="141"/>
        <v>0</v>
      </c>
      <c r="U1849">
        <f t="shared" si="142"/>
        <v>1</v>
      </c>
      <c r="V1849">
        <f t="shared" si="143"/>
        <v>0</v>
      </c>
      <c r="W1849">
        <f t="shared" si="144"/>
        <v>1</v>
      </c>
      <c r="X1849">
        <v>1</v>
      </c>
      <c r="Y1849" s="2">
        <v>45768</v>
      </c>
      <c r="Z1849" s="3" t="s">
        <v>70</v>
      </c>
      <c r="AA1849" t="s">
        <v>39</v>
      </c>
      <c r="AB1849" t="s">
        <v>40</v>
      </c>
      <c r="AC1849" t="s">
        <v>40</v>
      </c>
      <c r="AD1849" t="s">
        <v>391</v>
      </c>
    </row>
    <row r="1850" spans="2:30">
      <c r="B1850">
        <v>1</v>
      </c>
      <c r="C1850">
        <v>1020</v>
      </c>
      <c r="D1850" t="s">
        <v>181</v>
      </c>
      <c r="E1850">
        <v>14214160</v>
      </c>
      <c r="F1850" t="s">
        <v>1944</v>
      </c>
      <c r="G1850" t="s">
        <v>43</v>
      </c>
      <c r="H1850" t="s">
        <v>44</v>
      </c>
      <c r="I1850" t="s">
        <v>183</v>
      </c>
      <c r="J1850" t="s">
        <v>45</v>
      </c>
      <c r="K1850" t="s">
        <v>35</v>
      </c>
      <c r="L1850" t="s">
        <v>36</v>
      </c>
      <c r="M1850" t="s">
        <v>117</v>
      </c>
      <c r="N1850">
        <v>3</v>
      </c>
      <c r="O1850">
        <v>1</v>
      </c>
      <c r="P1850">
        <v>0</v>
      </c>
      <c r="Q1850">
        <v>0</v>
      </c>
      <c r="R1850">
        <v>0</v>
      </c>
      <c r="S1850" t="str">
        <f t="shared" si="140"/>
        <v>PY: Media Crit.</v>
      </c>
      <c r="T1850">
        <f t="shared" si="141"/>
        <v>1</v>
      </c>
      <c r="U1850">
        <f t="shared" si="142"/>
        <v>0</v>
      </c>
      <c r="V1850">
        <f t="shared" si="143"/>
        <v>0</v>
      </c>
      <c r="W1850">
        <f t="shared" si="144"/>
        <v>0</v>
      </c>
      <c r="X1850">
        <v>1</v>
      </c>
      <c r="Y1850" s="2">
        <v>45768</v>
      </c>
      <c r="Z1850" s="3" t="s">
        <v>118</v>
      </c>
      <c r="AA1850" t="s">
        <v>39</v>
      </c>
      <c r="AB1850" t="s">
        <v>76</v>
      </c>
      <c r="AC1850" s="5" t="s">
        <v>77</v>
      </c>
      <c r="AD1850" t="s">
        <v>184</v>
      </c>
    </row>
    <row r="1851" spans="2:30">
      <c r="B1851">
        <v>1</v>
      </c>
      <c r="C1851">
        <v>1020</v>
      </c>
      <c r="D1851" t="s">
        <v>181</v>
      </c>
      <c r="E1851">
        <v>14214162</v>
      </c>
      <c r="F1851" t="s">
        <v>1945</v>
      </c>
      <c r="G1851" t="s">
        <v>43</v>
      </c>
      <c r="H1851" t="s">
        <v>44</v>
      </c>
      <c r="I1851" t="s">
        <v>183</v>
      </c>
      <c r="J1851" t="s">
        <v>45</v>
      </c>
      <c r="K1851" t="s">
        <v>35</v>
      </c>
      <c r="L1851" t="s">
        <v>36</v>
      </c>
      <c r="M1851" t="s">
        <v>117</v>
      </c>
      <c r="N1851">
        <v>3</v>
      </c>
      <c r="O1851">
        <v>1</v>
      </c>
      <c r="P1851">
        <v>0</v>
      </c>
      <c r="Q1851">
        <v>0</v>
      </c>
      <c r="R1851">
        <v>0</v>
      </c>
      <c r="S1851" t="str">
        <f t="shared" si="140"/>
        <v>PY: Media Crit.</v>
      </c>
      <c r="T1851">
        <f t="shared" si="141"/>
        <v>1</v>
      </c>
      <c r="U1851">
        <f t="shared" si="142"/>
        <v>0</v>
      </c>
      <c r="V1851">
        <f t="shared" si="143"/>
        <v>0</v>
      </c>
      <c r="W1851">
        <f t="shared" si="144"/>
        <v>0</v>
      </c>
      <c r="X1851">
        <v>1</v>
      </c>
      <c r="Y1851" s="2">
        <v>45768</v>
      </c>
      <c r="Z1851" s="3" t="s">
        <v>118</v>
      </c>
      <c r="AA1851" t="s">
        <v>39</v>
      </c>
      <c r="AB1851" t="s">
        <v>76</v>
      </c>
      <c r="AC1851" s="5" t="s">
        <v>77</v>
      </c>
      <c r="AD1851" t="s">
        <v>184</v>
      </c>
    </row>
    <row r="1852" spans="2:30">
      <c r="B1852">
        <v>1</v>
      </c>
      <c r="C1852">
        <v>1020</v>
      </c>
      <c r="D1852" t="s">
        <v>388</v>
      </c>
      <c r="E1852">
        <v>14214343</v>
      </c>
      <c r="F1852" t="s">
        <v>1946</v>
      </c>
      <c r="G1852" t="s">
        <v>43</v>
      </c>
      <c r="H1852" t="s">
        <v>60</v>
      </c>
      <c r="I1852" t="s">
        <v>390</v>
      </c>
      <c r="J1852" t="s">
        <v>45</v>
      </c>
      <c r="K1852" t="s">
        <v>35</v>
      </c>
      <c r="L1852" t="s">
        <v>175</v>
      </c>
      <c r="M1852" t="s">
        <v>69</v>
      </c>
      <c r="N1852">
        <v>0</v>
      </c>
      <c r="O1852">
        <v>0</v>
      </c>
      <c r="P1852">
        <v>1</v>
      </c>
      <c r="Q1852">
        <v>0</v>
      </c>
      <c r="R1852">
        <v>0</v>
      </c>
      <c r="S1852" t="str">
        <f t="shared" si="140"/>
        <v>PY: Media Crit.</v>
      </c>
      <c r="T1852">
        <f t="shared" si="141"/>
        <v>1</v>
      </c>
      <c r="U1852">
        <f t="shared" si="142"/>
        <v>0</v>
      </c>
      <c r="V1852">
        <f t="shared" si="143"/>
        <v>0</v>
      </c>
      <c r="W1852">
        <f t="shared" si="144"/>
        <v>0</v>
      </c>
      <c r="X1852">
        <v>1</v>
      </c>
      <c r="Y1852" s="2">
        <v>45768</v>
      </c>
      <c r="Z1852" s="3" t="s">
        <v>70</v>
      </c>
      <c r="AA1852" t="s">
        <v>39</v>
      </c>
      <c r="AB1852" t="s">
        <v>76</v>
      </c>
      <c r="AC1852" s="5" t="s">
        <v>77</v>
      </c>
      <c r="AD1852" t="s">
        <v>391</v>
      </c>
    </row>
    <row r="1853" spans="2:30">
      <c r="B1853">
        <v>1</v>
      </c>
      <c r="C1853">
        <v>1020</v>
      </c>
      <c r="D1853" t="s">
        <v>181</v>
      </c>
      <c r="E1853">
        <v>14214675</v>
      </c>
      <c r="F1853" t="s">
        <v>1947</v>
      </c>
      <c r="G1853" t="s">
        <v>31</v>
      </c>
      <c r="H1853" t="s">
        <v>44</v>
      </c>
      <c r="I1853" t="s">
        <v>183</v>
      </c>
      <c r="J1853" t="s">
        <v>45</v>
      </c>
      <c r="K1853" t="s">
        <v>35</v>
      </c>
      <c r="L1853" t="s">
        <v>36</v>
      </c>
      <c r="M1853" t="s">
        <v>69</v>
      </c>
      <c r="N1853">
        <v>5</v>
      </c>
      <c r="O1853">
        <v>3</v>
      </c>
      <c r="P1853">
        <v>0</v>
      </c>
      <c r="Q1853">
        <v>5</v>
      </c>
      <c r="R1853" s="4">
        <v>2029.46</v>
      </c>
      <c r="S1853" t="str">
        <f t="shared" si="140"/>
        <v>PX: Baja Crit.</v>
      </c>
      <c r="T1853">
        <f t="shared" si="141"/>
        <v>0</v>
      </c>
      <c r="U1853">
        <f t="shared" si="142"/>
        <v>0</v>
      </c>
      <c r="V1853">
        <f t="shared" si="143"/>
        <v>1</v>
      </c>
      <c r="W1853">
        <f t="shared" si="144"/>
        <v>0</v>
      </c>
      <c r="X1853">
        <v>1</v>
      </c>
      <c r="Y1853" s="2">
        <v>45768</v>
      </c>
      <c r="Z1853" s="3" t="s">
        <v>70</v>
      </c>
      <c r="AA1853" t="s">
        <v>39</v>
      </c>
      <c r="AB1853" t="s">
        <v>40</v>
      </c>
      <c r="AC1853" t="s">
        <v>40</v>
      </c>
      <c r="AD1853" t="s">
        <v>184</v>
      </c>
    </row>
    <row r="1854" spans="2:30">
      <c r="B1854">
        <v>1</v>
      </c>
      <c r="C1854">
        <v>1020</v>
      </c>
      <c r="D1854" t="s">
        <v>181</v>
      </c>
      <c r="E1854">
        <v>14214680</v>
      </c>
      <c r="F1854" t="s">
        <v>1948</v>
      </c>
      <c r="G1854" t="s">
        <v>31</v>
      </c>
      <c r="H1854" t="s">
        <v>44</v>
      </c>
      <c r="I1854" t="s">
        <v>183</v>
      </c>
      <c r="J1854" t="s">
        <v>45</v>
      </c>
      <c r="K1854" t="s">
        <v>35</v>
      </c>
      <c r="L1854" t="s">
        <v>36</v>
      </c>
      <c r="M1854" t="s">
        <v>69</v>
      </c>
      <c r="N1854">
        <v>5</v>
      </c>
      <c r="O1854">
        <v>3</v>
      </c>
      <c r="P1854">
        <v>0</v>
      </c>
      <c r="Q1854">
        <v>5</v>
      </c>
      <c r="R1854" s="4">
        <v>2339.1999999999998</v>
      </c>
      <c r="S1854" t="str">
        <f t="shared" si="140"/>
        <v>PX: Baja Crit.</v>
      </c>
      <c r="T1854">
        <f t="shared" si="141"/>
        <v>0</v>
      </c>
      <c r="U1854">
        <f t="shared" si="142"/>
        <v>0</v>
      </c>
      <c r="V1854">
        <f t="shared" si="143"/>
        <v>1</v>
      </c>
      <c r="W1854">
        <f t="shared" si="144"/>
        <v>0</v>
      </c>
      <c r="X1854">
        <v>1</v>
      </c>
      <c r="Y1854" s="2">
        <v>45768</v>
      </c>
      <c r="Z1854" s="3" t="s">
        <v>70</v>
      </c>
      <c r="AA1854" t="s">
        <v>39</v>
      </c>
      <c r="AB1854" t="s">
        <v>40</v>
      </c>
      <c r="AC1854" t="s">
        <v>40</v>
      </c>
      <c r="AD1854" t="s">
        <v>184</v>
      </c>
    </row>
    <row r="1855" spans="2:30">
      <c r="B1855">
        <v>1</v>
      </c>
      <c r="C1855">
        <v>1020</v>
      </c>
      <c r="D1855" t="s">
        <v>181</v>
      </c>
      <c r="E1855">
        <v>14216760</v>
      </c>
      <c r="F1855" t="s">
        <v>1949</v>
      </c>
      <c r="G1855" t="s">
        <v>31</v>
      </c>
      <c r="H1855" t="s">
        <v>44</v>
      </c>
      <c r="I1855" t="s">
        <v>183</v>
      </c>
      <c r="J1855" t="s">
        <v>45</v>
      </c>
      <c r="K1855" t="s">
        <v>35</v>
      </c>
      <c r="L1855" t="s">
        <v>36</v>
      </c>
      <c r="M1855" t="s">
        <v>46</v>
      </c>
      <c r="N1855">
        <v>4</v>
      </c>
      <c r="O1855">
        <v>2</v>
      </c>
      <c r="P1855">
        <v>0</v>
      </c>
      <c r="Q1855">
        <v>4</v>
      </c>
      <c r="R1855" s="4">
        <v>5651.9</v>
      </c>
      <c r="S1855" t="str">
        <f t="shared" si="140"/>
        <v>PX: Baja Crit.</v>
      </c>
      <c r="T1855">
        <f t="shared" si="141"/>
        <v>0</v>
      </c>
      <c r="U1855">
        <f t="shared" si="142"/>
        <v>0</v>
      </c>
      <c r="V1855">
        <f t="shared" si="143"/>
        <v>1</v>
      </c>
      <c r="W1855">
        <f t="shared" si="144"/>
        <v>0</v>
      </c>
      <c r="X1855">
        <v>1</v>
      </c>
      <c r="Y1855" s="2">
        <v>45768</v>
      </c>
      <c r="Z1855" s="3" t="s">
        <v>47</v>
      </c>
      <c r="AA1855" t="s">
        <v>39</v>
      </c>
      <c r="AB1855" t="s">
        <v>40</v>
      </c>
      <c r="AC1855" t="s">
        <v>40</v>
      </c>
      <c r="AD1855" t="s">
        <v>184</v>
      </c>
    </row>
    <row r="1856" spans="2:30">
      <c r="B1856">
        <v>1</v>
      </c>
      <c r="C1856">
        <v>1020</v>
      </c>
      <c r="D1856" t="s">
        <v>181</v>
      </c>
      <c r="E1856">
        <v>14219613</v>
      </c>
      <c r="F1856" t="s">
        <v>1950</v>
      </c>
      <c r="G1856" t="s">
        <v>52</v>
      </c>
      <c r="H1856" t="s">
        <v>44</v>
      </c>
      <c r="I1856" t="s">
        <v>183</v>
      </c>
      <c r="J1856" t="s">
        <v>45</v>
      </c>
      <c r="K1856" t="s">
        <v>35</v>
      </c>
      <c r="L1856" t="s">
        <v>36</v>
      </c>
      <c r="M1856" t="s">
        <v>69</v>
      </c>
      <c r="N1856">
        <v>6</v>
      </c>
      <c r="O1856">
        <v>4</v>
      </c>
      <c r="P1856">
        <v>0</v>
      </c>
      <c r="Q1856">
        <v>6</v>
      </c>
      <c r="R1856" s="4">
        <v>5190.37</v>
      </c>
      <c r="S1856" t="str">
        <f t="shared" si="140"/>
        <v>PZ: Alta Crit.</v>
      </c>
      <c r="T1856">
        <f t="shared" si="141"/>
        <v>0</v>
      </c>
      <c r="U1856">
        <f t="shared" si="142"/>
        <v>0</v>
      </c>
      <c r="V1856">
        <f t="shared" si="143"/>
        <v>1</v>
      </c>
      <c r="W1856">
        <f t="shared" si="144"/>
        <v>0</v>
      </c>
      <c r="X1856">
        <v>1</v>
      </c>
      <c r="Y1856" s="2">
        <v>45768</v>
      </c>
      <c r="Z1856" s="3" t="s">
        <v>70</v>
      </c>
      <c r="AA1856" t="s">
        <v>39</v>
      </c>
      <c r="AB1856" t="s">
        <v>40</v>
      </c>
      <c r="AC1856" t="s">
        <v>40</v>
      </c>
      <c r="AD1856" t="s">
        <v>184</v>
      </c>
    </row>
    <row r="1857" spans="2:30">
      <c r="B1857">
        <v>1</v>
      </c>
      <c r="C1857">
        <v>1020</v>
      </c>
      <c r="D1857" t="s">
        <v>181</v>
      </c>
      <c r="E1857">
        <v>14219614</v>
      </c>
      <c r="F1857" t="s">
        <v>1951</v>
      </c>
      <c r="G1857" t="s">
        <v>52</v>
      </c>
      <c r="H1857" t="s">
        <v>44</v>
      </c>
      <c r="I1857" t="s">
        <v>183</v>
      </c>
      <c r="J1857" t="s">
        <v>45</v>
      </c>
      <c r="K1857" t="s">
        <v>35</v>
      </c>
      <c r="L1857" t="s">
        <v>36</v>
      </c>
      <c r="M1857" t="s">
        <v>69</v>
      </c>
      <c r="N1857">
        <v>6</v>
      </c>
      <c r="O1857">
        <v>4</v>
      </c>
      <c r="P1857">
        <v>0</v>
      </c>
      <c r="Q1857">
        <v>6</v>
      </c>
      <c r="R1857" s="4">
        <v>5356.75</v>
      </c>
      <c r="S1857" t="str">
        <f t="shared" si="140"/>
        <v>PZ: Alta Crit.</v>
      </c>
      <c r="T1857">
        <f t="shared" si="141"/>
        <v>0</v>
      </c>
      <c r="U1857">
        <f t="shared" si="142"/>
        <v>0</v>
      </c>
      <c r="V1857">
        <f t="shared" si="143"/>
        <v>1</v>
      </c>
      <c r="W1857">
        <f t="shared" si="144"/>
        <v>0</v>
      </c>
      <c r="X1857">
        <v>1</v>
      </c>
      <c r="Y1857" s="2">
        <v>45768</v>
      </c>
      <c r="Z1857" s="3" t="s">
        <v>70</v>
      </c>
      <c r="AA1857" t="s">
        <v>39</v>
      </c>
      <c r="AB1857" t="s">
        <v>40</v>
      </c>
      <c r="AC1857" t="s">
        <v>40</v>
      </c>
      <c r="AD1857" t="s">
        <v>184</v>
      </c>
    </row>
    <row r="1858" spans="2:30">
      <c r="B1858">
        <v>1</v>
      </c>
      <c r="C1858">
        <v>1020</v>
      </c>
      <c r="D1858" t="s">
        <v>181</v>
      </c>
      <c r="E1858">
        <v>14219625</v>
      </c>
      <c r="F1858" t="s">
        <v>1952</v>
      </c>
      <c r="G1858" t="s">
        <v>52</v>
      </c>
      <c r="H1858" t="s">
        <v>44</v>
      </c>
      <c r="I1858" t="s">
        <v>183</v>
      </c>
      <c r="J1858" t="s">
        <v>45</v>
      </c>
      <c r="K1858" t="s">
        <v>35</v>
      </c>
      <c r="L1858" t="s">
        <v>36</v>
      </c>
      <c r="M1858" t="s">
        <v>69</v>
      </c>
      <c r="N1858">
        <v>6</v>
      </c>
      <c r="O1858">
        <v>4</v>
      </c>
      <c r="P1858">
        <v>0</v>
      </c>
      <c r="Q1858">
        <v>6</v>
      </c>
      <c r="R1858" s="4">
        <v>12929.64</v>
      </c>
      <c r="S1858" t="str">
        <f t="shared" ref="S1858:S1921" si="145">+IF(G1858="PZ", "PZ: Alta Crit.",IF(G1858="PY","PY: Media Crit.", "PX: Baja Crit."))</f>
        <v>PZ: Alta Crit.</v>
      </c>
      <c r="T1858">
        <f t="shared" ref="T1858:T1921" si="146">+IF(Q1858=0,1,0)</f>
        <v>0</v>
      </c>
      <c r="U1858">
        <f t="shared" ref="U1858:U1921" si="147">+IF(AND(Q1858&lt;=P1858,Q1858&gt;0),1,0)</f>
        <v>0</v>
      </c>
      <c r="V1858">
        <f t="shared" ref="V1858:V1921" si="148">+IF(AND(Q1858&gt;P1858,Q1858&lt;=N1858),1,0)</f>
        <v>1</v>
      </c>
      <c r="W1858">
        <f t="shared" ref="W1858:W1921" si="149">+IF(Q1858&gt;N1858,1,0)</f>
        <v>0</v>
      </c>
      <c r="X1858">
        <v>1</v>
      </c>
      <c r="Y1858" s="2">
        <v>45768</v>
      </c>
      <c r="Z1858" s="3" t="s">
        <v>70</v>
      </c>
      <c r="AA1858" t="s">
        <v>39</v>
      </c>
      <c r="AB1858" t="s">
        <v>40</v>
      </c>
      <c r="AC1858" t="s">
        <v>40</v>
      </c>
      <c r="AD1858" t="s">
        <v>184</v>
      </c>
    </row>
    <row r="1859" spans="2:30">
      <c r="B1859">
        <v>1</v>
      </c>
      <c r="C1859">
        <v>1020</v>
      </c>
      <c r="D1859" t="s">
        <v>181</v>
      </c>
      <c r="E1859">
        <v>14219626</v>
      </c>
      <c r="F1859" t="s">
        <v>1953</v>
      </c>
      <c r="G1859" t="s">
        <v>52</v>
      </c>
      <c r="H1859" t="s">
        <v>44</v>
      </c>
      <c r="I1859" t="s">
        <v>183</v>
      </c>
      <c r="J1859" t="s">
        <v>45</v>
      </c>
      <c r="K1859" t="s">
        <v>35</v>
      </c>
      <c r="L1859" t="s">
        <v>36</v>
      </c>
      <c r="M1859" t="s">
        <v>69</v>
      </c>
      <c r="N1859">
        <v>6</v>
      </c>
      <c r="O1859">
        <v>4</v>
      </c>
      <c r="P1859">
        <v>0</v>
      </c>
      <c r="Q1859">
        <v>0</v>
      </c>
      <c r="R1859">
        <v>0</v>
      </c>
      <c r="S1859" t="str">
        <f t="shared" si="145"/>
        <v>PZ: Alta Crit.</v>
      </c>
      <c r="T1859">
        <f t="shared" si="146"/>
        <v>1</v>
      </c>
      <c r="U1859">
        <f t="shared" si="147"/>
        <v>0</v>
      </c>
      <c r="V1859">
        <f t="shared" si="148"/>
        <v>0</v>
      </c>
      <c r="W1859">
        <f t="shared" si="149"/>
        <v>0</v>
      </c>
      <c r="X1859">
        <v>1</v>
      </c>
      <c r="Y1859" s="2">
        <v>45768</v>
      </c>
      <c r="Z1859" s="3" t="s">
        <v>70</v>
      </c>
      <c r="AA1859" t="s">
        <v>39</v>
      </c>
      <c r="AB1859" t="s">
        <v>49</v>
      </c>
      <c r="AC1859" s="5" t="s">
        <v>50</v>
      </c>
      <c r="AD1859" t="s">
        <v>184</v>
      </c>
    </row>
    <row r="1860" spans="2:30">
      <c r="B1860">
        <v>1</v>
      </c>
      <c r="C1860">
        <v>1020</v>
      </c>
      <c r="D1860" t="s">
        <v>181</v>
      </c>
      <c r="E1860">
        <v>14219627</v>
      </c>
      <c r="F1860" t="s">
        <v>1954</v>
      </c>
      <c r="G1860" t="s">
        <v>52</v>
      </c>
      <c r="H1860" t="s">
        <v>44</v>
      </c>
      <c r="I1860" t="s">
        <v>183</v>
      </c>
      <c r="J1860" t="s">
        <v>45</v>
      </c>
      <c r="K1860" t="s">
        <v>35</v>
      </c>
      <c r="L1860" t="s">
        <v>36</v>
      </c>
      <c r="M1860" t="s">
        <v>69</v>
      </c>
      <c r="N1860">
        <v>6</v>
      </c>
      <c r="O1860">
        <v>4</v>
      </c>
      <c r="P1860">
        <v>0</v>
      </c>
      <c r="Q1860">
        <v>6</v>
      </c>
      <c r="R1860" s="4">
        <v>14119.32</v>
      </c>
      <c r="S1860" t="str">
        <f t="shared" si="145"/>
        <v>PZ: Alta Crit.</v>
      </c>
      <c r="T1860">
        <f t="shared" si="146"/>
        <v>0</v>
      </c>
      <c r="U1860">
        <f t="shared" si="147"/>
        <v>0</v>
      </c>
      <c r="V1860">
        <f t="shared" si="148"/>
        <v>1</v>
      </c>
      <c r="W1860">
        <f t="shared" si="149"/>
        <v>0</v>
      </c>
      <c r="X1860">
        <v>1</v>
      </c>
      <c r="Y1860" s="2">
        <v>45768</v>
      </c>
      <c r="Z1860" s="3" t="s">
        <v>70</v>
      </c>
      <c r="AA1860" t="s">
        <v>39</v>
      </c>
      <c r="AB1860" t="s">
        <v>40</v>
      </c>
      <c r="AC1860" t="s">
        <v>40</v>
      </c>
      <c r="AD1860" t="s">
        <v>184</v>
      </c>
    </row>
    <row r="1861" spans="2:30">
      <c r="B1861">
        <v>1</v>
      </c>
      <c r="C1861">
        <v>1020</v>
      </c>
      <c r="D1861" t="s">
        <v>181</v>
      </c>
      <c r="E1861">
        <v>14222658</v>
      </c>
      <c r="F1861" t="s">
        <v>1955</v>
      </c>
      <c r="G1861" t="s">
        <v>31</v>
      </c>
      <c r="H1861" t="s">
        <v>32</v>
      </c>
      <c r="I1861" t="s">
        <v>183</v>
      </c>
      <c r="J1861" t="s">
        <v>45</v>
      </c>
      <c r="K1861" t="s">
        <v>35</v>
      </c>
      <c r="L1861" t="s">
        <v>36</v>
      </c>
      <c r="M1861" t="s">
        <v>117</v>
      </c>
      <c r="N1861">
        <v>2</v>
      </c>
      <c r="O1861">
        <v>1</v>
      </c>
      <c r="P1861">
        <v>1</v>
      </c>
      <c r="Q1861">
        <v>2</v>
      </c>
      <c r="R1861" s="4">
        <v>10876.65</v>
      </c>
      <c r="S1861" t="str">
        <f t="shared" si="145"/>
        <v>PX: Baja Crit.</v>
      </c>
      <c r="T1861">
        <f t="shared" si="146"/>
        <v>0</v>
      </c>
      <c r="U1861">
        <f t="shared" si="147"/>
        <v>0</v>
      </c>
      <c r="V1861">
        <f t="shared" si="148"/>
        <v>1</v>
      </c>
      <c r="W1861">
        <f t="shared" si="149"/>
        <v>0</v>
      </c>
      <c r="X1861">
        <v>1</v>
      </c>
      <c r="Y1861" s="2">
        <v>45768</v>
      </c>
      <c r="Z1861" s="3" t="s">
        <v>118</v>
      </c>
      <c r="AA1861" t="s">
        <v>39</v>
      </c>
      <c r="AB1861" t="s">
        <v>40</v>
      </c>
      <c r="AC1861" t="s">
        <v>40</v>
      </c>
      <c r="AD1861" t="s">
        <v>184</v>
      </c>
    </row>
    <row r="1862" spans="2:30">
      <c r="B1862">
        <v>1</v>
      </c>
      <c r="C1862">
        <v>1020</v>
      </c>
      <c r="D1862" t="s">
        <v>181</v>
      </c>
      <c r="E1862">
        <v>14227594</v>
      </c>
      <c r="F1862" t="s">
        <v>1956</v>
      </c>
      <c r="G1862" t="s">
        <v>31</v>
      </c>
      <c r="H1862" t="s">
        <v>44</v>
      </c>
      <c r="I1862" t="s">
        <v>183</v>
      </c>
      <c r="J1862" t="s">
        <v>45</v>
      </c>
      <c r="K1862" t="s">
        <v>35</v>
      </c>
      <c r="L1862" t="s">
        <v>36</v>
      </c>
      <c r="M1862" t="s">
        <v>117</v>
      </c>
      <c r="N1862">
        <v>4</v>
      </c>
      <c r="O1862">
        <v>2</v>
      </c>
      <c r="P1862">
        <v>1</v>
      </c>
      <c r="Q1862">
        <v>2</v>
      </c>
      <c r="R1862">
        <v>0</v>
      </c>
      <c r="S1862" t="str">
        <f t="shared" si="145"/>
        <v>PX: Baja Crit.</v>
      </c>
      <c r="T1862">
        <f t="shared" si="146"/>
        <v>0</v>
      </c>
      <c r="U1862">
        <f t="shared" si="147"/>
        <v>0</v>
      </c>
      <c r="V1862">
        <f t="shared" si="148"/>
        <v>1</v>
      </c>
      <c r="W1862">
        <f t="shared" si="149"/>
        <v>0</v>
      </c>
      <c r="X1862">
        <v>1</v>
      </c>
      <c r="Y1862" s="2">
        <v>45768</v>
      </c>
      <c r="Z1862" s="3" t="s">
        <v>118</v>
      </c>
      <c r="AA1862" t="s">
        <v>39</v>
      </c>
      <c r="AB1862" t="s">
        <v>40</v>
      </c>
      <c r="AC1862" t="s">
        <v>40</v>
      </c>
      <c r="AD1862" t="s">
        <v>184</v>
      </c>
    </row>
    <row r="1863" spans="2:30">
      <c r="B1863">
        <v>1</v>
      </c>
      <c r="C1863">
        <v>1020</v>
      </c>
      <c r="D1863" t="s">
        <v>181</v>
      </c>
      <c r="E1863">
        <v>14227597</v>
      </c>
      <c r="F1863" t="s">
        <v>1957</v>
      </c>
      <c r="G1863" t="s">
        <v>31</v>
      </c>
      <c r="H1863" t="s">
        <v>44</v>
      </c>
      <c r="I1863" t="s">
        <v>183</v>
      </c>
      <c r="J1863" t="s">
        <v>45</v>
      </c>
      <c r="K1863" t="s">
        <v>35</v>
      </c>
      <c r="L1863" t="s">
        <v>36</v>
      </c>
      <c r="M1863" t="s">
        <v>117</v>
      </c>
      <c r="N1863">
        <v>4</v>
      </c>
      <c r="O1863">
        <v>2</v>
      </c>
      <c r="P1863">
        <v>1</v>
      </c>
      <c r="Q1863">
        <v>2</v>
      </c>
      <c r="R1863">
        <v>622.55999999999995</v>
      </c>
      <c r="S1863" t="str">
        <f t="shared" si="145"/>
        <v>PX: Baja Crit.</v>
      </c>
      <c r="T1863">
        <f t="shared" si="146"/>
        <v>0</v>
      </c>
      <c r="U1863">
        <f t="shared" si="147"/>
        <v>0</v>
      </c>
      <c r="V1863">
        <f t="shared" si="148"/>
        <v>1</v>
      </c>
      <c r="W1863">
        <f t="shared" si="149"/>
        <v>0</v>
      </c>
      <c r="X1863">
        <v>1</v>
      </c>
      <c r="Y1863" s="2">
        <v>45768</v>
      </c>
      <c r="Z1863" s="3" t="s">
        <v>118</v>
      </c>
      <c r="AA1863" t="s">
        <v>39</v>
      </c>
      <c r="AB1863" t="s">
        <v>40</v>
      </c>
      <c r="AC1863" t="s">
        <v>40</v>
      </c>
      <c r="AD1863" t="s">
        <v>184</v>
      </c>
    </row>
    <row r="1864" spans="2:30">
      <c r="B1864">
        <v>1</v>
      </c>
      <c r="C1864">
        <v>1020</v>
      </c>
      <c r="D1864" t="s">
        <v>181</v>
      </c>
      <c r="E1864">
        <v>14231949</v>
      </c>
      <c r="F1864" t="s">
        <v>1958</v>
      </c>
      <c r="G1864" t="s">
        <v>52</v>
      </c>
      <c r="H1864" t="s">
        <v>44</v>
      </c>
      <c r="I1864" t="s">
        <v>183</v>
      </c>
      <c r="J1864" t="s">
        <v>45</v>
      </c>
      <c r="K1864" t="s">
        <v>35</v>
      </c>
      <c r="L1864" t="s">
        <v>36</v>
      </c>
      <c r="M1864" t="s">
        <v>46</v>
      </c>
      <c r="N1864">
        <v>12</v>
      </c>
      <c r="O1864">
        <v>6</v>
      </c>
      <c r="P1864">
        <v>0</v>
      </c>
      <c r="Q1864">
        <v>12</v>
      </c>
      <c r="R1864" s="4">
        <v>1473.79</v>
      </c>
      <c r="S1864" t="str">
        <f t="shared" si="145"/>
        <v>PZ: Alta Crit.</v>
      </c>
      <c r="T1864">
        <f t="shared" si="146"/>
        <v>0</v>
      </c>
      <c r="U1864">
        <f t="shared" si="147"/>
        <v>0</v>
      </c>
      <c r="V1864">
        <f t="shared" si="148"/>
        <v>1</v>
      </c>
      <c r="W1864">
        <f t="shared" si="149"/>
        <v>0</v>
      </c>
      <c r="X1864">
        <v>1</v>
      </c>
      <c r="Y1864" s="2">
        <v>45768</v>
      </c>
      <c r="Z1864" s="3" t="s">
        <v>47</v>
      </c>
      <c r="AA1864" t="s">
        <v>39</v>
      </c>
      <c r="AB1864" t="s">
        <v>40</v>
      </c>
      <c r="AC1864" t="s">
        <v>40</v>
      </c>
      <c r="AD1864" t="s">
        <v>184</v>
      </c>
    </row>
    <row r="1865" spans="2:30">
      <c r="B1865">
        <v>1</v>
      </c>
      <c r="C1865">
        <v>1020</v>
      </c>
      <c r="D1865" t="s">
        <v>388</v>
      </c>
      <c r="E1865">
        <v>14240609</v>
      </c>
      <c r="F1865" t="s">
        <v>1959</v>
      </c>
      <c r="G1865" t="s">
        <v>43</v>
      </c>
      <c r="H1865" t="s">
        <v>60</v>
      </c>
      <c r="I1865" t="s">
        <v>390</v>
      </c>
      <c r="J1865" t="s">
        <v>45</v>
      </c>
      <c r="K1865" t="s">
        <v>35</v>
      </c>
      <c r="L1865" t="s">
        <v>175</v>
      </c>
      <c r="M1865" t="s">
        <v>69</v>
      </c>
      <c r="N1865">
        <v>0</v>
      </c>
      <c r="O1865">
        <v>0</v>
      </c>
      <c r="P1865">
        <v>2</v>
      </c>
      <c r="Q1865">
        <v>2</v>
      </c>
      <c r="R1865" s="4">
        <v>13446.98</v>
      </c>
      <c r="S1865" t="str">
        <f t="shared" si="145"/>
        <v>PY: Media Crit.</v>
      </c>
      <c r="T1865">
        <f t="shared" si="146"/>
        <v>0</v>
      </c>
      <c r="U1865">
        <f t="shared" si="147"/>
        <v>1</v>
      </c>
      <c r="V1865">
        <f t="shared" si="148"/>
        <v>0</v>
      </c>
      <c r="W1865">
        <f t="shared" si="149"/>
        <v>1</v>
      </c>
      <c r="X1865">
        <v>1</v>
      </c>
      <c r="Y1865" s="2">
        <v>45768</v>
      </c>
      <c r="Z1865" s="3" t="s">
        <v>70</v>
      </c>
      <c r="AA1865" t="s">
        <v>39</v>
      </c>
      <c r="AB1865" t="s">
        <v>40</v>
      </c>
      <c r="AC1865" t="s">
        <v>40</v>
      </c>
      <c r="AD1865" t="s">
        <v>391</v>
      </c>
    </row>
    <row r="1866" spans="2:30">
      <c r="B1866">
        <v>1</v>
      </c>
      <c r="C1866">
        <v>1020</v>
      </c>
      <c r="D1866" t="s">
        <v>388</v>
      </c>
      <c r="E1866">
        <v>14245094</v>
      </c>
      <c r="F1866" t="s">
        <v>1960</v>
      </c>
      <c r="G1866" t="s">
        <v>31</v>
      </c>
      <c r="H1866" t="s">
        <v>32</v>
      </c>
      <c r="I1866" t="s">
        <v>390</v>
      </c>
      <c r="J1866" t="s">
        <v>45</v>
      </c>
      <c r="K1866" t="s">
        <v>35</v>
      </c>
      <c r="L1866" t="s">
        <v>175</v>
      </c>
      <c r="M1866" t="s">
        <v>69</v>
      </c>
      <c r="N1866">
        <v>0</v>
      </c>
      <c r="O1866">
        <v>0</v>
      </c>
      <c r="P1866">
        <v>1</v>
      </c>
      <c r="Q1866">
        <v>1</v>
      </c>
      <c r="R1866" s="4">
        <v>4729.05</v>
      </c>
      <c r="S1866" t="str">
        <f t="shared" si="145"/>
        <v>PX: Baja Crit.</v>
      </c>
      <c r="T1866">
        <f t="shared" si="146"/>
        <v>0</v>
      </c>
      <c r="U1866">
        <f t="shared" si="147"/>
        <v>1</v>
      </c>
      <c r="V1866">
        <f t="shared" si="148"/>
        <v>0</v>
      </c>
      <c r="W1866">
        <f t="shared" si="149"/>
        <v>1</v>
      </c>
      <c r="X1866">
        <v>1</v>
      </c>
      <c r="Y1866" s="2">
        <v>45768</v>
      </c>
      <c r="Z1866" s="3" t="s">
        <v>70</v>
      </c>
      <c r="AA1866" t="s">
        <v>39</v>
      </c>
      <c r="AB1866" t="s">
        <v>40</v>
      </c>
      <c r="AC1866" t="s">
        <v>40</v>
      </c>
      <c r="AD1866" t="s">
        <v>391</v>
      </c>
    </row>
    <row r="1867" spans="2:30">
      <c r="B1867">
        <v>1</v>
      </c>
      <c r="C1867">
        <v>1020</v>
      </c>
      <c r="D1867" t="s">
        <v>181</v>
      </c>
      <c r="E1867">
        <v>14249216</v>
      </c>
      <c r="F1867" t="s">
        <v>1961</v>
      </c>
      <c r="G1867" t="s">
        <v>31</v>
      </c>
      <c r="H1867" t="s">
        <v>60</v>
      </c>
      <c r="I1867" t="s">
        <v>183</v>
      </c>
      <c r="J1867" t="s">
        <v>45</v>
      </c>
      <c r="K1867" t="s">
        <v>260</v>
      </c>
      <c r="L1867" t="s">
        <v>36</v>
      </c>
      <c r="M1867" t="s">
        <v>46</v>
      </c>
      <c r="N1867">
        <v>4</v>
      </c>
      <c r="O1867">
        <v>2</v>
      </c>
      <c r="P1867">
        <v>0</v>
      </c>
      <c r="Q1867">
        <v>3</v>
      </c>
      <c r="R1867" s="4">
        <v>1961.2</v>
      </c>
      <c r="S1867" t="str">
        <f t="shared" si="145"/>
        <v>PX: Baja Crit.</v>
      </c>
      <c r="T1867">
        <f t="shared" si="146"/>
        <v>0</v>
      </c>
      <c r="U1867">
        <f t="shared" si="147"/>
        <v>0</v>
      </c>
      <c r="V1867">
        <f t="shared" si="148"/>
        <v>1</v>
      </c>
      <c r="W1867">
        <f t="shared" si="149"/>
        <v>0</v>
      </c>
      <c r="X1867">
        <v>1</v>
      </c>
      <c r="Y1867" s="2">
        <v>45768</v>
      </c>
      <c r="Z1867" s="3" t="s">
        <v>47</v>
      </c>
      <c r="AA1867" t="s">
        <v>39</v>
      </c>
      <c r="AB1867" t="s">
        <v>40</v>
      </c>
      <c r="AC1867" t="s">
        <v>40</v>
      </c>
      <c r="AD1867" t="s">
        <v>184</v>
      </c>
    </row>
    <row r="1868" spans="2:30">
      <c r="B1868">
        <v>1</v>
      </c>
      <c r="C1868">
        <v>1020</v>
      </c>
      <c r="D1868" t="s">
        <v>388</v>
      </c>
      <c r="E1868">
        <v>14250413</v>
      </c>
      <c r="F1868" t="s">
        <v>1962</v>
      </c>
      <c r="G1868" t="s">
        <v>52</v>
      </c>
      <c r="H1868" t="s">
        <v>44</v>
      </c>
      <c r="I1868" t="s">
        <v>390</v>
      </c>
      <c r="J1868" t="s">
        <v>45</v>
      </c>
      <c r="K1868" t="s">
        <v>35</v>
      </c>
      <c r="L1868" t="s">
        <v>175</v>
      </c>
      <c r="M1868" t="s">
        <v>46</v>
      </c>
      <c r="N1868">
        <v>0</v>
      </c>
      <c r="O1868">
        <v>0</v>
      </c>
      <c r="P1868">
        <v>2</v>
      </c>
      <c r="Q1868">
        <v>0</v>
      </c>
      <c r="R1868">
        <v>0</v>
      </c>
      <c r="S1868" t="str">
        <f t="shared" si="145"/>
        <v>PZ: Alta Crit.</v>
      </c>
      <c r="T1868">
        <f t="shared" si="146"/>
        <v>1</v>
      </c>
      <c r="U1868">
        <f t="shared" si="147"/>
        <v>0</v>
      </c>
      <c r="V1868">
        <f t="shared" si="148"/>
        <v>0</v>
      </c>
      <c r="W1868">
        <f t="shared" si="149"/>
        <v>0</v>
      </c>
      <c r="X1868">
        <v>1</v>
      </c>
      <c r="Y1868" s="2">
        <v>45768</v>
      </c>
      <c r="Z1868" s="3" t="s">
        <v>47</v>
      </c>
      <c r="AA1868" t="s">
        <v>39</v>
      </c>
      <c r="AB1868" t="s">
        <v>49</v>
      </c>
      <c r="AC1868" s="5" t="s">
        <v>50</v>
      </c>
      <c r="AD1868" t="s">
        <v>391</v>
      </c>
    </row>
    <row r="1869" spans="2:30">
      <c r="B1869">
        <v>1</v>
      </c>
      <c r="C1869">
        <v>1020</v>
      </c>
      <c r="D1869" t="s">
        <v>181</v>
      </c>
      <c r="E1869">
        <v>14250543</v>
      </c>
      <c r="F1869" t="s">
        <v>1963</v>
      </c>
      <c r="G1869" t="s">
        <v>43</v>
      </c>
      <c r="H1869" t="s">
        <v>60</v>
      </c>
      <c r="I1869" t="s">
        <v>183</v>
      </c>
      <c r="J1869" t="s">
        <v>45</v>
      </c>
      <c r="K1869" t="s">
        <v>35</v>
      </c>
      <c r="L1869" t="s">
        <v>36</v>
      </c>
      <c r="M1869" t="s">
        <v>88</v>
      </c>
      <c r="N1869">
        <v>2</v>
      </c>
      <c r="O1869">
        <v>2</v>
      </c>
      <c r="P1869">
        <v>0</v>
      </c>
      <c r="Q1869">
        <v>2</v>
      </c>
      <c r="R1869">
        <v>366.46</v>
      </c>
      <c r="S1869" t="str">
        <f t="shared" si="145"/>
        <v>PY: Media Crit.</v>
      </c>
      <c r="T1869">
        <f t="shared" si="146"/>
        <v>0</v>
      </c>
      <c r="U1869">
        <f t="shared" si="147"/>
        <v>0</v>
      </c>
      <c r="V1869">
        <f t="shared" si="148"/>
        <v>1</v>
      </c>
      <c r="W1869">
        <f t="shared" si="149"/>
        <v>0</v>
      </c>
      <c r="X1869">
        <v>1</v>
      </c>
      <c r="Y1869" s="2">
        <v>45768</v>
      </c>
      <c r="Z1869" s="3" t="s">
        <v>89</v>
      </c>
      <c r="AA1869" t="s">
        <v>39</v>
      </c>
      <c r="AB1869" t="s">
        <v>40</v>
      </c>
      <c r="AC1869" t="s">
        <v>40</v>
      </c>
      <c r="AD1869" t="s">
        <v>184</v>
      </c>
    </row>
    <row r="1870" spans="2:30">
      <c r="B1870">
        <v>1</v>
      </c>
      <c r="C1870">
        <v>1020</v>
      </c>
      <c r="D1870" t="s">
        <v>181</v>
      </c>
      <c r="E1870">
        <v>14251039</v>
      </c>
      <c r="F1870" t="s">
        <v>1964</v>
      </c>
      <c r="G1870" t="s">
        <v>43</v>
      </c>
      <c r="H1870" t="s">
        <v>60</v>
      </c>
      <c r="I1870" t="s">
        <v>183</v>
      </c>
      <c r="J1870" t="s">
        <v>45</v>
      </c>
      <c r="K1870" t="s">
        <v>35</v>
      </c>
      <c r="L1870" t="s">
        <v>36</v>
      </c>
      <c r="M1870" t="s">
        <v>46</v>
      </c>
      <c r="N1870">
        <v>6</v>
      </c>
      <c r="O1870">
        <v>4</v>
      </c>
      <c r="P1870">
        <v>0</v>
      </c>
      <c r="Q1870">
        <v>6</v>
      </c>
      <c r="R1870">
        <v>22.76</v>
      </c>
      <c r="S1870" t="str">
        <f t="shared" si="145"/>
        <v>PY: Media Crit.</v>
      </c>
      <c r="T1870">
        <f t="shared" si="146"/>
        <v>0</v>
      </c>
      <c r="U1870">
        <f t="shared" si="147"/>
        <v>0</v>
      </c>
      <c r="V1870">
        <f t="shared" si="148"/>
        <v>1</v>
      </c>
      <c r="W1870">
        <f t="shared" si="149"/>
        <v>0</v>
      </c>
      <c r="X1870">
        <v>1</v>
      </c>
      <c r="Y1870" s="2">
        <v>45768</v>
      </c>
      <c r="Z1870" s="3" t="s">
        <v>47</v>
      </c>
      <c r="AA1870" t="s">
        <v>39</v>
      </c>
      <c r="AB1870" t="s">
        <v>40</v>
      </c>
      <c r="AC1870" t="s">
        <v>40</v>
      </c>
      <c r="AD1870" t="s">
        <v>184</v>
      </c>
    </row>
    <row r="1871" spans="2:30">
      <c r="B1871">
        <v>1</v>
      </c>
      <c r="C1871">
        <v>1020</v>
      </c>
      <c r="D1871" t="s">
        <v>181</v>
      </c>
      <c r="E1871">
        <v>14251040</v>
      </c>
      <c r="F1871" t="s">
        <v>1963</v>
      </c>
      <c r="G1871" t="s">
        <v>43</v>
      </c>
      <c r="H1871" t="s">
        <v>60</v>
      </c>
      <c r="I1871" t="s">
        <v>183</v>
      </c>
      <c r="J1871" t="s">
        <v>45</v>
      </c>
      <c r="K1871" t="s">
        <v>35</v>
      </c>
      <c r="L1871" t="s">
        <v>36</v>
      </c>
      <c r="M1871" t="s">
        <v>46</v>
      </c>
      <c r="N1871">
        <v>2</v>
      </c>
      <c r="O1871">
        <v>1</v>
      </c>
      <c r="P1871">
        <v>0</v>
      </c>
      <c r="Q1871">
        <v>2</v>
      </c>
      <c r="R1871" s="4">
        <v>1120.43</v>
      </c>
      <c r="S1871" t="str">
        <f t="shared" si="145"/>
        <v>PY: Media Crit.</v>
      </c>
      <c r="T1871">
        <f t="shared" si="146"/>
        <v>0</v>
      </c>
      <c r="U1871">
        <f t="shared" si="147"/>
        <v>0</v>
      </c>
      <c r="V1871">
        <f t="shared" si="148"/>
        <v>1</v>
      </c>
      <c r="W1871">
        <f t="shared" si="149"/>
        <v>0</v>
      </c>
      <c r="X1871">
        <v>1</v>
      </c>
      <c r="Y1871" s="2">
        <v>45768</v>
      </c>
      <c r="Z1871" s="3" t="s">
        <v>47</v>
      </c>
      <c r="AA1871" t="s">
        <v>39</v>
      </c>
      <c r="AB1871" t="s">
        <v>40</v>
      </c>
      <c r="AC1871" t="s">
        <v>40</v>
      </c>
      <c r="AD1871" t="s">
        <v>184</v>
      </c>
    </row>
    <row r="1872" spans="2:30">
      <c r="B1872">
        <v>1</v>
      </c>
      <c r="C1872">
        <v>1020</v>
      </c>
      <c r="D1872" t="s">
        <v>181</v>
      </c>
      <c r="E1872">
        <v>14251041</v>
      </c>
      <c r="F1872" t="s">
        <v>1965</v>
      </c>
      <c r="G1872" t="s">
        <v>43</v>
      </c>
      <c r="H1872" t="s">
        <v>60</v>
      </c>
      <c r="I1872" t="s">
        <v>183</v>
      </c>
      <c r="J1872" t="s">
        <v>45</v>
      </c>
      <c r="K1872" t="s">
        <v>35</v>
      </c>
      <c r="L1872" t="s">
        <v>36</v>
      </c>
      <c r="M1872" t="s">
        <v>46</v>
      </c>
      <c r="N1872">
        <v>4</v>
      </c>
      <c r="O1872">
        <v>2</v>
      </c>
      <c r="P1872">
        <v>0</v>
      </c>
      <c r="Q1872">
        <v>4</v>
      </c>
      <c r="R1872">
        <v>666.84</v>
      </c>
      <c r="S1872" t="str">
        <f t="shared" si="145"/>
        <v>PY: Media Crit.</v>
      </c>
      <c r="T1872">
        <f t="shared" si="146"/>
        <v>0</v>
      </c>
      <c r="U1872">
        <f t="shared" si="147"/>
        <v>0</v>
      </c>
      <c r="V1872">
        <f t="shared" si="148"/>
        <v>1</v>
      </c>
      <c r="W1872">
        <f t="shared" si="149"/>
        <v>0</v>
      </c>
      <c r="X1872">
        <v>1</v>
      </c>
      <c r="Y1872" s="2">
        <v>45768</v>
      </c>
      <c r="Z1872" s="3" t="s">
        <v>47</v>
      </c>
      <c r="AA1872" t="s">
        <v>39</v>
      </c>
      <c r="AB1872" t="s">
        <v>40</v>
      </c>
      <c r="AC1872" t="s">
        <v>40</v>
      </c>
      <c r="AD1872" t="s">
        <v>184</v>
      </c>
    </row>
    <row r="1873" spans="2:30">
      <c r="B1873">
        <v>1</v>
      </c>
      <c r="C1873">
        <v>1020</v>
      </c>
      <c r="D1873" t="s">
        <v>181</v>
      </c>
      <c r="E1873">
        <v>14256293</v>
      </c>
      <c r="F1873" t="s">
        <v>1966</v>
      </c>
      <c r="G1873" t="s">
        <v>52</v>
      </c>
      <c r="H1873" t="s">
        <v>44</v>
      </c>
      <c r="I1873" t="s">
        <v>183</v>
      </c>
      <c r="J1873" t="s">
        <v>45</v>
      </c>
      <c r="K1873" t="s">
        <v>35</v>
      </c>
      <c r="L1873" t="s">
        <v>36</v>
      </c>
      <c r="M1873" t="s">
        <v>37</v>
      </c>
      <c r="N1873">
        <v>8</v>
      </c>
      <c r="O1873">
        <v>5</v>
      </c>
      <c r="P1873">
        <v>0</v>
      </c>
      <c r="Q1873">
        <v>6</v>
      </c>
      <c r="R1873" s="4">
        <v>3481.92</v>
      </c>
      <c r="S1873" t="str">
        <f t="shared" si="145"/>
        <v>PZ: Alta Crit.</v>
      </c>
      <c r="T1873">
        <f t="shared" si="146"/>
        <v>0</v>
      </c>
      <c r="U1873">
        <f t="shared" si="147"/>
        <v>0</v>
      </c>
      <c r="V1873">
        <f t="shared" si="148"/>
        <v>1</v>
      </c>
      <c r="W1873">
        <f t="shared" si="149"/>
        <v>0</v>
      </c>
      <c r="X1873">
        <v>1</v>
      </c>
      <c r="Y1873" s="2">
        <v>45768</v>
      </c>
      <c r="Z1873" s="3" t="s">
        <v>38</v>
      </c>
      <c r="AA1873" t="s">
        <v>39</v>
      </c>
      <c r="AB1873" t="s">
        <v>40</v>
      </c>
      <c r="AC1873" t="s">
        <v>40</v>
      </c>
      <c r="AD1873" t="s">
        <v>184</v>
      </c>
    </row>
    <row r="1874" spans="2:30">
      <c r="B1874">
        <v>1</v>
      </c>
      <c r="C1874">
        <v>1020</v>
      </c>
      <c r="D1874" t="s">
        <v>181</v>
      </c>
      <c r="E1874">
        <v>14259605</v>
      </c>
      <c r="F1874" t="s">
        <v>1967</v>
      </c>
      <c r="G1874" t="s">
        <v>31</v>
      </c>
      <c r="H1874" t="s">
        <v>60</v>
      </c>
      <c r="I1874" t="s">
        <v>183</v>
      </c>
      <c r="J1874" t="s">
        <v>45</v>
      </c>
      <c r="K1874" t="s">
        <v>35</v>
      </c>
      <c r="L1874" t="s">
        <v>36</v>
      </c>
      <c r="M1874" t="s">
        <v>46</v>
      </c>
      <c r="N1874">
        <v>8</v>
      </c>
      <c r="O1874">
        <v>4</v>
      </c>
      <c r="P1874">
        <v>0</v>
      </c>
      <c r="Q1874">
        <v>8</v>
      </c>
      <c r="R1874" s="4">
        <v>2127.9</v>
      </c>
      <c r="S1874" t="str">
        <f t="shared" si="145"/>
        <v>PX: Baja Crit.</v>
      </c>
      <c r="T1874">
        <f t="shared" si="146"/>
        <v>0</v>
      </c>
      <c r="U1874">
        <f t="shared" si="147"/>
        <v>0</v>
      </c>
      <c r="V1874">
        <f t="shared" si="148"/>
        <v>1</v>
      </c>
      <c r="W1874">
        <f t="shared" si="149"/>
        <v>0</v>
      </c>
      <c r="X1874">
        <v>1</v>
      </c>
      <c r="Y1874" s="2">
        <v>45768</v>
      </c>
      <c r="Z1874" s="3" t="s">
        <v>47</v>
      </c>
      <c r="AA1874" t="s">
        <v>39</v>
      </c>
      <c r="AB1874" t="s">
        <v>40</v>
      </c>
      <c r="AC1874" t="s">
        <v>40</v>
      </c>
      <c r="AD1874" t="s">
        <v>184</v>
      </c>
    </row>
    <row r="1875" spans="2:30">
      <c r="B1875">
        <v>1</v>
      </c>
      <c r="C1875">
        <v>1020</v>
      </c>
      <c r="D1875" t="s">
        <v>388</v>
      </c>
      <c r="E1875">
        <v>14265746</v>
      </c>
      <c r="F1875" t="s">
        <v>1968</v>
      </c>
      <c r="G1875" t="s">
        <v>43</v>
      </c>
      <c r="H1875" t="s">
        <v>44</v>
      </c>
      <c r="I1875" t="s">
        <v>390</v>
      </c>
      <c r="J1875" t="s">
        <v>45</v>
      </c>
      <c r="K1875" t="s">
        <v>35</v>
      </c>
      <c r="L1875" t="s">
        <v>175</v>
      </c>
      <c r="M1875" t="s">
        <v>69</v>
      </c>
      <c r="N1875">
        <v>0</v>
      </c>
      <c r="O1875">
        <v>0</v>
      </c>
      <c r="P1875">
        <v>1</v>
      </c>
      <c r="Q1875">
        <v>1</v>
      </c>
      <c r="R1875">
        <v>672.2</v>
      </c>
      <c r="S1875" t="str">
        <f t="shared" si="145"/>
        <v>PY: Media Crit.</v>
      </c>
      <c r="T1875">
        <f t="shared" si="146"/>
        <v>0</v>
      </c>
      <c r="U1875">
        <f t="shared" si="147"/>
        <v>1</v>
      </c>
      <c r="V1875">
        <f t="shared" si="148"/>
        <v>0</v>
      </c>
      <c r="W1875">
        <f t="shared" si="149"/>
        <v>1</v>
      </c>
      <c r="X1875">
        <v>1</v>
      </c>
      <c r="Y1875" s="2">
        <v>45768</v>
      </c>
      <c r="Z1875" s="3" t="s">
        <v>70</v>
      </c>
      <c r="AA1875" t="s">
        <v>39</v>
      </c>
      <c r="AB1875" t="s">
        <v>40</v>
      </c>
      <c r="AC1875" t="s">
        <v>40</v>
      </c>
      <c r="AD1875" t="s">
        <v>391</v>
      </c>
    </row>
    <row r="1876" spans="2:30">
      <c r="B1876">
        <v>1</v>
      </c>
      <c r="C1876">
        <v>1020</v>
      </c>
      <c r="D1876" t="s">
        <v>388</v>
      </c>
      <c r="E1876">
        <v>14270171</v>
      </c>
      <c r="F1876" t="s">
        <v>1969</v>
      </c>
      <c r="G1876" t="s">
        <v>52</v>
      </c>
      <c r="H1876" t="s">
        <v>44</v>
      </c>
      <c r="I1876" t="s">
        <v>390</v>
      </c>
      <c r="J1876" t="s">
        <v>45</v>
      </c>
      <c r="K1876" t="s">
        <v>35</v>
      </c>
      <c r="L1876" t="s">
        <v>175</v>
      </c>
      <c r="M1876" t="s">
        <v>69</v>
      </c>
      <c r="N1876">
        <v>0</v>
      </c>
      <c r="O1876">
        <v>0</v>
      </c>
      <c r="P1876">
        <v>1</v>
      </c>
      <c r="Q1876">
        <v>1</v>
      </c>
      <c r="R1876" s="4">
        <v>1893.92</v>
      </c>
      <c r="S1876" t="str">
        <f t="shared" si="145"/>
        <v>PZ: Alta Crit.</v>
      </c>
      <c r="T1876">
        <f t="shared" si="146"/>
        <v>0</v>
      </c>
      <c r="U1876">
        <f t="shared" si="147"/>
        <v>1</v>
      </c>
      <c r="V1876">
        <f t="shared" si="148"/>
        <v>0</v>
      </c>
      <c r="W1876">
        <f t="shared" si="149"/>
        <v>1</v>
      </c>
      <c r="X1876">
        <v>1</v>
      </c>
      <c r="Y1876" s="2">
        <v>45768</v>
      </c>
      <c r="Z1876" s="3" t="s">
        <v>70</v>
      </c>
      <c r="AA1876" t="s">
        <v>39</v>
      </c>
      <c r="AB1876" t="s">
        <v>40</v>
      </c>
      <c r="AC1876" t="s">
        <v>40</v>
      </c>
      <c r="AD1876" t="s">
        <v>391</v>
      </c>
    </row>
    <row r="1877" spans="2:30">
      <c r="B1877">
        <v>1</v>
      </c>
      <c r="C1877">
        <v>1020</v>
      </c>
      <c r="D1877" t="s">
        <v>388</v>
      </c>
      <c r="E1877">
        <v>14270473</v>
      </c>
      <c r="F1877" t="s">
        <v>1970</v>
      </c>
      <c r="G1877" t="s">
        <v>52</v>
      </c>
      <c r="H1877" t="s">
        <v>44</v>
      </c>
      <c r="I1877" t="s">
        <v>390</v>
      </c>
      <c r="J1877" t="s">
        <v>45</v>
      </c>
      <c r="K1877" t="s">
        <v>35</v>
      </c>
      <c r="L1877" t="s">
        <v>175</v>
      </c>
      <c r="M1877" t="s">
        <v>69</v>
      </c>
      <c r="N1877">
        <v>0</v>
      </c>
      <c r="O1877">
        <v>0</v>
      </c>
      <c r="P1877">
        <v>1</v>
      </c>
      <c r="Q1877">
        <v>1</v>
      </c>
      <c r="R1877" s="4">
        <v>6938.03</v>
      </c>
      <c r="S1877" t="str">
        <f t="shared" si="145"/>
        <v>PZ: Alta Crit.</v>
      </c>
      <c r="T1877">
        <f t="shared" si="146"/>
        <v>0</v>
      </c>
      <c r="U1877">
        <f t="shared" si="147"/>
        <v>1</v>
      </c>
      <c r="V1877">
        <f t="shared" si="148"/>
        <v>0</v>
      </c>
      <c r="W1877">
        <f t="shared" si="149"/>
        <v>1</v>
      </c>
      <c r="X1877">
        <v>1</v>
      </c>
      <c r="Y1877" s="2">
        <v>45768</v>
      </c>
      <c r="Z1877" s="3" t="s">
        <v>70</v>
      </c>
      <c r="AA1877" t="s">
        <v>39</v>
      </c>
      <c r="AB1877" t="s">
        <v>40</v>
      </c>
      <c r="AC1877" t="s">
        <v>40</v>
      </c>
      <c r="AD1877" t="s">
        <v>391</v>
      </c>
    </row>
    <row r="1878" spans="2:30">
      <c r="B1878">
        <v>1</v>
      </c>
      <c r="C1878">
        <v>1020</v>
      </c>
      <c r="D1878" t="s">
        <v>388</v>
      </c>
      <c r="E1878">
        <v>14270603</v>
      </c>
      <c r="F1878" t="s">
        <v>1971</v>
      </c>
      <c r="G1878" t="s">
        <v>52</v>
      </c>
      <c r="H1878" t="s">
        <v>44</v>
      </c>
      <c r="I1878" t="s">
        <v>390</v>
      </c>
      <c r="J1878" t="s">
        <v>45</v>
      </c>
      <c r="K1878" t="s">
        <v>252</v>
      </c>
      <c r="L1878" t="s">
        <v>175</v>
      </c>
      <c r="M1878" t="s">
        <v>37</v>
      </c>
      <c r="N1878">
        <v>0</v>
      </c>
      <c r="O1878">
        <v>0</v>
      </c>
      <c r="P1878">
        <v>1</v>
      </c>
      <c r="Q1878">
        <v>0</v>
      </c>
      <c r="R1878">
        <v>0</v>
      </c>
      <c r="S1878" t="str">
        <f t="shared" si="145"/>
        <v>PZ: Alta Crit.</v>
      </c>
      <c r="T1878">
        <f t="shared" si="146"/>
        <v>1</v>
      </c>
      <c r="U1878">
        <f t="shared" si="147"/>
        <v>0</v>
      </c>
      <c r="V1878">
        <f t="shared" si="148"/>
        <v>0</v>
      </c>
      <c r="W1878">
        <f t="shared" si="149"/>
        <v>0</v>
      </c>
      <c r="X1878">
        <v>1</v>
      </c>
      <c r="Y1878" s="2">
        <v>45768</v>
      </c>
      <c r="Z1878" s="3" t="s">
        <v>38</v>
      </c>
      <c r="AA1878" t="s">
        <v>39</v>
      </c>
      <c r="AB1878" t="s">
        <v>40</v>
      </c>
      <c r="AC1878" t="s">
        <v>40</v>
      </c>
      <c r="AD1878" t="s">
        <v>391</v>
      </c>
    </row>
    <row r="1879" spans="2:30">
      <c r="B1879">
        <v>1</v>
      </c>
      <c r="C1879">
        <v>1020</v>
      </c>
      <c r="D1879" t="s">
        <v>181</v>
      </c>
      <c r="E1879">
        <v>14274397</v>
      </c>
      <c r="F1879" t="s">
        <v>1972</v>
      </c>
      <c r="G1879" t="s">
        <v>43</v>
      </c>
      <c r="H1879" t="s">
        <v>60</v>
      </c>
      <c r="I1879" t="s">
        <v>183</v>
      </c>
      <c r="J1879" t="s">
        <v>45</v>
      </c>
      <c r="K1879" t="s">
        <v>35</v>
      </c>
      <c r="L1879" t="s">
        <v>36</v>
      </c>
      <c r="M1879" t="s">
        <v>46</v>
      </c>
      <c r="N1879">
        <v>2</v>
      </c>
      <c r="O1879">
        <v>1</v>
      </c>
      <c r="P1879">
        <v>0</v>
      </c>
      <c r="Q1879">
        <v>3</v>
      </c>
      <c r="R1879">
        <v>723.52</v>
      </c>
      <c r="S1879" t="str">
        <f t="shared" si="145"/>
        <v>PY: Media Crit.</v>
      </c>
      <c r="T1879">
        <f t="shared" si="146"/>
        <v>0</v>
      </c>
      <c r="U1879">
        <f t="shared" si="147"/>
        <v>0</v>
      </c>
      <c r="V1879">
        <f t="shared" si="148"/>
        <v>0</v>
      </c>
      <c r="W1879">
        <f t="shared" si="149"/>
        <v>1</v>
      </c>
      <c r="X1879">
        <v>1</v>
      </c>
      <c r="Y1879" s="2">
        <v>45768</v>
      </c>
      <c r="Z1879" s="3" t="s">
        <v>47</v>
      </c>
      <c r="AA1879" t="s">
        <v>39</v>
      </c>
      <c r="AB1879" t="s">
        <v>40</v>
      </c>
      <c r="AC1879" t="s">
        <v>40</v>
      </c>
      <c r="AD1879" t="s">
        <v>184</v>
      </c>
    </row>
    <row r="1880" spans="2:30">
      <c r="B1880">
        <v>1</v>
      </c>
      <c r="C1880">
        <v>1020</v>
      </c>
      <c r="D1880" t="s">
        <v>181</v>
      </c>
      <c r="E1880">
        <v>14275106</v>
      </c>
      <c r="F1880" t="s">
        <v>1973</v>
      </c>
      <c r="G1880" t="s">
        <v>43</v>
      </c>
      <c r="H1880" t="s">
        <v>60</v>
      </c>
      <c r="I1880" t="s">
        <v>183</v>
      </c>
      <c r="J1880" t="s">
        <v>45</v>
      </c>
      <c r="K1880" t="s">
        <v>35</v>
      </c>
      <c r="L1880" t="s">
        <v>36</v>
      </c>
      <c r="M1880" t="s">
        <v>117</v>
      </c>
      <c r="N1880">
        <v>8</v>
      </c>
      <c r="O1880">
        <v>4</v>
      </c>
      <c r="P1880">
        <v>0</v>
      </c>
      <c r="Q1880">
        <v>8</v>
      </c>
      <c r="R1880">
        <v>600</v>
      </c>
      <c r="S1880" t="str">
        <f t="shared" si="145"/>
        <v>PY: Media Crit.</v>
      </c>
      <c r="T1880">
        <f t="shared" si="146"/>
        <v>0</v>
      </c>
      <c r="U1880">
        <f t="shared" si="147"/>
        <v>0</v>
      </c>
      <c r="V1880">
        <f t="shared" si="148"/>
        <v>1</v>
      </c>
      <c r="W1880">
        <f t="shared" si="149"/>
        <v>0</v>
      </c>
      <c r="X1880">
        <v>1</v>
      </c>
      <c r="Y1880" s="2">
        <v>45768</v>
      </c>
      <c r="Z1880" s="3" t="s">
        <v>118</v>
      </c>
      <c r="AA1880" t="s">
        <v>39</v>
      </c>
      <c r="AB1880" t="s">
        <v>40</v>
      </c>
      <c r="AC1880" t="s">
        <v>40</v>
      </c>
      <c r="AD1880" t="s">
        <v>184</v>
      </c>
    </row>
    <row r="1881" spans="2:30">
      <c r="B1881">
        <v>1</v>
      </c>
      <c r="C1881">
        <v>1020</v>
      </c>
      <c r="D1881" t="s">
        <v>388</v>
      </c>
      <c r="E1881">
        <v>14277661</v>
      </c>
      <c r="F1881" t="s">
        <v>1974</v>
      </c>
      <c r="G1881" t="s">
        <v>43</v>
      </c>
      <c r="H1881" t="s">
        <v>60</v>
      </c>
      <c r="I1881" t="s">
        <v>390</v>
      </c>
      <c r="J1881" t="s">
        <v>45</v>
      </c>
      <c r="K1881" t="s">
        <v>35</v>
      </c>
      <c r="L1881" t="s">
        <v>175</v>
      </c>
      <c r="M1881" t="s">
        <v>69</v>
      </c>
      <c r="N1881">
        <v>0</v>
      </c>
      <c r="O1881">
        <v>0</v>
      </c>
      <c r="P1881">
        <v>1</v>
      </c>
      <c r="Q1881">
        <v>0</v>
      </c>
      <c r="R1881">
        <v>0</v>
      </c>
      <c r="S1881" t="str">
        <f t="shared" si="145"/>
        <v>PY: Media Crit.</v>
      </c>
      <c r="T1881">
        <f t="shared" si="146"/>
        <v>1</v>
      </c>
      <c r="U1881">
        <f t="shared" si="147"/>
        <v>0</v>
      </c>
      <c r="V1881">
        <f t="shared" si="148"/>
        <v>0</v>
      </c>
      <c r="W1881">
        <f t="shared" si="149"/>
        <v>0</v>
      </c>
      <c r="X1881">
        <v>1</v>
      </c>
      <c r="Y1881" s="2">
        <v>45768</v>
      </c>
      <c r="Z1881" s="3" t="s">
        <v>70</v>
      </c>
      <c r="AA1881" t="s">
        <v>39</v>
      </c>
      <c r="AB1881" t="s">
        <v>76</v>
      </c>
      <c r="AC1881" s="5" t="s">
        <v>77</v>
      </c>
      <c r="AD1881" t="s">
        <v>391</v>
      </c>
    </row>
    <row r="1882" spans="2:30">
      <c r="B1882">
        <v>1</v>
      </c>
      <c r="C1882">
        <v>1020</v>
      </c>
      <c r="D1882" t="s">
        <v>181</v>
      </c>
      <c r="E1882">
        <v>14280327</v>
      </c>
      <c r="F1882" t="s">
        <v>1975</v>
      </c>
      <c r="G1882" t="s">
        <v>52</v>
      </c>
      <c r="H1882" t="s">
        <v>60</v>
      </c>
      <c r="I1882" t="s">
        <v>183</v>
      </c>
      <c r="J1882" t="s">
        <v>45</v>
      </c>
      <c r="K1882" t="s">
        <v>62</v>
      </c>
      <c r="L1882" t="s">
        <v>36</v>
      </c>
      <c r="M1882" t="s">
        <v>117</v>
      </c>
      <c r="N1882">
        <v>4</v>
      </c>
      <c r="O1882">
        <v>2</v>
      </c>
      <c r="P1882">
        <v>0</v>
      </c>
      <c r="Q1882">
        <v>2</v>
      </c>
      <c r="R1882" s="4">
        <v>1113.9000000000001</v>
      </c>
      <c r="S1882" t="str">
        <f t="shared" si="145"/>
        <v>PZ: Alta Crit.</v>
      </c>
      <c r="T1882">
        <f t="shared" si="146"/>
        <v>0</v>
      </c>
      <c r="U1882">
        <f t="shared" si="147"/>
        <v>0</v>
      </c>
      <c r="V1882">
        <f t="shared" si="148"/>
        <v>1</v>
      </c>
      <c r="W1882">
        <f t="shared" si="149"/>
        <v>0</v>
      </c>
      <c r="X1882">
        <v>1</v>
      </c>
      <c r="Y1882" s="2">
        <v>45768</v>
      </c>
      <c r="Z1882" s="3" t="s">
        <v>118</v>
      </c>
      <c r="AA1882" t="s">
        <v>39</v>
      </c>
      <c r="AB1882" t="s">
        <v>40</v>
      </c>
      <c r="AC1882" t="s">
        <v>40</v>
      </c>
      <c r="AD1882" t="s">
        <v>184</v>
      </c>
    </row>
    <row r="1883" spans="2:30">
      <c r="B1883">
        <v>1</v>
      </c>
      <c r="C1883">
        <v>1020</v>
      </c>
      <c r="D1883" t="s">
        <v>181</v>
      </c>
      <c r="E1883">
        <v>14280342</v>
      </c>
      <c r="F1883" t="s">
        <v>1976</v>
      </c>
      <c r="G1883" t="s">
        <v>52</v>
      </c>
      <c r="H1883" t="s">
        <v>44</v>
      </c>
      <c r="I1883" t="s">
        <v>183</v>
      </c>
      <c r="J1883" t="s">
        <v>45</v>
      </c>
      <c r="K1883" t="s">
        <v>35</v>
      </c>
      <c r="L1883" t="s">
        <v>36</v>
      </c>
      <c r="M1883" t="s">
        <v>46</v>
      </c>
      <c r="N1883">
        <v>20</v>
      </c>
      <c r="O1883">
        <v>12</v>
      </c>
      <c r="P1883">
        <v>0</v>
      </c>
      <c r="Q1883">
        <v>20</v>
      </c>
      <c r="R1883" s="4">
        <v>2246.35</v>
      </c>
      <c r="S1883" t="str">
        <f t="shared" si="145"/>
        <v>PZ: Alta Crit.</v>
      </c>
      <c r="T1883">
        <f t="shared" si="146"/>
        <v>0</v>
      </c>
      <c r="U1883">
        <f t="shared" si="147"/>
        <v>0</v>
      </c>
      <c r="V1883">
        <f t="shared" si="148"/>
        <v>1</v>
      </c>
      <c r="W1883">
        <f t="shared" si="149"/>
        <v>0</v>
      </c>
      <c r="X1883">
        <v>1</v>
      </c>
      <c r="Y1883" s="2">
        <v>45768</v>
      </c>
      <c r="Z1883" s="3" t="s">
        <v>47</v>
      </c>
      <c r="AA1883" t="s">
        <v>39</v>
      </c>
      <c r="AB1883" t="s">
        <v>40</v>
      </c>
      <c r="AC1883" t="s">
        <v>40</v>
      </c>
      <c r="AD1883" t="s">
        <v>184</v>
      </c>
    </row>
    <row r="1884" spans="2:30">
      <c r="B1884">
        <v>1</v>
      </c>
      <c r="C1884">
        <v>1020</v>
      </c>
      <c r="D1884" t="s">
        <v>181</v>
      </c>
      <c r="E1884">
        <v>14280375</v>
      </c>
      <c r="F1884" t="s">
        <v>1977</v>
      </c>
      <c r="G1884" t="s">
        <v>31</v>
      </c>
      <c r="H1884" t="s">
        <v>44</v>
      </c>
      <c r="I1884" t="s">
        <v>183</v>
      </c>
      <c r="J1884" t="s">
        <v>45</v>
      </c>
      <c r="K1884" t="s">
        <v>35</v>
      </c>
      <c r="L1884" t="s">
        <v>36</v>
      </c>
      <c r="M1884" t="s">
        <v>117</v>
      </c>
      <c r="N1884">
        <v>200</v>
      </c>
      <c r="O1884">
        <v>101</v>
      </c>
      <c r="P1884">
        <v>0</v>
      </c>
      <c r="Q1884">
        <v>200</v>
      </c>
      <c r="R1884" s="4">
        <v>12486.23</v>
      </c>
      <c r="S1884" t="str">
        <f t="shared" si="145"/>
        <v>PX: Baja Crit.</v>
      </c>
      <c r="T1884">
        <f t="shared" si="146"/>
        <v>0</v>
      </c>
      <c r="U1884">
        <f t="shared" si="147"/>
        <v>0</v>
      </c>
      <c r="V1884">
        <f t="shared" si="148"/>
        <v>1</v>
      </c>
      <c r="W1884">
        <f t="shared" si="149"/>
        <v>0</v>
      </c>
      <c r="X1884">
        <v>1</v>
      </c>
      <c r="Y1884" s="2">
        <v>45768</v>
      </c>
      <c r="Z1884" s="3" t="s">
        <v>118</v>
      </c>
      <c r="AA1884" t="s">
        <v>39</v>
      </c>
      <c r="AB1884" t="s">
        <v>40</v>
      </c>
      <c r="AC1884" t="s">
        <v>40</v>
      </c>
      <c r="AD1884" t="s">
        <v>184</v>
      </c>
    </row>
    <row r="1885" spans="2:30">
      <c r="B1885">
        <v>1</v>
      </c>
      <c r="C1885">
        <v>1020</v>
      </c>
      <c r="D1885" t="s">
        <v>181</v>
      </c>
      <c r="E1885">
        <v>14285370</v>
      </c>
      <c r="F1885" t="s">
        <v>1978</v>
      </c>
      <c r="G1885" t="s">
        <v>43</v>
      </c>
      <c r="H1885" t="s">
        <v>60</v>
      </c>
      <c r="I1885" t="s">
        <v>183</v>
      </c>
      <c r="J1885" t="s">
        <v>45</v>
      </c>
      <c r="K1885" t="s">
        <v>35</v>
      </c>
      <c r="L1885" t="s">
        <v>36</v>
      </c>
      <c r="M1885" t="s">
        <v>69</v>
      </c>
      <c r="N1885">
        <v>3</v>
      </c>
      <c r="O1885">
        <v>2</v>
      </c>
      <c r="P1885">
        <v>1</v>
      </c>
      <c r="Q1885">
        <v>3</v>
      </c>
      <c r="R1885" s="4">
        <v>9144.3700000000008</v>
      </c>
      <c r="S1885" t="str">
        <f t="shared" si="145"/>
        <v>PY: Media Crit.</v>
      </c>
      <c r="T1885">
        <f t="shared" si="146"/>
        <v>0</v>
      </c>
      <c r="U1885">
        <f t="shared" si="147"/>
        <v>0</v>
      </c>
      <c r="V1885">
        <f t="shared" si="148"/>
        <v>1</v>
      </c>
      <c r="W1885">
        <f t="shared" si="149"/>
        <v>0</v>
      </c>
      <c r="X1885">
        <v>1</v>
      </c>
      <c r="Y1885" s="2">
        <v>45768</v>
      </c>
      <c r="Z1885" s="3" t="s">
        <v>70</v>
      </c>
      <c r="AA1885" t="s">
        <v>39</v>
      </c>
      <c r="AB1885" t="s">
        <v>40</v>
      </c>
      <c r="AC1885" t="s">
        <v>40</v>
      </c>
      <c r="AD1885" t="s">
        <v>184</v>
      </c>
    </row>
    <row r="1886" spans="2:30">
      <c r="B1886">
        <v>1</v>
      </c>
      <c r="C1886">
        <v>1020</v>
      </c>
      <c r="D1886" t="s">
        <v>181</v>
      </c>
      <c r="E1886">
        <v>14288788</v>
      </c>
      <c r="F1886" t="s">
        <v>1979</v>
      </c>
      <c r="G1886" t="s">
        <v>43</v>
      </c>
      <c r="H1886" t="s">
        <v>60</v>
      </c>
      <c r="I1886" t="s">
        <v>183</v>
      </c>
      <c r="J1886" t="s">
        <v>45</v>
      </c>
      <c r="K1886" t="s">
        <v>35</v>
      </c>
      <c r="L1886" t="s">
        <v>36</v>
      </c>
      <c r="M1886" t="s">
        <v>69</v>
      </c>
      <c r="N1886">
        <v>2</v>
      </c>
      <c r="O1886">
        <v>2</v>
      </c>
      <c r="P1886">
        <v>0</v>
      </c>
      <c r="Q1886">
        <v>2</v>
      </c>
      <c r="R1886">
        <v>201.79</v>
      </c>
      <c r="S1886" t="str">
        <f t="shared" si="145"/>
        <v>PY: Media Crit.</v>
      </c>
      <c r="T1886">
        <f t="shared" si="146"/>
        <v>0</v>
      </c>
      <c r="U1886">
        <f t="shared" si="147"/>
        <v>0</v>
      </c>
      <c r="V1886">
        <f t="shared" si="148"/>
        <v>1</v>
      </c>
      <c r="W1886">
        <f t="shared" si="149"/>
        <v>0</v>
      </c>
      <c r="X1886">
        <v>1</v>
      </c>
      <c r="Y1886" s="2">
        <v>45768</v>
      </c>
      <c r="Z1886" s="3" t="s">
        <v>70</v>
      </c>
      <c r="AA1886" t="s">
        <v>39</v>
      </c>
      <c r="AB1886" t="s">
        <v>40</v>
      </c>
      <c r="AC1886" t="s">
        <v>40</v>
      </c>
      <c r="AD1886" t="s">
        <v>184</v>
      </c>
    </row>
    <row r="1887" spans="2:30">
      <c r="B1887">
        <v>1</v>
      </c>
      <c r="C1887">
        <v>1020</v>
      </c>
      <c r="D1887" t="s">
        <v>181</v>
      </c>
      <c r="E1887">
        <v>14288792</v>
      </c>
      <c r="F1887" t="s">
        <v>1980</v>
      </c>
      <c r="G1887" t="s">
        <v>43</v>
      </c>
      <c r="H1887" t="s">
        <v>60</v>
      </c>
      <c r="I1887" t="s">
        <v>183</v>
      </c>
      <c r="J1887" t="s">
        <v>45</v>
      </c>
      <c r="K1887" t="s">
        <v>35</v>
      </c>
      <c r="L1887" t="s">
        <v>36</v>
      </c>
      <c r="M1887" t="s">
        <v>69</v>
      </c>
      <c r="N1887">
        <v>2</v>
      </c>
      <c r="O1887">
        <v>2</v>
      </c>
      <c r="P1887">
        <v>0</v>
      </c>
      <c r="Q1887">
        <v>2</v>
      </c>
      <c r="R1887">
        <v>238.62</v>
      </c>
      <c r="S1887" t="str">
        <f t="shared" si="145"/>
        <v>PY: Media Crit.</v>
      </c>
      <c r="T1887">
        <f t="shared" si="146"/>
        <v>0</v>
      </c>
      <c r="U1887">
        <f t="shared" si="147"/>
        <v>0</v>
      </c>
      <c r="V1887">
        <f t="shared" si="148"/>
        <v>1</v>
      </c>
      <c r="W1887">
        <f t="shared" si="149"/>
        <v>0</v>
      </c>
      <c r="X1887">
        <v>1</v>
      </c>
      <c r="Y1887" s="2">
        <v>45768</v>
      </c>
      <c r="Z1887" s="3" t="s">
        <v>70</v>
      </c>
      <c r="AA1887" t="s">
        <v>39</v>
      </c>
      <c r="AB1887" t="s">
        <v>40</v>
      </c>
      <c r="AC1887" t="s">
        <v>40</v>
      </c>
      <c r="AD1887" t="s">
        <v>184</v>
      </c>
    </row>
    <row r="1888" spans="2:30">
      <c r="B1888">
        <v>1</v>
      </c>
      <c r="C1888">
        <v>1020</v>
      </c>
      <c r="D1888" t="s">
        <v>181</v>
      </c>
      <c r="E1888">
        <v>14293909</v>
      </c>
      <c r="F1888" t="s">
        <v>1981</v>
      </c>
      <c r="G1888" t="s">
        <v>43</v>
      </c>
      <c r="H1888" t="s">
        <v>44</v>
      </c>
      <c r="I1888" t="s">
        <v>183</v>
      </c>
      <c r="J1888" t="s">
        <v>45</v>
      </c>
      <c r="K1888" t="s">
        <v>35</v>
      </c>
      <c r="L1888" t="s">
        <v>36</v>
      </c>
      <c r="M1888" t="s">
        <v>117</v>
      </c>
      <c r="N1888">
        <v>4</v>
      </c>
      <c r="O1888">
        <v>3</v>
      </c>
      <c r="P1888">
        <v>1</v>
      </c>
      <c r="Q1888">
        <v>6</v>
      </c>
      <c r="R1888" s="4">
        <v>10544.47</v>
      </c>
      <c r="S1888" t="str">
        <f t="shared" si="145"/>
        <v>PY: Media Crit.</v>
      </c>
      <c r="T1888">
        <f t="shared" si="146"/>
        <v>0</v>
      </c>
      <c r="U1888">
        <f t="shared" si="147"/>
        <v>0</v>
      </c>
      <c r="V1888">
        <f t="shared" si="148"/>
        <v>0</v>
      </c>
      <c r="W1888">
        <f t="shared" si="149"/>
        <v>1</v>
      </c>
      <c r="X1888">
        <v>1</v>
      </c>
      <c r="Y1888" s="2">
        <v>45768</v>
      </c>
      <c r="Z1888" s="3" t="s">
        <v>118</v>
      </c>
      <c r="AA1888" t="s">
        <v>39</v>
      </c>
      <c r="AB1888" t="s">
        <v>40</v>
      </c>
      <c r="AC1888" t="s">
        <v>40</v>
      </c>
      <c r="AD1888" t="s">
        <v>184</v>
      </c>
    </row>
    <row r="1889" spans="2:30">
      <c r="B1889">
        <v>1</v>
      </c>
      <c r="C1889">
        <v>1020</v>
      </c>
      <c r="D1889" t="s">
        <v>181</v>
      </c>
      <c r="E1889">
        <v>14293918</v>
      </c>
      <c r="F1889" t="s">
        <v>1982</v>
      </c>
      <c r="G1889" t="s">
        <v>43</v>
      </c>
      <c r="H1889" t="s">
        <v>44</v>
      </c>
      <c r="I1889" t="s">
        <v>183</v>
      </c>
      <c r="J1889" t="s">
        <v>45</v>
      </c>
      <c r="K1889" t="s">
        <v>35</v>
      </c>
      <c r="L1889" t="s">
        <v>36</v>
      </c>
      <c r="M1889" t="s">
        <v>117</v>
      </c>
      <c r="N1889">
        <v>4</v>
      </c>
      <c r="O1889">
        <v>3</v>
      </c>
      <c r="P1889">
        <v>1</v>
      </c>
      <c r="Q1889">
        <v>4</v>
      </c>
      <c r="R1889" s="4">
        <v>7205.4</v>
      </c>
      <c r="S1889" t="str">
        <f t="shared" si="145"/>
        <v>PY: Media Crit.</v>
      </c>
      <c r="T1889">
        <f t="shared" si="146"/>
        <v>0</v>
      </c>
      <c r="U1889">
        <f t="shared" si="147"/>
        <v>0</v>
      </c>
      <c r="V1889">
        <f t="shared" si="148"/>
        <v>1</v>
      </c>
      <c r="W1889">
        <f t="shared" si="149"/>
        <v>0</v>
      </c>
      <c r="X1889">
        <v>1</v>
      </c>
      <c r="Y1889" s="2">
        <v>45768</v>
      </c>
      <c r="Z1889" s="3" t="s">
        <v>118</v>
      </c>
      <c r="AA1889" t="s">
        <v>39</v>
      </c>
      <c r="AB1889" t="s">
        <v>40</v>
      </c>
      <c r="AC1889" t="s">
        <v>40</v>
      </c>
      <c r="AD1889" t="s">
        <v>184</v>
      </c>
    </row>
    <row r="1890" spans="2:30">
      <c r="B1890">
        <v>1</v>
      </c>
      <c r="C1890">
        <v>1020</v>
      </c>
      <c r="D1890" t="s">
        <v>181</v>
      </c>
      <c r="E1890">
        <v>14295114</v>
      </c>
      <c r="F1890" t="s">
        <v>1534</v>
      </c>
      <c r="G1890" t="s">
        <v>43</v>
      </c>
      <c r="H1890" t="s">
        <v>44</v>
      </c>
      <c r="I1890" t="s">
        <v>183</v>
      </c>
      <c r="J1890" t="s">
        <v>45</v>
      </c>
      <c r="K1890" t="s">
        <v>35</v>
      </c>
      <c r="L1890" t="s">
        <v>36</v>
      </c>
      <c r="M1890" t="s">
        <v>117</v>
      </c>
      <c r="N1890">
        <v>4</v>
      </c>
      <c r="O1890">
        <v>3</v>
      </c>
      <c r="P1890">
        <v>1</v>
      </c>
      <c r="Q1890">
        <v>4</v>
      </c>
      <c r="R1890" s="4">
        <v>7211.06</v>
      </c>
      <c r="S1890" t="str">
        <f t="shared" si="145"/>
        <v>PY: Media Crit.</v>
      </c>
      <c r="T1890">
        <f t="shared" si="146"/>
        <v>0</v>
      </c>
      <c r="U1890">
        <f t="shared" si="147"/>
        <v>0</v>
      </c>
      <c r="V1890">
        <f t="shared" si="148"/>
        <v>1</v>
      </c>
      <c r="W1890">
        <f t="shared" si="149"/>
        <v>0</v>
      </c>
      <c r="X1890">
        <v>1</v>
      </c>
      <c r="Y1890" s="2">
        <v>45768</v>
      </c>
      <c r="Z1890" s="3" t="s">
        <v>118</v>
      </c>
      <c r="AA1890" t="s">
        <v>39</v>
      </c>
      <c r="AB1890" t="s">
        <v>40</v>
      </c>
      <c r="AC1890" t="s">
        <v>40</v>
      </c>
      <c r="AD1890" t="s">
        <v>184</v>
      </c>
    </row>
    <row r="1891" spans="2:30">
      <c r="B1891">
        <v>1</v>
      </c>
      <c r="C1891">
        <v>1020</v>
      </c>
      <c r="D1891" t="s">
        <v>181</v>
      </c>
      <c r="E1891">
        <v>14296798</v>
      </c>
      <c r="F1891" t="s">
        <v>1983</v>
      </c>
      <c r="G1891" t="s">
        <v>31</v>
      </c>
      <c r="H1891" t="s">
        <v>44</v>
      </c>
      <c r="I1891" t="s">
        <v>183</v>
      </c>
      <c r="J1891" t="s">
        <v>45</v>
      </c>
      <c r="K1891" t="s">
        <v>35</v>
      </c>
      <c r="L1891" t="s">
        <v>36</v>
      </c>
      <c r="M1891" t="s">
        <v>37</v>
      </c>
      <c r="N1891">
        <v>14</v>
      </c>
      <c r="O1891">
        <v>8</v>
      </c>
      <c r="P1891">
        <v>0</v>
      </c>
      <c r="Q1891">
        <v>19</v>
      </c>
      <c r="R1891" s="4">
        <v>38437.83</v>
      </c>
      <c r="S1891" t="str">
        <f t="shared" si="145"/>
        <v>PX: Baja Crit.</v>
      </c>
      <c r="T1891">
        <f t="shared" si="146"/>
        <v>0</v>
      </c>
      <c r="U1891">
        <f t="shared" si="147"/>
        <v>0</v>
      </c>
      <c r="V1891">
        <f t="shared" si="148"/>
        <v>0</v>
      </c>
      <c r="W1891">
        <f t="shared" si="149"/>
        <v>1</v>
      </c>
      <c r="X1891">
        <v>1</v>
      </c>
      <c r="Y1891" s="2">
        <v>45768</v>
      </c>
      <c r="Z1891" s="3" t="s">
        <v>38</v>
      </c>
      <c r="AA1891" t="s">
        <v>39</v>
      </c>
      <c r="AB1891" t="s">
        <v>76</v>
      </c>
      <c r="AC1891" s="5" t="s">
        <v>77</v>
      </c>
      <c r="AD1891" t="s">
        <v>184</v>
      </c>
    </row>
    <row r="1892" spans="2:30">
      <c r="B1892">
        <v>1</v>
      </c>
      <c r="C1892">
        <v>1020</v>
      </c>
      <c r="D1892" t="s">
        <v>181</v>
      </c>
      <c r="E1892">
        <v>14296801</v>
      </c>
      <c r="F1892" t="s">
        <v>1984</v>
      </c>
      <c r="G1892" t="s">
        <v>31</v>
      </c>
      <c r="H1892" t="s">
        <v>44</v>
      </c>
      <c r="I1892" t="s">
        <v>183</v>
      </c>
      <c r="J1892" t="s">
        <v>45</v>
      </c>
      <c r="K1892" t="s">
        <v>35</v>
      </c>
      <c r="L1892" t="s">
        <v>36</v>
      </c>
      <c r="M1892" t="s">
        <v>37</v>
      </c>
      <c r="N1892">
        <v>12</v>
      </c>
      <c r="O1892">
        <v>6</v>
      </c>
      <c r="P1892">
        <v>0</v>
      </c>
      <c r="Q1892">
        <v>19</v>
      </c>
      <c r="R1892" s="4">
        <v>38437.83</v>
      </c>
      <c r="S1892" t="str">
        <f t="shared" si="145"/>
        <v>PX: Baja Crit.</v>
      </c>
      <c r="T1892">
        <f t="shared" si="146"/>
        <v>0</v>
      </c>
      <c r="U1892">
        <f t="shared" si="147"/>
        <v>0</v>
      </c>
      <c r="V1892">
        <f t="shared" si="148"/>
        <v>0</v>
      </c>
      <c r="W1892">
        <f t="shared" si="149"/>
        <v>1</v>
      </c>
      <c r="X1892">
        <v>1</v>
      </c>
      <c r="Y1892" s="2">
        <v>45768</v>
      </c>
      <c r="Z1892" s="3" t="s">
        <v>38</v>
      </c>
      <c r="AA1892" t="s">
        <v>39</v>
      </c>
      <c r="AB1892" t="s">
        <v>76</v>
      </c>
      <c r="AC1892" s="5" t="s">
        <v>77</v>
      </c>
      <c r="AD1892" t="s">
        <v>184</v>
      </c>
    </row>
    <row r="1893" spans="2:30">
      <c r="B1893">
        <v>1</v>
      </c>
      <c r="C1893">
        <v>1020</v>
      </c>
      <c r="D1893" t="s">
        <v>384</v>
      </c>
      <c r="E1893">
        <v>14297275</v>
      </c>
      <c r="F1893" t="s">
        <v>1985</v>
      </c>
      <c r="G1893" t="s">
        <v>43</v>
      </c>
      <c r="H1893" t="s">
        <v>44</v>
      </c>
      <c r="I1893" t="s">
        <v>386</v>
      </c>
      <c r="J1893" t="s">
        <v>45</v>
      </c>
      <c r="K1893" t="s">
        <v>35</v>
      </c>
      <c r="L1893" t="s">
        <v>175</v>
      </c>
      <c r="M1893" t="s">
        <v>46</v>
      </c>
      <c r="N1893">
        <v>0</v>
      </c>
      <c r="O1893">
        <v>0</v>
      </c>
      <c r="P1893">
        <v>0</v>
      </c>
      <c r="Q1893">
        <v>2</v>
      </c>
      <c r="R1893" s="4">
        <v>5016.95</v>
      </c>
      <c r="S1893" t="str">
        <f t="shared" si="145"/>
        <v>PY: Media Crit.</v>
      </c>
      <c r="T1893">
        <f t="shared" si="146"/>
        <v>0</v>
      </c>
      <c r="U1893">
        <f t="shared" si="147"/>
        <v>0</v>
      </c>
      <c r="V1893">
        <f t="shared" si="148"/>
        <v>0</v>
      </c>
      <c r="W1893">
        <f t="shared" si="149"/>
        <v>1</v>
      </c>
      <c r="X1893">
        <v>1</v>
      </c>
      <c r="Y1893" s="2">
        <v>45768</v>
      </c>
      <c r="Z1893" s="3" t="s">
        <v>47</v>
      </c>
      <c r="AA1893" t="s">
        <v>39</v>
      </c>
      <c r="AB1893" t="s">
        <v>40</v>
      </c>
      <c r="AC1893" t="s">
        <v>40</v>
      </c>
      <c r="AD1893" t="s">
        <v>387</v>
      </c>
    </row>
    <row r="1894" spans="2:30">
      <c r="B1894">
        <v>1</v>
      </c>
      <c r="C1894">
        <v>1020</v>
      </c>
      <c r="D1894" t="s">
        <v>181</v>
      </c>
      <c r="E1894">
        <v>14297820</v>
      </c>
      <c r="F1894" t="s">
        <v>1986</v>
      </c>
      <c r="G1894" t="s">
        <v>43</v>
      </c>
      <c r="H1894" t="s">
        <v>60</v>
      </c>
      <c r="I1894" t="s">
        <v>183</v>
      </c>
      <c r="J1894" t="s">
        <v>45</v>
      </c>
      <c r="K1894" t="s">
        <v>35</v>
      </c>
      <c r="L1894" t="s">
        <v>36</v>
      </c>
      <c r="M1894" t="s">
        <v>69</v>
      </c>
      <c r="N1894">
        <v>18</v>
      </c>
      <c r="O1894">
        <v>11</v>
      </c>
      <c r="P1894">
        <v>0</v>
      </c>
      <c r="Q1894">
        <v>0</v>
      </c>
      <c r="R1894">
        <v>0</v>
      </c>
      <c r="S1894" t="str">
        <f t="shared" si="145"/>
        <v>PY: Media Crit.</v>
      </c>
      <c r="T1894">
        <f t="shared" si="146"/>
        <v>1</v>
      </c>
      <c r="U1894">
        <f t="shared" si="147"/>
        <v>0</v>
      </c>
      <c r="V1894">
        <f t="shared" si="148"/>
        <v>0</v>
      </c>
      <c r="W1894">
        <f t="shared" si="149"/>
        <v>0</v>
      </c>
      <c r="X1894">
        <v>1</v>
      </c>
      <c r="Y1894" s="2">
        <v>45768</v>
      </c>
      <c r="Z1894" s="3" t="s">
        <v>70</v>
      </c>
      <c r="AA1894" t="s">
        <v>39</v>
      </c>
      <c r="AB1894" t="s">
        <v>49</v>
      </c>
      <c r="AC1894" s="5" t="s">
        <v>50</v>
      </c>
      <c r="AD1894" t="s">
        <v>184</v>
      </c>
    </row>
    <row r="1895" spans="2:30">
      <c r="B1895">
        <v>1</v>
      </c>
      <c r="C1895">
        <v>1020</v>
      </c>
      <c r="D1895" t="s">
        <v>388</v>
      </c>
      <c r="E1895">
        <v>14299401</v>
      </c>
      <c r="F1895" t="s">
        <v>1987</v>
      </c>
      <c r="G1895" t="s">
        <v>52</v>
      </c>
      <c r="H1895" t="s">
        <v>44</v>
      </c>
      <c r="I1895" t="s">
        <v>390</v>
      </c>
      <c r="J1895" t="s">
        <v>45</v>
      </c>
      <c r="K1895" t="s">
        <v>35</v>
      </c>
      <c r="L1895" t="s">
        <v>175</v>
      </c>
      <c r="M1895" t="s">
        <v>117</v>
      </c>
      <c r="N1895">
        <v>0</v>
      </c>
      <c r="O1895">
        <v>0</v>
      </c>
      <c r="P1895">
        <v>1</v>
      </c>
      <c r="Q1895">
        <v>0</v>
      </c>
      <c r="R1895">
        <v>0</v>
      </c>
      <c r="S1895" t="str">
        <f t="shared" si="145"/>
        <v>PZ: Alta Crit.</v>
      </c>
      <c r="T1895">
        <f t="shared" si="146"/>
        <v>1</v>
      </c>
      <c r="U1895">
        <f t="shared" si="147"/>
        <v>0</v>
      </c>
      <c r="V1895">
        <f t="shared" si="148"/>
        <v>0</v>
      </c>
      <c r="W1895">
        <f t="shared" si="149"/>
        <v>0</v>
      </c>
      <c r="X1895">
        <v>1</v>
      </c>
      <c r="Y1895" s="2">
        <v>45768</v>
      </c>
      <c r="Z1895" s="3" t="s">
        <v>118</v>
      </c>
      <c r="AA1895" t="s">
        <v>39</v>
      </c>
      <c r="AB1895" t="s">
        <v>49</v>
      </c>
      <c r="AC1895" s="5" t="s">
        <v>50</v>
      </c>
      <c r="AD1895" t="s">
        <v>391</v>
      </c>
    </row>
    <row r="1896" spans="2:30">
      <c r="B1896">
        <v>1</v>
      </c>
      <c r="C1896">
        <v>1020</v>
      </c>
      <c r="D1896" t="s">
        <v>388</v>
      </c>
      <c r="E1896">
        <v>14299402</v>
      </c>
      <c r="F1896" t="s">
        <v>1988</v>
      </c>
      <c r="G1896" t="s">
        <v>52</v>
      </c>
      <c r="H1896" t="s">
        <v>44</v>
      </c>
      <c r="I1896" t="s">
        <v>390</v>
      </c>
      <c r="J1896" t="s">
        <v>45</v>
      </c>
      <c r="K1896" t="s">
        <v>35</v>
      </c>
      <c r="L1896" t="s">
        <v>175</v>
      </c>
      <c r="M1896" t="s">
        <v>117</v>
      </c>
      <c r="N1896">
        <v>0</v>
      </c>
      <c r="O1896">
        <v>0</v>
      </c>
      <c r="P1896">
        <v>1</v>
      </c>
      <c r="Q1896">
        <v>0</v>
      </c>
      <c r="R1896">
        <v>0</v>
      </c>
      <c r="S1896" t="str">
        <f t="shared" si="145"/>
        <v>PZ: Alta Crit.</v>
      </c>
      <c r="T1896">
        <f t="shared" si="146"/>
        <v>1</v>
      </c>
      <c r="U1896">
        <f t="shared" si="147"/>
        <v>0</v>
      </c>
      <c r="V1896">
        <f t="shared" si="148"/>
        <v>0</v>
      </c>
      <c r="W1896">
        <f t="shared" si="149"/>
        <v>0</v>
      </c>
      <c r="X1896">
        <v>1</v>
      </c>
      <c r="Y1896" s="2">
        <v>45768</v>
      </c>
      <c r="Z1896" s="3" t="s">
        <v>118</v>
      </c>
      <c r="AA1896" t="s">
        <v>39</v>
      </c>
      <c r="AB1896" t="s">
        <v>49</v>
      </c>
      <c r="AC1896" s="5" t="s">
        <v>50</v>
      </c>
      <c r="AD1896" t="s">
        <v>391</v>
      </c>
    </row>
    <row r="1897" spans="2:30">
      <c r="B1897">
        <v>1</v>
      </c>
      <c r="C1897">
        <v>1020</v>
      </c>
      <c r="D1897" t="s">
        <v>388</v>
      </c>
      <c r="E1897">
        <v>14299403</v>
      </c>
      <c r="F1897" t="s">
        <v>1989</v>
      </c>
      <c r="G1897" t="s">
        <v>52</v>
      </c>
      <c r="H1897" t="s">
        <v>44</v>
      </c>
      <c r="I1897" t="s">
        <v>390</v>
      </c>
      <c r="J1897" t="s">
        <v>45</v>
      </c>
      <c r="K1897" t="s">
        <v>35</v>
      </c>
      <c r="L1897" t="s">
        <v>175</v>
      </c>
      <c r="M1897" t="s">
        <v>117</v>
      </c>
      <c r="N1897">
        <v>0</v>
      </c>
      <c r="O1897">
        <v>0</v>
      </c>
      <c r="P1897">
        <v>1</v>
      </c>
      <c r="Q1897">
        <v>0</v>
      </c>
      <c r="R1897">
        <v>0</v>
      </c>
      <c r="S1897" t="str">
        <f t="shared" si="145"/>
        <v>PZ: Alta Crit.</v>
      </c>
      <c r="T1897">
        <f t="shared" si="146"/>
        <v>1</v>
      </c>
      <c r="U1897">
        <f t="shared" si="147"/>
        <v>0</v>
      </c>
      <c r="V1897">
        <f t="shared" si="148"/>
        <v>0</v>
      </c>
      <c r="W1897">
        <f t="shared" si="149"/>
        <v>0</v>
      </c>
      <c r="X1897">
        <v>1</v>
      </c>
      <c r="Y1897" s="2">
        <v>45768</v>
      </c>
      <c r="Z1897" s="3" t="s">
        <v>118</v>
      </c>
      <c r="AA1897" t="s">
        <v>39</v>
      </c>
      <c r="AB1897" t="s">
        <v>49</v>
      </c>
      <c r="AC1897" s="5" t="s">
        <v>50</v>
      </c>
      <c r="AD1897" t="s">
        <v>391</v>
      </c>
    </row>
    <row r="1898" spans="2:30">
      <c r="B1898">
        <v>1</v>
      </c>
      <c r="C1898">
        <v>1020</v>
      </c>
      <c r="D1898" t="s">
        <v>388</v>
      </c>
      <c r="E1898">
        <v>14301907</v>
      </c>
      <c r="F1898" t="s">
        <v>1990</v>
      </c>
      <c r="G1898" t="s">
        <v>43</v>
      </c>
      <c r="H1898" t="s">
        <v>44</v>
      </c>
      <c r="I1898" t="s">
        <v>390</v>
      </c>
      <c r="J1898" t="s">
        <v>45</v>
      </c>
      <c r="K1898" t="s">
        <v>35</v>
      </c>
      <c r="L1898" t="s">
        <v>175</v>
      </c>
      <c r="M1898" t="s">
        <v>117</v>
      </c>
      <c r="N1898">
        <v>0</v>
      </c>
      <c r="O1898">
        <v>0</v>
      </c>
      <c r="P1898">
        <v>8</v>
      </c>
      <c r="Q1898">
        <v>0</v>
      </c>
      <c r="R1898">
        <v>0</v>
      </c>
      <c r="S1898" t="str">
        <f t="shared" si="145"/>
        <v>PY: Media Crit.</v>
      </c>
      <c r="T1898">
        <f t="shared" si="146"/>
        <v>1</v>
      </c>
      <c r="U1898">
        <f t="shared" si="147"/>
        <v>0</v>
      </c>
      <c r="V1898">
        <f t="shared" si="148"/>
        <v>0</v>
      </c>
      <c r="W1898">
        <f t="shared" si="149"/>
        <v>0</v>
      </c>
      <c r="X1898">
        <v>1</v>
      </c>
      <c r="Y1898" s="2">
        <v>45768</v>
      </c>
      <c r="Z1898" s="3" t="s">
        <v>118</v>
      </c>
      <c r="AA1898" t="s">
        <v>39</v>
      </c>
      <c r="AB1898" t="s">
        <v>40</v>
      </c>
      <c r="AC1898" t="s">
        <v>40</v>
      </c>
      <c r="AD1898" t="s">
        <v>391</v>
      </c>
    </row>
    <row r="1899" spans="2:30">
      <c r="B1899">
        <v>1</v>
      </c>
      <c r="C1899">
        <v>1020</v>
      </c>
      <c r="D1899" t="s">
        <v>388</v>
      </c>
      <c r="E1899">
        <v>14301930</v>
      </c>
      <c r="F1899" t="s">
        <v>1991</v>
      </c>
      <c r="G1899" t="s">
        <v>43</v>
      </c>
      <c r="H1899" t="s">
        <v>60</v>
      </c>
      <c r="I1899" t="s">
        <v>390</v>
      </c>
      <c r="J1899" t="s">
        <v>45</v>
      </c>
      <c r="K1899" t="s">
        <v>35</v>
      </c>
      <c r="L1899" t="s">
        <v>175</v>
      </c>
      <c r="M1899" t="s">
        <v>117</v>
      </c>
      <c r="N1899">
        <v>0</v>
      </c>
      <c r="O1899">
        <v>0</v>
      </c>
      <c r="P1899">
        <v>1</v>
      </c>
      <c r="Q1899">
        <v>0</v>
      </c>
      <c r="R1899">
        <v>0</v>
      </c>
      <c r="S1899" t="str">
        <f t="shared" si="145"/>
        <v>PY: Media Crit.</v>
      </c>
      <c r="T1899">
        <f t="shared" si="146"/>
        <v>1</v>
      </c>
      <c r="U1899">
        <f t="shared" si="147"/>
        <v>0</v>
      </c>
      <c r="V1899">
        <f t="shared" si="148"/>
        <v>0</v>
      </c>
      <c r="W1899">
        <f t="shared" si="149"/>
        <v>0</v>
      </c>
      <c r="X1899">
        <v>1</v>
      </c>
      <c r="Y1899" s="2">
        <v>45768</v>
      </c>
      <c r="Z1899" s="3" t="s">
        <v>118</v>
      </c>
      <c r="AA1899" t="s">
        <v>39</v>
      </c>
      <c r="AB1899" t="s">
        <v>49</v>
      </c>
      <c r="AC1899" s="5" t="s">
        <v>50</v>
      </c>
      <c r="AD1899" t="s">
        <v>391</v>
      </c>
    </row>
    <row r="1900" spans="2:30">
      <c r="B1900">
        <v>1</v>
      </c>
      <c r="C1900">
        <v>1020</v>
      </c>
      <c r="D1900" t="s">
        <v>388</v>
      </c>
      <c r="E1900">
        <v>14316568</v>
      </c>
      <c r="F1900" t="s">
        <v>1992</v>
      </c>
      <c r="G1900" t="s">
        <v>43</v>
      </c>
      <c r="H1900" t="s">
        <v>44</v>
      </c>
      <c r="I1900" t="s">
        <v>390</v>
      </c>
      <c r="J1900" t="s">
        <v>45</v>
      </c>
      <c r="K1900" t="s">
        <v>35</v>
      </c>
      <c r="L1900" t="s">
        <v>175</v>
      </c>
      <c r="M1900" t="s">
        <v>117</v>
      </c>
      <c r="N1900">
        <v>0</v>
      </c>
      <c r="O1900">
        <v>0</v>
      </c>
      <c r="P1900">
        <v>8</v>
      </c>
      <c r="Q1900">
        <v>0</v>
      </c>
      <c r="R1900">
        <v>0</v>
      </c>
      <c r="S1900" t="str">
        <f t="shared" si="145"/>
        <v>PY: Media Crit.</v>
      </c>
      <c r="T1900">
        <f t="shared" si="146"/>
        <v>1</v>
      </c>
      <c r="U1900">
        <f t="shared" si="147"/>
        <v>0</v>
      </c>
      <c r="V1900">
        <f t="shared" si="148"/>
        <v>0</v>
      </c>
      <c r="W1900">
        <f t="shared" si="149"/>
        <v>0</v>
      </c>
      <c r="X1900">
        <v>1</v>
      </c>
      <c r="Y1900" s="2">
        <v>45768</v>
      </c>
      <c r="Z1900" s="3" t="s">
        <v>118</v>
      </c>
      <c r="AA1900" t="s">
        <v>39</v>
      </c>
      <c r="AB1900" t="s">
        <v>49</v>
      </c>
      <c r="AC1900" s="5" t="s">
        <v>50</v>
      </c>
      <c r="AD1900" t="s">
        <v>391</v>
      </c>
    </row>
    <row r="1901" spans="2:30">
      <c r="B1901">
        <v>1</v>
      </c>
      <c r="C1901">
        <v>1020</v>
      </c>
      <c r="D1901" t="s">
        <v>181</v>
      </c>
      <c r="E1901">
        <v>14317524</v>
      </c>
      <c r="F1901" t="s">
        <v>1993</v>
      </c>
      <c r="G1901" t="s">
        <v>43</v>
      </c>
      <c r="H1901" t="s">
        <v>60</v>
      </c>
      <c r="I1901" t="s">
        <v>183</v>
      </c>
      <c r="J1901" t="s">
        <v>45</v>
      </c>
      <c r="K1901" t="s">
        <v>35</v>
      </c>
      <c r="L1901" t="s">
        <v>36</v>
      </c>
      <c r="M1901" t="s">
        <v>117</v>
      </c>
      <c r="N1901">
        <v>4</v>
      </c>
      <c r="O1901">
        <v>2</v>
      </c>
      <c r="P1901">
        <v>0</v>
      </c>
      <c r="Q1901">
        <v>4</v>
      </c>
      <c r="R1901" s="4">
        <v>1763.23</v>
      </c>
      <c r="S1901" t="str">
        <f t="shared" si="145"/>
        <v>PY: Media Crit.</v>
      </c>
      <c r="T1901">
        <f t="shared" si="146"/>
        <v>0</v>
      </c>
      <c r="U1901">
        <f t="shared" si="147"/>
        <v>0</v>
      </c>
      <c r="V1901">
        <f t="shared" si="148"/>
        <v>1</v>
      </c>
      <c r="W1901">
        <f t="shared" si="149"/>
        <v>0</v>
      </c>
      <c r="X1901">
        <v>1</v>
      </c>
      <c r="Y1901" s="2">
        <v>45768</v>
      </c>
      <c r="Z1901" s="3" t="s">
        <v>118</v>
      </c>
      <c r="AA1901" t="s">
        <v>39</v>
      </c>
      <c r="AB1901" t="s">
        <v>76</v>
      </c>
      <c r="AC1901" s="5" t="s">
        <v>77</v>
      </c>
      <c r="AD1901" t="s">
        <v>184</v>
      </c>
    </row>
    <row r="1902" spans="2:30">
      <c r="B1902">
        <v>1</v>
      </c>
      <c r="C1902">
        <v>1020</v>
      </c>
      <c r="D1902" t="s">
        <v>181</v>
      </c>
      <c r="E1902">
        <v>14317720</v>
      </c>
      <c r="F1902" t="s">
        <v>1994</v>
      </c>
      <c r="G1902" t="s">
        <v>52</v>
      </c>
      <c r="H1902" t="s">
        <v>60</v>
      </c>
      <c r="I1902" t="s">
        <v>183</v>
      </c>
      <c r="J1902" t="s">
        <v>45</v>
      </c>
      <c r="K1902" t="s">
        <v>35</v>
      </c>
      <c r="L1902" t="s">
        <v>36</v>
      </c>
      <c r="M1902" t="s">
        <v>117</v>
      </c>
      <c r="N1902">
        <v>4</v>
      </c>
      <c r="O1902">
        <v>2</v>
      </c>
      <c r="P1902">
        <v>0</v>
      </c>
      <c r="Q1902">
        <v>4</v>
      </c>
      <c r="R1902">
        <v>600</v>
      </c>
      <c r="S1902" t="str">
        <f t="shared" si="145"/>
        <v>PZ: Alta Crit.</v>
      </c>
      <c r="T1902">
        <f t="shared" si="146"/>
        <v>0</v>
      </c>
      <c r="U1902">
        <f t="shared" si="147"/>
        <v>0</v>
      </c>
      <c r="V1902">
        <f t="shared" si="148"/>
        <v>1</v>
      </c>
      <c r="W1902">
        <f t="shared" si="149"/>
        <v>0</v>
      </c>
      <c r="X1902">
        <v>1</v>
      </c>
      <c r="Y1902" s="2">
        <v>45768</v>
      </c>
      <c r="Z1902" s="3" t="s">
        <v>118</v>
      </c>
      <c r="AA1902" t="s">
        <v>39</v>
      </c>
      <c r="AB1902" t="s">
        <v>40</v>
      </c>
      <c r="AC1902" t="s">
        <v>40</v>
      </c>
      <c r="AD1902" t="s">
        <v>184</v>
      </c>
    </row>
    <row r="1903" spans="2:30">
      <c r="B1903">
        <v>1</v>
      </c>
      <c r="C1903">
        <v>1020</v>
      </c>
      <c r="D1903" t="s">
        <v>181</v>
      </c>
      <c r="E1903">
        <v>14322726</v>
      </c>
      <c r="F1903" t="s">
        <v>1995</v>
      </c>
      <c r="G1903" t="s">
        <v>43</v>
      </c>
      <c r="H1903" t="s">
        <v>60</v>
      </c>
      <c r="I1903" t="s">
        <v>183</v>
      </c>
      <c r="J1903" t="s">
        <v>45</v>
      </c>
      <c r="K1903" t="s">
        <v>62</v>
      </c>
      <c r="L1903" t="s">
        <v>36</v>
      </c>
      <c r="M1903" t="s">
        <v>117</v>
      </c>
      <c r="N1903">
        <v>16</v>
      </c>
      <c r="O1903">
        <v>8</v>
      </c>
      <c r="P1903">
        <v>0</v>
      </c>
      <c r="Q1903">
        <v>16</v>
      </c>
      <c r="R1903" s="4">
        <v>3793.44</v>
      </c>
      <c r="S1903" t="str">
        <f t="shared" si="145"/>
        <v>PY: Media Crit.</v>
      </c>
      <c r="T1903">
        <f t="shared" si="146"/>
        <v>0</v>
      </c>
      <c r="U1903">
        <f t="shared" si="147"/>
        <v>0</v>
      </c>
      <c r="V1903">
        <f t="shared" si="148"/>
        <v>1</v>
      </c>
      <c r="W1903">
        <f t="shared" si="149"/>
        <v>0</v>
      </c>
      <c r="X1903">
        <v>1</v>
      </c>
      <c r="Y1903" s="2">
        <v>45768</v>
      </c>
      <c r="Z1903" s="3" t="s">
        <v>118</v>
      </c>
      <c r="AA1903" t="s">
        <v>39</v>
      </c>
      <c r="AB1903" t="s">
        <v>40</v>
      </c>
      <c r="AC1903" t="s">
        <v>40</v>
      </c>
      <c r="AD1903" t="s">
        <v>184</v>
      </c>
    </row>
    <row r="1904" spans="2:30">
      <c r="B1904">
        <v>1</v>
      </c>
      <c r="C1904">
        <v>1020</v>
      </c>
      <c r="D1904" t="s">
        <v>181</v>
      </c>
      <c r="E1904">
        <v>14322925</v>
      </c>
      <c r="F1904" t="s">
        <v>1996</v>
      </c>
      <c r="G1904" t="s">
        <v>43</v>
      </c>
      <c r="H1904" t="s">
        <v>60</v>
      </c>
      <c r="I1904" t="s">
        <v>183</v>
      </c>
      <c r="J1904" t="s">
        <v>45</v>
      </c>
      <c r="K1904" t="s">
        <v>62</v>
      </c>
      <c r="L1904" t="s">
        <v>36</v>
      </c>
      <c r="M1904" t="s">
        <v>117</v>
      </c>
      <c r="N1904">
        <v>16</v>
      </c>
      <c r="O1904">
        <v>8</v>
      </c>
      <c r="P1904">
        <v>0</v>
      </c>
      <c r="Q1904">
        <v>16</v>
      </c>
      <c r="R1904" s="4">
        <v>3793.44</v>
      </c>
      <c r="S1904" t="str">
        <f t="shared" si="145"/>
        <v>PY: Media Crit.</v>
      </c>
      <c r="T1904">
        <f t="shared" si="146"/>
        <v>0</v>
      </c>
      <c r="U1904">
        <f t="shared" si="147"/>
        <v>0</v>
      </c>
      <c r="V1904">
        <f t="shared" si="148"/>
        <v>1</v>
      </c>
      <c r="W1904">
        <f t="shared" si="149"/>
        <v>0</v>
      </c>
      <c r="X1904">
        <v>1</v>
      </c>
      <c r="Y1904" s="2">
        <v>45768</v>
      </c>
      <c r="Z1904" s="3" t="s">
        <v>118</v>
      </c>
      <c r="AA1904" t="s">
        <v>39</v>
      </c>
      <c r="AB1904" t="s">
        <v>40</v>
      </c>
      <c r="AC1904" t="s">
        <v>40</v>
      </c>
      <c r="AD1904" t="s">
        <v>184</v>
      </c>
    </row>
    <row r="1905" spans="2:30">
      <c r="B1905">
        <v>1</v>
      </c>
      <c r="C1905">
        <v>1020</v>
      </c>
      <c r="D1905" t="s">
        <v>181</v>
      </c>
      <c r="E1905">
        <v>14331211</v>
      </c>
      <c r="F1905" t="s">
        <v>1997</v>
      </c>
      <c r="G1905" t="s">
        <v>43</v>
      </c>
      <c r="H1905" t="s">
        <v>44</v>
      </c>
      <c r="I1905" t="s">
        <v>183</v>
      </c>
      <c r="J1905" t="s">
        <v>45</v>
      </c>
      <c r="K1905" t="s">
        <v>35</v>
      </c>
      <c r="L1905" t="s">
        <v>36</v>
      </c>
      <c r="M1905" t="s">
        <v>37</v>
      </c>
      <c r="N1905">
        <v>5</v>
      </c>
      <c r="O1905">
        <v>3</v>
      </c>
      <c r="P1905">
        <v>0</v>
      </c>
      <c r="Q1905">
        <v>5</v>
      </c>
      <c r="R1905" s="4">
        <v>2007.72</v>
      </c>
      <c r="S1905" t="str">
        <f t="shared" si="145"/>
        <v>PY: Media Crit.</v>
      </c>
      <c r="T1905">
        <f t="shared" si="146"/>
        <v>0</v>
      </c>
      <c r="U1905">
        <f t="shared" si="147"/>
        <v>0</v>
      </c>
      <c r="V1905">
        <f t="shared" si="148"/>
        <v>1</v>
      </c>
      <c r="W1905">
        <f t="shared" si="149"/>
        <v>0</v>
      </c>
      <c r="X1905">
        <v>1</v>
      </c>
      <c r="Y1905" s="2">
        <v>45768</v>
      </c>
      <c r="Z1905" s="3" t="s">
        <v>38</v>
      </c>
      <c r="AA1905" t="s">
        <v>39</v>
      </c>
      <c r="AB1905" t="s">
        <v>40</v>
      </c>
      <c r="AC1905" t="s">
        <v>40</v>
      </c>
      <c r="AD1905" t="s">
        <v>184</v>
      </c>
    </row>
    <row r="1906" spans="2:30">
      <c r="B1906">
        <v>1</v>
      </c>
      <c r="C1906">
        <v>1020</v>
      </c>
      <c r="D1906" t="s">
        <v>181</v>
      </c>
      <c r="E1906">
        <v>14331943</v>
      </c>
      <c r="F1906" t="s">
        <v>1998</v>
      </c>
      <c r="G1906" t="s">
        <v>31</v>
      </c>
      <c r="H1906" t="s">
        <v>44</v>
      </c>
      <c r="I1906" t="s">
        <v>183</v>
      </c>
      <c r="J1906" t="s">
        <v>45</v>
      </c>
      <c r="K1906" t="s">
        <v>35</v>
      </c>
      <c r="L1906" t="s">
        <v>36</v>
      </c>
      <c r="M1906" t="s">
        <v>46</v>
      </c>
      <c r="N1906">
        <v>4</v>
      </c>
      <c r="O1906">
        <v>3</v>
      </c>
      <c r="P1906">
        <v>2</v>
      </c>
      <c r="Q1906">
        <v>0</v>
      </c>
      <c r="R1906">
        <v>0</v>
      </c>
      <c r="S1906" t="str">
        <f t="shared" si="145"/>
        <v>PX: Baja Crit.</v>
      </c>
      <c r="T1906">
        <f t="shared" si="146"/>
        <v>1</v>
      </c>
      <c r="U1906">
        <f t="shared" si="147"/>
        <v>0</v>
      </c>
      <c r="V1906">
        <f t="shared" si="148"/>
        <v>0</v>
      </c>
      <c r="W1906">
        <f t="shared" si="149"/>
        <v>0</v>
      </c>
      <c r="X1906">
        <v>1</v>
      </c>
      <c r="Y1906" s="2">
        <v>45768</v>
      </c>
      <c r="Z1906" s="3" t="s">
        <v>47</v>
      </c>
      <c r="AA1906" t="s">
        <v>39</v>
      </c>
      <c r="AB1906" t="s">
        <v>49</v>
      </c>
      <c r="AC1906" s="5" t="s">
        <v>50</v>
      </c>
      <c r="AD1906" t="s">
        <v>184</v>
      </c>
    </row>
    <row r="1907" spans="2:30">
      <c r="B1907">
        <v>1</v>
      </c>
      <c r="C1907">
        <v>1020</v>
      </c>
      <c r="D1907" t="s">
        <v>181</v>
      </c>
      <c r="E1907">
        <v>14331944</v>
      </c>
      <c r="F1907" t="s">
        <v>1999</v>
      </c>
      <c r="G1907" t="s">
        <v>43</v>
      </c>
      <c r="H1907" t="s">
        <v>44</v>
      </c>
      <c r="I1907" t="s">
        <v>183</v>
      </c>
      <c r="J1907" t="s">
        <v>45</v>
      </c>
      <c r="K1907" t="s">
        <v>35</v>
      </c>
      <c r="L1907" t="s">
        <v>36</v>
      </c>
      <c r="M1907" t="s">
        <v>46</v>
      </c>
      <c r="N1907">
        <v>4</v>
      </c>
      <c r="O1907">
        <v>3</v>
      </c>
      <c r="P1907">
        <v>2</v>
      </c>
      <c r="Q1907">
        <v>0</v>
      </c>
      <c r="R1907">
        <v>0</v>
      </c>
      <c r="S1907" t="str">
        <f t="shared" si="145"/>
        <v>PY: Media Crit.</v>
      </c>
      <c r="T1907">
        <f t="shared" si="146"/>
        <v>1</v>
      </c>
      <c r="U1907">
        <f t="shared" si="147"/>
        <v>0</v>
      </c>
      <c r="V1907">
        <f t="shared" si="148"/>
        <v>0</v>
      </c>
      <c r="W1907">
        <f t="shared" si="149"/>
        <v>0</v>
      </c>
      <c r="X1907">
        <v>1</v>
      </c>
      <c r="Y1907" s="2">
        <v>45768</v>
      </c>
      <c r="Z1907" s="3" t="s">
        <v>47</v>
      </c>
      <c r="AA1907" t="s">
        <v>39</v>
      </c>
      <c r="AB1907" t="s">
        <v>49</v>
      </c>
      <c r="AC1907" s="5" t="s">
        <v>50</v>
      </c>
      <c r="AD1907" t="s">
        <v>184</v>
      </c>
    </row>
    <row r="1908" spans="2:30">
      <c r="B1908">
        <v>1</v>
      </c>
      <c r="C1908">
        <v>1020</v>
      </c>
      <c r="D1908" t="s">
        <v>388</v>
      </c>
      <c r="E1908">
        <v>14332942</v>
      </c>
      <c r="F1908" t="s">
        <v>2000</v>
      </c>
      <c r="G1908" t="s">
        <v>31</v>
      </c>
      <c r="H1908" t="s">
        <v>44</v>
      </c>
      <c r="I1908" t="s">
        <v>33</v>
      </c>
      <c r="J1908" t="s">
        <v>45</v>
      </c>
      <c r="K1908" t="s">
        <v>35</v>
      </c>
      <c r="L1908" t="s">
        <v>175</v>
      </c>
      <c r="M1908" t="s">
        <v>69</v>
      </c>
      <c r="N1908">
        <v>0</v>
      </c>
      <c r="O1908">
        <v>0</v>
      </c>
      <c r="P1908">
        <v>1</v>
      </c>
      <c r="Q1908">
        <v>0</v>
      </c>
      <c r="R1908">
        <v>0</v>
      </c>
      <c r="S1908" t="str">
        <f t="shared" si="145"/>
        <v>PX: Baja Crit.</v>
      </c>
      <c r="T1908">
        <f t="shared" si="146"/>
        <v>1</v>
      </c>
      <c r="U1908">
        <f t="shared" si="147"/>
        <v>0</v>
      </c>
      <c r="V1908">
        <f t="shared" si="148"/>
        <v>0</v>
      </c>
      <c r="W1908">
        <f t="shared" si="149"/>
        <v>0</v>
      </c>
      <c r="X1908">
        <v>1</v>
      </c>
      <c r="Y1908" s="2">
        <v>45768</v>
      </c>
      <c r="Z1908" s="3" t="s">
        <v>70</v>
      </c>
      <c r="AA1908" t="s">
        <v>39</v>
      </c>
      <c r="AB1908" t="s">
        <v>40</v>
      </c>
      <c r="AC1908" t="s">
        <v>40</v>
      </c>
      <c r="AD1908" t="s">
        <v>391</v>
      </c>
    </row>
    <row r="1909" spans="2:30">
      <c r="B1909">
        <v>1</v>
      </c>
      <c r="C1909">
        <v>1020</v>
      </c>
      <c r="D1909" t="s">
        <v>181</v>
      </c>
      <c r="E1909">
        <v>14333774</v>
      </c>
      <c r="F1909" t="s">
        <v>2001</v>
      </c>
      <c r="G1909" t="s">
        <v>43</v>
      </c>
      <c r="H1909" t="s">
        <v>44</v>
      </c>
      <c r="I1909" t="s">
        <v>183</v>
      </c>
      <c r="J1909" t="s">
        <v>45</v>
      </c>
      <c r="K1909" t="s">
        <v>35</v>
      </c>
      <c r="L1909" t="s">
        <v>36</v>
      </c>
      <c r="M1909" t="s">
        <v>117</v>
      </c>
      <c r="N1909">
        <v>30</v>
      </c>
      <c r="O1909">
        <v>16</v>
      </c>
      <c r="P1909">
        <v>0</v>
      </c>
      <c r="Q1909">
        <v>0</v>
      </c>
      <c r="R1909">
        <v>0</v>
      </c>
      <c r="S1909" t="str">
        <f t="shared" si="145"/>
        <v>PY: Media Crit.</v>
      </c>
      <c r="T1909">
        <f t="shared" si="146"/>
        <v>1</v>
      </c>
      <c r="U1909">
        <f t="shared" si="147"/>
        <v>0</v>
      </c>
      <c r="V1909">
        <f t="shared" si="148"/>
        <v>0</v>
      </c>
      <c r="W1909">
        <f t="shared" si="149"/>
        <v>0</v>
      </c>
      <c r="X1909">
        <v>1</v>
      </c>
      <c r="Y1909" s="2">
        <v>45768</v>
      </c>
      <c r="Z1909" s="3" t="s">
        <v>118</v>
      </c>
      <c r="AA1909" t="s">
        <v>39</v>
      </c>
      <c r="AB1909" t="s">
        <v>49</v>
      </c>
      <c r="AC1909" s="5" t="s">
        <v>50</v>
      </c>
      <c r="AD1909" t="s">
        <v>184</v>
      </c>
    </row>
    <row r="1910" spans="2:30">
      <c r="B1910">
        <v>1</v>
      </c>
      <c r="C1910">
        <v>1020</v>
      </c>
      <c r="D1910" t="s">
        <v>181</v>
      </c>
      <c r="E1910">
        <v>14333778</v>
      </c>
      <c r="F1910" t="s">
        <v>2002</v>
      </c>
      <c r="G1910" t="s">
        <v>43</v>
      </c>
      <c r="H1910" t="s">
        <v>60</v>
      </c>
      <c r="I1910" t="s">
        <v>183</v>
      </c>
      <c r="J1910" t="s">
        <v>45</v>
      </c>
      <c r="K1910" t="s">
        <v>35</v>
      </c>
      <c r="L1910" t="s">
        <v>36</v>
      </c>
      <c r="M1910" t="s">
        <v>117</v>
      </c>
      <c r="N1910">
        <v>30</v>
      </c>
      <c r="O1910">
        <v>16</v>
      </c>
      <c r="P1910">
        <v>0</v>
      </c>
      <c r="Q1910">
        <v>4</v>
      </c>
      <c r="R1910">
        <v>734.28</v>
      </c>
      <c r="S1910" t="str">
        <f t="shared" si="145"/>
        <v>PY: Media Crit.</v>
      </c>
      <c r="T1910">
        <f t="shared" si="146"/>
        <v>0</v>
      </c>
      <c r="U1910">
        <f t="shared" si="147"/>
        <v>0</v>
      </c>
      <c r="V1910">
        <f t="shared" si="148"/>
        <v>1</v>
      </c>
      <c r="W1910">
        <f t="shared" si="149"/>
        <v>0</v>
      </c>
      <c r="X1910">
        <v>1</v>
      </c>
      <c r="Y1910" s="2">
        <v>45768</v>
      </c>
      <c r="Z1910" s="3" t="s">
        <v>118</v>
      </c>
      <c r="AA1910" t="s">
        <v>39</v>
      </c>
      <c r="AB1910" t="s">
        <v>49</v>
      </c>
      <c r="AC1910" s="5" t="s">
        <v>50</v>
      </c>
      <c r="AD1910" t="s">
        <v>184</v>
      </c>
    </row>
    <row r="1911" spans="2:30">
      <c r="B1911">
        <v>1</v>
      </c>
      <c r="C1911">
        <v>1020</v>
      </c>
      <c r="D1911" t="s">
        <v>181</v>
      </c>
      <c r="E1911">
        <v>14334755</v>
      </c>
      <c r="F1911" t="s">
        <v>2003</v>
      </c>
      <c r="G1911" t="s">
        <v>43</v>
      </c>
      <c r="H1911" t="s">
        <v>60</v>
      </c>
      <c r="I1911" t="s">
        <v>183</v>
      </c>
      <c r="J1911" t="s">
        <v>45</v>
      </c>
      <c r="K1911" t="s">
        <v>62</v>
      </c>
      <c r="L1911" t="s">
        <v>36</v>
      </c>
      <c r="M1911" t="s">
        <v>117</v>
      </c>
      <c r="N1911">
        <v>20</v>
      </c>
      <c r="O1911">
        <v>10</v>
      </c>
      <c r="P1911">
        <v>0</v>
      </c>
      <c r="Q1911">
        <v>0</v>
      </c>
      <c r="R1911">
        <v>0</v>
      </c>
      <c r="S1911" t="str">
        <f t="shared" si="145"/>
        <v>PY: Media Crit.</v>
      </c>
      <c r="T1911">
        <f t="shared" si="146"/>
        <v>1</v>
      </c>
      <c r="U1911">
        <f t="shared" si="147"/>
        <v>0</v>
      </c>
      <c r="V1911">
        <f t="shared" si="148"/>
        <v>0</v>
      </c>
      <c r="W1911">
        <f t="shared" si="149"/>
        <v>0</v>
      </c>
      <c r="X1911">
        <v>1</v>
      </c>
      <c r="Y1911" s="2">
        <v>45768</v>
      </c>
      <c r="Z1911" s="3" t="s">
        <v>118</v>
      </c>
      <c r="AA1911" t="s">
        <v>39</v>
      </c>
      <c r="AB1911" t="s">
        <v>49</v>
      </c>
      <c r="AC1911" s="5" t="s">
        <v>50</v>
      </c>
      <c r="AD1911" t="s">
        <v>184</v>
      </c>
    </row>
    <row r="1912" spans="2:30">
      <c r="B1912">
        <v>1</v>
      </c>
      <c r="C1912">
        <v>1020</v>
      </c>
      <c r="D1912" t="s">
        <v>181</v>
      </c>
      <c r="E1912">
        <v>14334757</v>
      </c>
      <c r="F1912" t="s">
        <v>2003</v>
      </c>
      <c r="G1912" t="s">
        <v>43</v>
      </c>
      <c r="H1912" t="s">
        <v>60</v>
      </c>
      <c r="I1912" t="s">
        <v>183</v>
      </c>
      <c r="J1912" t="s">
        <v>45</v>
      </c>
      <c r="K1912" t="s">
        <v>62</v>
      </c>
      <c r="L1912" t="s">
        <v>36</v>
      </c>
      <c r="M1912" t="s">
        <v>117</v>
      </c>
      <c r="N1912">
        <v>20</v>
      </c>
      <c r="O1912">
        <v>10</v>
      </c>
      <c r="P1912">
        <v>0</v>
      </c>
      <c r="Q1912">
        <v>4</v>
      </c>
      <c r="R1912">
        <v>12.84</v>
      </c>
      <c r="S1912" t="str">
        <f t="shared" si="145"/>
        <v>PY: Media Crit.</v>
      </c>
      <c r="T1912">
        <f t="shared" si="146"/>
        <v>0</v>
      </c>
      <c r="U1912">
        <f t="shared" si="147"/>
        <v>0</v>
      </c>
      <c r="V1912">
        <f t="shared" si="148"/>
        <v>1</v>
      </c>
      <c r="W1912">
        <f t="shared" si="149"/>
        <v>0</v>
      </c>
      <c r="X1912">
        <v>1</v>
      </c>
      <c r="Y1912" s="2">
        <v>45768</v>
      </c>
      <c r="Z1912" s="3" t="s">
        <v>118</v>
      </c>
      <c r="AA1912" t="s">
        <v>39</v>
      </c>
      <c r="AB1912" t="s">
        <v>49</v>
      </c>
      <c r="AC1912" s="5" t="s">
        <v>50</v>
      </c>
      <c r="AD1912" t="s">
        <v>184</v>
      </c>
    </row>
    <row r="1913" spans="2:30">
      <c r="B1913">
        <v>1</v>
      </c>
      <c r="C1913">
        <v>1020</v>
      </c>
      <c r="D1913" t="s">
        <v>181</v>
      </c>
      <c r="E1913">
        <v>14335049</v>
      </c>
      <c r="F1913" t="s">
        <v>2004</v>
      </c>
      <c r="G1913" t="s">
        <v>43</v>
      </c>
      <c r="H1913" t="s">
        <v>60</v>
      </c>
      <c r="I1913" t="s">
        <v>183</v>
      </c>
      <c r="J1913" t="s">
        <v>45</v>
      </c>
      <c r="K1913" t="s">
        <v>35</v>
      </c>
      <c r="L1913" t="s">
        <v>36</v>
      </c>
      <c r="M1913" t="s">
        <v>117</v>
      </c>
      <c r="N1913">
        <v>24</v>
      </c>
      <c r="O1913">
        <v>12</v>
      </c>
      <c r="P1913">
        <v>0</v>
      </c>
      <c r="Q1913">
        <v>14</v>
      </c>
      <c r="R1913" s="4">
        <v>4344.8900000000003</v>
      </c>
      <c r="S1913" t="str">
        <f t="shared" si="145"/>
        <v>PY: Media Crit.</v>
      </c>
      <c r="T1913">
        <f t="shared" si="146"/>
        <v>0</v>
      </c>
      <c r="U1913">
        <f t="shared" si="147"/>
        <v>0</v>
      </c>
      <c r="V1913">
        <f t="shared" si="148"/>
        <v>1</v>
      </c>
      <c r="W1913">
        <f t="shared" si="149"/>
        <v>0</v>
      </c>
      <c r="X1913">
        <v>1</v>
      </c>
      <c r="Y1913" s="2">
        <v>45768</v>
      </c>
      <c r="Z1913" s="3" t="s">
        <v>118</v>
      </c>
      <c r="AA1913" t="s">
        <v>39</v>
      </c>
      <c r="AB1913" t="s">
        <v>40</v>
      </c>
      <c r="AC1913" t="s">
        <v>40</v>
      </c>
      <c r="AD1913" t="s">
        <v>184</v>
      </c>
    </row>
    <row r="1914" spans="2:30">
      <c r="B1914">
        <v>1</v>
      </c>
      <c r="C1914">
        <v>1020</v>
      </c>
      <c r="D1914" t="s">
        <v>181</v>
      </c>
      <c r="E1914">
        <v>14335065</v>
      </c>
      <c r="F1914" t="s">
        <v>2005</v>
      </c>
      <c r="G1914" t="s">
        <v>43</v>
      </c>
      <c r="H1914" t="s">
        <v>60</v>
      </c>
      <c r="I1914" t="s">
        <v>183</v>
      </c>
      <c r="J1914" t="s">
        <v>45</v>
      </c>
      <c r="K1914" t="s">
        <v>35</v>
      </c>
      <c r="L1914" t="s">
        <v>36</v>
      </c>
      <c r="M1914" t="s">
        <v>117</v>
      </c>
      <c r="N1914">
        <v>16</v>
      </c>
      <c r="O1914">
        <v>8</v>
      </c>
      <c r="P1914">
        <v>0</v>
      </c>
      <c r="Q1914">
        <v>12</v>
      </c>
      <c r="R1914" s="4">
        <v>1451.14</v>
      </c>
      <c r="S1914" t="str">
        <f t="shared" si="145"/>
        <v>PY: Media Crit.</v>
      </c>
      <c r="T1914">
        <f t="shared" si="146"/>
        <v>0</v>
      </c>
      <c r="U1914">
        <f t="shared" si="147"/>
        <v>0</v>
      </c>
      <c r="V1914">
        <f t="shared" si="148"/>
        <v>1</v>
      </c>
      <c r="W1914">
        <f t="shared" si="149"/>
        <v>0</v>
      </c>
      <c r="X1914">
        <v>1</v>
      </c>
      <c r="Y1914" s="2">
        <v>45768</v>
      </c>
      <c r="Z1914" s="3" t="s">
        <v>118</v>
      </c>
      <c r="AA1914" t="s">
        <v>39</v>
      </c>
      <c r="AB1914" t="s">
        <v>40</v>
      </c>
      <c r="AC1914" t="s">
        <v>40</v>
      </c>
      <c r="AD1914" t="s">
        <v>184</v>
      </c>
    </row>
    <row r="1915" spans="2:30">
      <c r="B1915">
        <v>1</v>
      </c>
      <c r="C1915">
        <v>1020</v>
      </c>
      <c r="D1915" t="s">
        <v>181</v>
      </c>
      <c r="E1915">
        <v>14337634</v>
      </c>
      <c r="F1915" t="s">
        <v>2006</v>
      </c>
      <c r="G1915" t="s">
        <v>43</v>
      </c>
      <c r="H1915" t="s">
        <v>60</v>
      </c>
      <c r="I1915" t="s">
        <v>183</v>
      </c>
      <c r="J1915" t="s">
        <v>45</v>
      </c>
      <c r="K1915" t="s">
        <v>35</v>
      </c>
      <c r="L1915" t="s">
        <v>36</v>
      </c>
      <c r="M1915" t="s">
        <v>117</v>
      </c>
      <c r="N1915">
        <v>10</v>
      </c>
      <c r="O1915">
        <v>6</v>
      </c>
      <c r="P1915">
        <v>0</v>
      </c>
      <c r="Q1915">
        <v>0</v>
      </c>
      <c r="R1915">
        <v>0</v>
      </c>
      <c r="S1915" t="str">
        <f t="shared" si="145"/>
        <v>PY: Media Crit.</v>
      </c>
      <c r="T1915">
        <f t="shared" si="146"/>
        <v>1</v>
      </c>
      <c r="U1915">
        <f t="shared" si="147"/>
        <v>0</v>
      </c>
      <c r="V1915">
        <f t="shared" si="148"/>
        <v>0</v>
      </c>
      <c r="W1915">
        <f t="shared" si="149"/>
        <v>0</v>
      </c>
      <c r="X1915">
        <v>1</v>
      </c>
      <c r="Y1915" s="2">
        <v>45768</v>
      </c>
      <c r="Z1915" s="3" t="s">
        <v>118</v>
      </c>
      <c r="AA1915" t="s">
        <v>39</v>
      </c>
      <c r="AB1915" t="s">
        <v>49</v>
      </c>
      <c r="AC1915" s="5" t="s">
        <v>50</v>
      </c>
      <c r="AD1915" t="s">
        <v>184</v>
      </c>
    </row>
    <row r="1916" spans="2:30">
      <c r="B1916">
        <v>1</v>
      </c>
      <c r="C1916">
        <v>1020</v>
      </c>
      <c r="D1916" t="s">
        <v>181</v>
      </c>
      <c r="E1916">
        <v>14339505</v>
      </c>
      <c r="F1916" t="s">
        <v>2007</v>
      </c>
      <c r="G1916" t="s">
        <v>43</v>
      </c>
      <c r="H1916" t="s">
        <v>44</v>
      </c>
      <c r="I1916" t="s">
        <v>183</v>
      </c>
      <c r="J1916" t="s">
        <v>45</v>
      </c>
      <c r="K1916" t="s">
        <v>35</v>
      </c>
      <c r="L1916" t="s">
        <v>36</v>
      </c>
      <c r="M1916" t="s">
        <v>46</v>
      </c>
      <c r="N1916">
        <v>2</v>
      </c>
      <c r="O1916">
        <v>1</v>
      </c>
      <c r="P1916">
        <v>0</v>
      </c>
      <c r="Q1916">
        <v>2</v>
      </c>
      <c r="R1916" s="4">
        <v>3015.69</v>
      </c>
      <c r="S1916" t="str">
        <f t="shared" si="145"/>
        <v>PY: Media Crit.</v>
      </c>
      <c r="T1916">
        <f t="shared" si="146"/>
        <v>0</v>
      </c>
      <c r="U1916">
        <f t="shared" si="147"/>
        <v>0</v>
      </c>
      <c r="V1916">
        <f t="shared" si="148"/>
        <v>1</v>
      </c>
      <c r="W1916">
        <f t="shared" si="149"/>
        <v>0</v>
      </c>
      <c r="X1916">
        <v>1</v>
      </c>
      <c r="Y1916" s="2">
        <v>45768</v>
      </c>
      <c r="Z1916" s="3" t="s">
        <v>47</v>
      </c>
      <c r="AA1916" t="s">
        <v>39</v>
      </c>
      <c r="AB1916" t="s">
        <v>40</v>
      </c>
      <c r="AC1916" t="s">
        <v>40</v>
      </c>
      <c r="AD1916" t="s">
        <v>184</v>
      </c>
    </row>
    <row r="1917" spans="2:30">
      <c r="B1917">
        <v>1</v>
      </c>
      <c r="C1917">
        <v>1020</v>
      </c>
      <c r="D1917" t="s">
        <v>181</v>
      </c>
      <c r="E1917">
        <v>14339507</v>
      </c>
      <c r="F1917" t="s">
        <v>2008</v>
      </c>
      <c r="G1917" t="s">
        <v>43</v>
      </c>
      <c r="H1917" t="s">
        <v>44</v>
      </c>
      <c r="I1917" t="s">
        <v>183</v>
      </c>
      <c r="J1917" t="s">
        <v>45</v>
      </c>
      <c r="K1917" t="s">
        <v>35</v>
      </c>
      <c r="L1917" t="s">
        <v>36</v>
      </c>
      <c r="M1917" t="s">
        <v>46</v>
      </c>
      <c r="N1917">
        <v>2</v>
      </c>
      <c r="O1917">
        <v>1</v>
      </c>
      <c r="P1917">
        <v>0</v>
      </c>
      <c r="Q1917">
        <v>2</v>
      </c>
      <c r="R1917" s="4">
        <v>2355.13</v>
      </c>
      <c r="S1917" t="str">
        <f t="shared" si="145"/>
        <v>PY: Media Crit.</v>
      </c>
      <c r="T1917">
        <f t="shared" si="146"/>
        <v>0</v>
      </c>
      <c r="U1917">
        <f t="shared" si="147"/>
        <v>0</v>
      </c>
      <c r="V1917">
        <f t="shared" si="148"/>
        <v>1</v>
      </c>
      <c r="W1917">
        <f t="shared" si="149"/>
        <v>0</v>
      </c>
      <c r="X1917">
        <v>1</v>
      </c>
      <c r="Y1917" s="2">
        <v>45768</v>
      </c>
      <c r="Z1917" s="3" t="s">
        <v>47</v>
      </c>
      <c r="AA1917" t="s">
        <v>39</v>
      </c>
      <c r="AB1917" t="s">
        <v>40</v>
      </c>
      <c r="AC1917" t="s">
        <v>40</v>
      </c>
      <c r="AD1917" t="s">
        <v>184</v>
      </c>
    </row>
    <row r="1918" spans="2:30">
      <c r="B1918">
        <v>1</v>
      </c>
      <c r="C1918">
        <v>1020</v>
      </c>
      <c r="D1918" t="s">
        <v>181</v>
      </c>
      <c r="E1918">
        <v>14339509</v>
      </c>
      <c r="F1918" t="s">
        <v>2009</v>
      </c>
      <c r="G1918" t="s">
        <v>43</v>
      </c>
      <c r="H1918" t="s">
        <v>44</v>
      </c>
      <c r="I1918" t="s">
        <v>183</v>
      </c>
      <c r="J1918" t="s">
        <v>45</v>
      </c>
      <c r="K1918" t="s">
        <v>35</v>
      </c>
      <c r="L1918" t="s">
        <v>36</v>
      </c>
      <c r="M1918" t="s">
        <v>117</v>
      </c>
      <c r="N1918">
        <v>2</v>
      </c>
      <c r="O1918">
        <v>1</v>
      </c>
      <c r="P1918">
        <v>0</v>
      </c>
      <c r="Q1918">
        <v>2</v>
      </c>
      <c r="R1918" s="4">
        <v>1956.52</v>
      </c>
      <c r="S1918" t="str">
        <f t="shared" si="145"/>
        <v>PY: Media Crit.</v>
      </c>
      <c r="T1918">
        <f t="shared" si="146"/>
        <v>0</v>
      </c>
      <c r="U1918">
        <f t="shared" si="147"/>
        <v>0</v>
      </c>
      <c r="V1918">
        <f t="shared" si="148"/>
        <v>1</v>
      </c>
      <c r="W1918">
        <f t="shared" si="149"/>
        <v>0</v>
      </c>
      <c r="X1918">
        <v>1</v>
      </c>
      <c r="Y1918" s="2">
        <v>45768</v>
      </c>
      <c r="Z1918" s="3" t="s">
        <v>118</v>
      </c>
      <c r="AA1918" t="s">
        <v>39</v>
      </c>
      <c r="AB1918" t="s">
        <v>49</v>
      </c>
      <c r="AC1918" s="5" t="s">
        <v>50</v>
      </c>
      <c r="AD1918" t="s">
        <v>184</v>
      </c>
    </row>
    <row r="1919" spans="2:30">
      <c r="B1919">
        <v>1</v>
      </c>
      <c r="C1919">
        <v>1020</v>
      </c>
      <c r="D1919" t="s">
        <v>181</v>
      </c>
      <c r="E1919">
        <v>14342990</v>
      </c>
      <c r="F1919" t="s">
        <v>2010</v>
      </c>
      <c r="G1919" t="s">
        <v>31</v>
      </c>
      <c r="H1919" t="s">
        <v>44</v>
      </c>
      <c r="I1919" t="s">
        <v>183</v>
      </c>
      <c r="J1919" t="s">
        <v>45</v>
      </c>
      <c r="K1919" t="s">
        <v>35</v>
      </c>
      <c r="L1919" t="s">
        <v>36</v>
      </c>
      <c r="M1919" t="s">
        <v>37</v>
      </c>
      <c r="N1919">
        <v>2</v>
      </c>
      <c r="O1919">
        <v>1</v>
      </c>
      <c r="P1919">
        <v>0</v>
      </c>
      <c r="Q1919">
        <v>2</v>
      </c>
      <c r="R1919">
        <v>208.94</v>
      </c>
      <c r="S1919" t="str">
        <f t="shared" si="145"/>
        <v>PX: Baja Crit.</v>
      </c>
      <c r="T1919">
        <f t="shared" si="146"/>
        <v>0</v>
      </c>
      <c r="U1919">
        <f t="shared" si="147"/>
        <v>0</v>
      </c>
      <c r="V1919">
        <f t="shared" si="148"/>
        <v>1</v>
      </c>
      <c r="W1919">
        <f t="shared" si="149"/>
        <v>0</v>
      </c>
      <c r="X1919">
        <v>1</v>
      </c>
      <c r="Y1919" s="2">
        <v>45768</v>
      </c>
      <c r="Z1919" s="3" t="s">
        <v>38</v>
      </c>
      <c r="AA1919" t="s">
        <v>39</v>
      </c>
      <c r="AB1919" t="s">
        <v>40</v>
      </c>
      <c r="AC1919" t="s">
        <v>40</v>
      </c>
      <c r="AD1919" t="s">
        <v>184</v>
      </c>
    </row>
    <row r="1920" spans="2:30">
      <c r="B1920">
        <v>1</v>
      </c>
      <c r="C1920">
        <v>1020</v>
      </c>
      <c r="D1920" t="s">
        <v>181</v>
      </c>
      <c r="E1920">
        <v>14354847</v>
      </c>
      <c r="F1920" t="s">
        <v>2011</v>
      </c>
      <c r="G1920" t="s">
        <v>43</v>
      </c>
      <c r="H1920" t="s">
        <v>60</v>
      </c>
      <c r="I1920" t="s">
        <v>183</v>
      </c>
      <c r="J1920" t="s">
        <v>45</v>
      </c>
      <c r="K1920" t="s">
        <v>35</v>
      </c>
      <c r="L1920" t="s">
        <v>36</v>
      </c>
      <c r="M1920" t="s">
        <v>117</v>
      </c>
      <c r="N1920">
        <v>16</v>
      </c>
      <c r="O1920">
        <v>12</v>
      </c>
      <c r="P1920">
        <v>6</v>
      </c>
      <c r="Q1920">
        <v>22</v>
      </c>
      <c r="R1920" s="4">
        <v>10890</v>
      </c>
      <c r="S1920" t="str">
        <f t="shared" si="145"/>
        <v>PY: Media Crit.</v>
      </c>
      <c r="T1920">
        <f t="shared" si="146"/>
        <v>0</v>
      </c>
      <c r="U1920">
        <f t="shared" si="147"/>
        <v>0</v>
      </c>
      <c r="V1920">
        <f t="shared" si="148"/>
        <v>0</v>
      </c>
      <c r="W1920">
        <f t="shared" si="149"/>
        <v>1</v>
      </c>
      <c r="X1920">
        <v>1</v>
      </c>
      <c r="Y1920" s="2">
        <v>45768</v>
      </c>
      <c r="Z1920" s="3" t="s">
        <v>118</v>
      </c>
      <c r="AA1920" t="s">
        <v>39</v>
      </c>
      <c r="AB1920" t="s">
        <v>40</v>
      </c>
      <c r="AC1920" t="s">
        <v>40</v>
      </c>
      <c r="AD1920" t="s">
        <v>184</v>
      </c>
    </row>
    <row r="1921" spans="2:30">
      <c r="B1921">
        <v>1</v>
      </c>
      <c r="C1921">
        <v>1020</v>
      </c>
      <c r="D1921" t="s">
        <v>181</v>
      </c>
      <c r="E1921">
        <v>14354850</v>
      </c>
      <c r="F1921" t="s">
        <v>2012</v>
      </c>
      <c r="G1921" t="s">
        <v>43</v>
      </c>
      <c r="H1921" t="s">
        <v>60</v>
      </c>
      <c r="I1921" t="s">
        <v>183</v>
      </c>
      <c r="J1921" t="s">
        <v>45</v>
      </c>
      <c r="K1921" t="s">
        <v>35</v>
      </c>
      <c r="L1921" t="s">
        <v>36</v>
      </c>
      <c r="M1921" t="s">
        <v>117</v>
      </c>
      <c r="N1921">
        <v>8</v>
      </c>
      <c r="O1921">
        <v>4</v>
      </c>
      <c r="P1921">
        <v>1</v>
      </c>
      <c r="Q1921">
        <v>8</v>
      </c>
      <c r="R1921" s="4">
        <v>3040</v>
      </c>
      <c r="S1921" t="str">
        <f t="shared" si="145"/>
        <v>PY: Media Crit.</v>
      </c>
      <c r="T1921">
        <f t="shared" si="146"/>
        <v>0</v>
      </c>
      <c r="U1921">
        <f t="shared" si="147"/>
        <v>0</v>
      </c>
      <c r="V1921">
        <f t="shared" si="148"/>
        <v>1</v>
      </c>
      <c r="W1921">
        <f t="shared" si="149"/>
        <v>0</v>
      </c>
      <c r="X1921">
        <v>1</v>
      </c>
      <c r="Y1921" s="2">
        <v>45768</v>
      </c>
      <c r="Z1921" s="3" t="s">
        <v>118</v>
      </c>
      <c r="AA1921" t="s">
        <v>39</v>
      </c>
      <c r="AB1921" t="s">
        <v>40</v>
      </c>
      <c r="AC1921" t="s">
        <v>40</v>
      </c>
      <c r="AD1921" t="s">
        <v>184</v>
      </c>
    </row>
    <row r="1922" spans="2:30">
      <c r="B1922">
        <v>1</v>
      </c>
      <c r="C1922">
        <v>1020</v>
      </c>
      <c r="D1922" t="s">
        <v>384</v>
      </c>
      <c r="E1922">
        <v>14357609</v>
      </c>
      <c r="F1922" t="s">
        <v>2013</v>
      </c>
      <c r="G1922" t="s">
        <v>43</v>
      </c>
      <c r="H1922" t="s">
        <v>44</v>
      </c>
      <c r="I1922" t="s">
        <v>386</v>
      </c>
      <c r="J1922" t="s">
        <v>45</v>
      </c>
      <c r="K1922" t="s">
        <v>35</v>
      </c>
      <c r="L1922" t="s">
        <v>175</v>
      </c>
      <c r="M1922" t="s">
        <v>37</v>
      </c>
      <c r="N1922">
        <v>0</v>
      </c>
      <c r="O1922">
        <v>0</v>
      </c>
      <c r="P1922">
        <v>0</v>
      </c>
      <c r="Q1922">
        <v>450</v>
      </c>
      <c r="R1922" s="4">
        <v>10422.4</v>
      </c>
      <c r="S1922" t="str">
        <f t="shared" ref="S1922:S1985" si="150">+IF(G1922="PZ", "PZ: Alta Crit.",IF(G1922="PY","PY: Media Crit.", "PX: Baja Crit."))</f>
        <v>PY: Media Crit.</v>
      </c>
      <c r="T1922">
        <f t="shared" ref="T1922:T1985" si="151">+IF(Q1922=0,1,0)</f>
        <v>0</v>
      </c>
      <c r="U1922">
        <f t="shared" ref="U1922:U1985" si="152">+IF(AND(Q1922&lt;=P1922,Q1922&gt;0),1,0)</f>
        <v>0</v>
      </c>
      <c r="V1922">
        <f t="shared" ref="V1922:V1985" si="153">+IF(AND(Q1922&gt;P1922,Q1922&lt;=N1922),1,0)</f>
        <v>0</v>
      </c>
      <c r="W1922">
        <f t="shared" ref="W1922:W1985" si="154">+IF(Q1922&gt;N1922,1,0)</f>
        <v>1</v>
      </c>
      <c r="X1922">
        <v>1</v>
      </c>
      <c r="Y1922" s="2">
        <v>45768</v>
      </c>
      <c r="Z1922" s="3" t="s">
        <v>38</v>
      </c>
      <c r="AA1922" t="s">
        <v>39</v>
      </c>
      <c r="AB1922" t="s">
        <v>40</v>
      </c>
      <c r="AC1922" t="s">
        <v>40</v>
      </c>
      <c r="AD1922" t="s">
        <v>387</v>
      </c>
    </row>
    <row r="1923" spans="2:30">
      <c r="B1923">
        <v>0</v>
      </c>
      <c r="C1923">
        <v>1020</v>
      </c>
      <c r="D1923" t="s">
        <v>181</v>
      </c>
      <c r="E1923">
        <v>10000358</v>
      </c>
      <c r="F1923" t="s">
        <v>2014</v>
      </c>
      <c r="G1923" t="s">
        <v>43</v>
      </c>
      <c r="H1923" t="s">
        <v>32</v>
      </c>
      <c r="I1923" t="s">
        <v>183</v>
      </c>
      <c r="J1923" t="s">
        <v>45</v>
      </c>
      <c r="K1923" t="s">
        <v>35</v>
      </c>
      <c r="L1923" t="s">
        <v>36</v>
      </c>
      <c r="M1923" t="s">
        <v>88</v>
      </c>
      <c r="N1923" s="8">
        <v>1000</v>
      </c>
      <c r="O1923">
        <v>500</v>
      </c>
      <c r="P1923">
        <v>200</v>
      </c>
      <c r="Q1923" s="8">
        <v>2800</v>
      </c>
      <c r="R1923">
        <v>0</v>
      </c>
      <c r="S1923" t="str">
        <f t="shared" si="150"/>
        <v>PY: Media Crit.</v>
      </c>
      <c r="T1923">
        <f t="shared" si="151"/>
        <v>0</v>
      </c>
      <c r="U1923">
        <f t="shared" si="152"/>
        <v>0</v>
      </c>
      <c r="V1923">
        <f t="shared" si="153"/>
        <v>0</v>
      </c>
      <c r="W1923">
        <f t="shared" si="154"/>
        <v>1</v>
      </c>
      <c r="X1923">
        <v>1</v>
      </c>
      <c r="Y1923" s="2">
        <v>45768</v>
      </c>
      <c r="Z1923" s="3" t="s">
        <v>89</v>
      </c>
      <c r="AA1923" t="s">
        <v>39</v>
      </c>
      <c r="AB1923" t="s">
        <v>40</v>
      </c>
      <c r="AC1923" t="s">
        <v>40</v>
      </c>
      <c r="AD1923" t="s">
        <v>184</v>
      </c>
    </row>
    <row r="1924" spans="2:30">
      <c r="B1924">
        <v>0</v>
      </c>
      <c r="C1924">
        <v>1020</v>
      </c>
      <c r="D1924" t="s">
        <v>693</v>
      </c>
      <c r="E1924">
        <v>10001215</v>
      </c>
      <c r="F1924" t="s">
        <v>2015</v>
      </c>
      <c r="G1924" t="s">
        <v>31</v>
      </c>
      <c r="H1924" t="s">
        <v>32</v>
      </c>
      <c r="I1924" t="s">
        <v>695</v>
      </c>
      <c r="J1924" t="s">
        <v>45</v>
      </c>
      <c r="K1924" t="s">
        <v>35</v>
      </c>
      <c r="L1924" t="s">
        <v>175</v>
      </c>
      <c r="M1924" t="s">
        <v>88</v>
      </c>
      <c r="N1924">
        <v>0</v>
      </c>
      <c r="O1924">
        <v>0</v>
      </c>
      <c r="P1924">
        <v>0</v>
      </c>
      <c r="Q1924">
        <v>1</v>
      </c>
      <c r="R1924">
        <v>0</v>
      </c>
      <c r="S1924" t="str">
        <f t="shared" si="150"/>
        <v>PX: Baja Crit.</v>
      </c>
      <c r="T1924">
        <f t="shared" si="151"/>
        <v>0</v>
      </c>
      <c r="U1924">
        <f t="shared" si="152"/>
        <v>0</v>
      </c>
      <c r="V1924">
        <f t="shared" si="153"/>
        <v>0</v>
      </c>
      <c r="W1924">
        <f t="shared" si="154"/>
        <v>1</v>
      </c>
      <c r="X1924">
        <v>1</v>
      </c>
      <c r="Y1924" s="2">
        <v>45768</v>
      </c>
      <c r="Z1924" s="3" t="s">
        <v>89</v>
      </c>
      <c r="AA1924" t="s">
        <v>39</v>
      </c>
      <c r="AB1924" t="s">
        <v>40</v>
      </c>
      <c r="AC1924" t="s">
        <v>40</v>
      </c>
      <c r="AD1924" t="s">
        <v>696</v>
      </c>
    </row>
    <row r="1925" spans="2:30">
      <c r="B1925">
        <v>0</v>
      </c>
      <c r="C1925">
        <v>1020</v>
      </c>
      <c r="D1925" t="s">
        <v>693</v>
      </c>
      <c r="E1925">
        <v>10002147</v>
      </c>
      <c r="F1925" t="s">
        <v>2016</v>
      </c>
      <c r="G1925" t="s">
        <v>43</v>
      </c>
      <c r="H1925" t="s">
        <v>44</v>
      </c>
      <c r="I1925" t="s">
        <v>695</v>
      </c>
      <c r="J1925" t="s">
        <v>45</v>
      </c>
      <c r="K1925" t="s">
        <v>35</v>
      </c>
      <c r="L1925" t="s">
        <v>175</v>
      </c>
      <c r="M1925" t="s">
        <v>37</v>
      </c>
      <c r="N1925">
        <v>0</v>
      </c>
      <c r="O1925">
        <v>0</v>
      </c>
      <c r="P1925">
        <v>0</v>
      </c>
      <c r="Q1925">
        <v>1</v>
      </c>
      <c r="R1925">
        <v>0</v>
      </c>
      <c r="S1925" t="str">
        <f t="shared" si="150"/>
        <v>PY: Media Crit.</v>
      </c>
      <c r="T1925">
        <f t="shared" si="151"/>
        <v>0</v>
      </c>
      <c r="U1925">
        <f t="shared" si="152"/>
        <v>0</v>
      </c>
      <c r="V1925">
        <f t="shared" si="153"/>
        <v>0</v>
      </c>
      <c r="W1925">
        <f t="shared" si="154"/>
        <v>1</v>
      </c>
      <c r="X1925">
        <v>1</v>
      </c>
      <c r="Y1925" s="2">
        <v>45768</v>
      </c>
      <c r="Z1925" s="3" t="s">
        <v>38</v>
      </c>
      <c r="AA1925" t="s">
        <v>39</v>
      </c>
      <c r="AB1925" t="s">
        <v>40</v>
      </c>
      <c r="AC1925" t="s">
        <v>40</v>
      </c>
      <c r="AD1925" t="s">
        <v>696</v>
      </c>
    </row>
    <row r="1926" spans="2:30">
      <c r="B1926">
        <v>0</v>
      </c>
      <c r="C1926">
        <v>1020</v>
      </c>
      <c r="D1926" t="s">
        <v>388</v>
      </c>
      <c r="E1926">
        <v>10003715</v>
      </c>
      <c r="F1926" t="s">
        <v>2017</v>
      </c>
      <c r="G1926" t="s">
        <v>52</v>
      </c>
      <c r="H1926" t="s">
        <v>32</v>
      </c>
      <c r="I1926" t="s">
        <v>390</v>
      </c>
      <c r="J1926" t="s">
        <v>45</v>
      </c>
      <c r="K1926" t="s">
        <v>35</v>
      </c>
      <c r="L1926" t="s">
        <v>175</v>
      </c>
      <c r="M1926" t="s">
        <v>69</v>
      </c>
      <c r="N1926">
        <v>0</v>
      </c>
      <c r="O1926">
        <v>0</v>
      </c>
      <c r="P1926">
        <v>1</v>
      </c>
      <c r="Q1926">
        <v>2</v>
      </c>
      <c r="R1926">
        <v>0</v>
      </c>
      <c r="S1926" t="str">
        <f t="shared" si="150"/>
        <v>PZ: Alta Crit.</v>
      </c>
      <c r="T1926">
        <f t="shared" si="151"/>
        <v>0</v>
      </c>
      <c r="U1926">
        <f t="shared" si="152"/>
        <v>0</v>
      </c>
      <c r="V1926">
        <f t="shared" si="153"/>
        <v>0</v>
      </c>
      <c r="W1926">
        <f t="shared" si="154"/>
        <v>1</v>
      </c>
      <c r="X1926">
        <v>1</v>
      </c>
      <c r="Y1926" s="2">
        <v>45768</v>
      </c>
      <c r="Z1926" s="3" t="s">
        <v>70</v>
      </c>
      <c r="AA1926" t="s">
        <v>39</v>
      </c>
      <c r="AB1926" t="s">
        <v>40</v>
      </c>
      <c r="AC1926" t="s">
        <v>40</v>
      </c>
      <c r="AD1926" t="s">
        <v>391</v>
      </c>
    </row>
    <row r="1927" spans="2:30">
      <c r="B1927">
        <v>0</v>
      </c>
      <c r="C1927">
        <v>1020</v>
      </c>
      <c r="D1927" t="s">
        <v>693</v>
      </c>
      <c r="E1927">
        <v>10004123</v>
      </c>
      <c r="F1927" t="s">
        <v>2018</v>
      </c>
      <c r="G1927" t="s">
        <v>43</v>
      </c>
      <c r="H1927" t="s">
        <v>32</v>
      </c>
      <c r="I1927" t="s">
        <v>695</v>
      </c>
      <c r="J1927" t="s">
        <v>45</v>
      </c>
      <c r="K1927" t="s">
        <v>35</v>
      </c>
      <c r="L1927" t="s">
        <v>175</v>
      </c>
      <c r="M1927" t="s">
        <v>46</v>
      </c>
      <c r="N1927">
        <v>0</v>
      </c>
      <c r="O1927">
        <v>0</v>
      </c>
      <c r="P1927">
        <v>0</v>
      </c>
      <c r="Q1927">
        <v>11</v>
      </c>
      <c r="R1927">
        <v>0</v>
      </c>
      <c r="S1927" t="str">
        <f t="shared" si="150"/>
        <v>PY: Media Crit.</v>
      </c>
      <c r="T1927">
        <f t="shared" si="151"/>
        <v>0</v>
      </c>
      <c r="U1927">
        <f t="shared" si="152"/>
        <v>0</v>
      </c>
      <c r="V1927">
        <f t="shared" si="153"/>
        <v>0</v>
      </c>
      <c r="W1927">
        <f t="shared" si="154"/>
        <v>1</v>
      </c>
      <c r="X1927">
        <v>1</v>
      </c>
      <c r="Y1927" s="2">
        <v>45768</v>
      </c>
      <c r="Z1927" s="3" t="s">
        <v>47</v>
      </c>
      <c r="AA1927" t="s">
        <v>39</v>
      </c>
      <c r="AB1927" t="s">
        <v>40</v>
      </c>
      <c r="AC1927" t="s">
        <v>40</v>
      </c>
      <c r="AD1927" t="s">
        <v>696</v>
      </c>
    </row>
    <row r="1928" spans="2:30">
      <c r="B1928">
        <v>0</v>
      </c>
      <c r="C1928">
        <v>1020</v>
      </c>
      <c r="D1928" t="s">
        <v>693</v>
      </c>
      <c r="E1928">
        <v>10004125</v>
      </c>
      <c r="F1928" t="s">
        <v>2019</v>
      </c>
      <c r="G1928" t="s">
        <v>43</v>
      </c>
      <c r="H1928" t="s">
        <v>32</v>
      </c>
      <c r="I1928" t="s">
        <v>695</v>
      </c>
      <c r="J1928" t="s">
        <v>45</v>
      </c>
      <c r="K1928" t="s">
        <v>35</v>
      </c>
      <c r="L1928" t="s">
        <v>175</v>
      </c>
      <c r="M1928" t="s">
        <v>88</v>
      </c>
      <c r="N1928">
        <v>0</v>
      </c>
      <c r="O1928">
        <v>0</v>
      </c>
      <c r="P1928">
        <v>0</v>
      </c>
      <c r="Q1928">
        <v>40</v>
      </c>
      <c r="R1928">
        <v>0</v>
      </c>
      <c r="S1928" t="str">
        <f t="shared" si="150"/>
        <v>PY: Media Crit.</v>
      </c>
      <c r="T1928">
        <f t="shared" si="151"/>
        <v>0</v>
      </c>
      <c r="U1928">
        <f t="shared" si="152"/>
        <v>0</v>
      </c>
      <c r="V1928">
        <f t="shared" si="153"/>
        <v>0</v>
      </c>
      <c r="W1928">
        <f t="shared" si="154"/>
        <v>1</v>
      </c>
      <c r="X1928">
        <v>1</v>
      </c>
      <c r="Y1928" s="2">
        <v>45768</v>
      </c>
      <c r="Z1928" s="3" t="s">
        <v>89</v>
      </c>
      <c r="AA1928" t="s">
        <v>39</v>
      </c>
      <c r="AB1928" t="s">
        <v>40</v>
      </c>
      <c r="AC1928" t="s">
        <v>40</v>
      </c>
      <c r="AD1928" t="s">
        <v>696</v>
      </c>
    </row>
    <row r="1929" spans="2:30">
      <c r="B1929">
        <v>0</v>
      </c>
      <c r="C1929">
        <v>1020</v>
      </c>
      <c r="D1929" t="s">
        <v>693</v>
      </c>
      <c r="E1929">
        <v>10007325</v>
      </c>
      <c r="F1929" t="s">
        <v>2020</v>
      </c>
      <c r="G1929" t="s">
        <v>43</v>
      </c>
      <c r="H1929" t="s">
        <v>32</v>
      </c>
      <c r="I1929" t="s">
        <v>695</v>
      </c>
      <c r="J1929" t="s">
        <v>45</v>
      </c>
      <c r="K1929" t="s">
        <v>35</v>
      </c>
      <c r="L1929" t="s">
        <v>175</v>
      </c>
      <c r="M1929" t="s">
        <v>37</v>
      </c>
      <c r="N1929">
        <v>0</v>
      </c>
      <c r="O1929">
        <v>0</v>
      </c>
      <c r="P1929">
        <v>0</v>
      </c>
      <c r="Q1929">
        <v>2</v>
      </c>
      <c r="R1929">
        <v>0</v>
      </c>
      <c r="S1929" t="str">
        <f t="shared" si="150"/>
        <v>PY: Media Crit.</v>
      </c>
      <c r="T1929">
        <f t="shared" si="151"/>
        <v>0</v>
      </c>
      <c r="U1929">
        <f t="shared" si="152"/>
        <v>0</v>
      </c>
      <c r="V1929">
        <f t="shared" si="153"/>
        <v>0</v>
      </c>
      <c r="W1929">
        <f t="shared" si="154"/>
        <v>1</v>
      </c>
      <c r="X1929">
        <v>1</v>
      </c>
      <c r="Y1929" s="2">
        <v>45768</v>
      </c>
      <c r="Z1929" s="3" t="s">
        <v>38</v>
      </c>
      <c r="AA1929" t="s">
        <v>39</v>
      </c>
      <c r="AB1929" t="s">
        <v>40</v>
      </c>
      <c r="AC1929" t="s">
        <v>40</v>
      </c>
      <c r="AD1929" t="s">
        <v>696</v>
      </c>
    </row>
    <row r="1930" spans="2:30">
      <c r="B1930">
        <v>0</v>
      </c>
      <c r="C1930">
        <v>1020</v>
      </c>
      <c r="D1930" t="s">
        <v>693</v>
      </c>
      <c r="E1930">
        <v>10007571</v>
      </c>
      <c r="F1930" t="s">
        <v>2021</v>
      </c>
      <c r="G1930" t="s">
        <v>43</v>
      </c>
      <c r="H1930" t="s">
        <v>32</v>
      </c>
      <c r="I1930" t="s">
        <v>695</v>
      </c>
      <c r="J1930" t="s">
        <v>45</v>
      </c>
      <c r="K1930" t="s">
        <v>35</v>
      </c>
      <c r="L1930" t="s">
        <v>175</v>
      </c>
      <c r="M1930" t="s">
        <v>37</v>
      </c>
      <c r="N1930">
        <v>0</v>
      </c>
      <c r="O1930">
        <v>0</v>
      </c>
      <c r="P1930">
        <v>0</v>
      </c>
      <c r="Q1930">
        <v>7</v>
      </c>
      <c r="R1930">
        <v>0</v>
      </c>
      <c r="S1930" t="str">
        <f t="shared" si="150"/>
        <v>PY: Media Crit.</v>
      </c>
      <c r="T1930">
        <f t="shared" si="151"/>
        <v>0</v>
      </c>
      <c r="U1930">
        <f t="shared" si="152"/>
        <v>0</v>
      </c>
      <c r="V1930">
        <f t="shared" si="153"/>
        <v>0</v>
      </c>
      <c r="W1930">
        <f t="shared" si="154"/>
        <v>1</v>
      </c>
      <c r="X1930">
        <v>1</v>
      </c>
      <c r="Y1930" s="2">
        <v>45768</v>
      </c>
      <c r="Z1930" s="3" t="s">
        <v>38</v>
      </c>
      <c r="AA1930" t="s">
        <v>39</v>
      </c>
      <c r="AB1930" t="s">
        <v>40</v>
      </c>
      <c r="AC1930" t="s">
        <v>40</v>
      </c>
      <c r="AD1930" t="s">
        <v>696</v>
      </c>
    </row>
    <row r="1931" spans="2:30">
      <c r="B1931">
        <v>0</v>
      </c>
      <c r="C1931">
        <v>1020</v>
      </c>
      <c r="D1931" t="s">
        <v>693</v>
      </c>
      <c r="E1931">
        <v>10008465</v>
      </c>
      <c r="F1931" t="s">
        <v>2022</v>
      </c>
      <c r="G1931" t="s">
        <v>43</v>
      </c>
      <c r="H1931" t="s">
        <v>32</v>
      </c>
      <c r="I1931" t="s">
        <v>695</v>
      </c>
      <c r="J1931" t="s">
        <v>45</v>
      </c>
      <c r="K1931" t="s">
        <v>35</v>
      </c>
      <c r="L1931" t="s">
        <v>175</v>
      </c>
      <c r="M1931" t="s">
        <v>88</v>
      </c>
      <c r="N1931">
        <v>0</v>
      </c>
      <c r="O1931">
        <v>0</v>
      </c>
      <c r="P1931">
        <v>0</v>
      </c>
      <c r="Q1931">
        <v>2</v>
      </c>
      <c r="R1931">
        <v>0</v>
      </c>
      <c r="S1931" t="str">
        <f t="shared" si="150"/>
        <v>PY: Media Crit.</v>
      </c>
      <c r="T1931">
        <f t="shared" si="151"/>
        <v>0</v>
      </c>
      <c r="U1931">
        <f t="shared" si="152"/>
        <v>0</v>
      </c>
      <c r="V1931">
        <f t="shared" si="153"/>
        <v>0</v>
      </c>
      <c r="W1931">
        <f t="shared" si="154"/>
        <v>1</v>
      </c>
      <c r="X1931">
        <v>1</v>
      </c>
      <c r="Y1931" s="2">
        <v>45768</v>
      </c>
      <c r="Z1931" s="3" t="s">
        <v>89</v>
      </c>
      <c r="AA1931" t="s">
        <v>39</v>
      </c>
      <c r="AB1931" t="s">
        <v>40</v>
      </c>
      <c r="AC1931" t="s">
        <v>40</v>
      </c>
      <c r="AD1931" t="s">
        <v>696</v>
      </c>
    </row>
    <row r="1932" spans="2:30">
      <c r="B1932">
        <v>0</v>
      </c>
      <c r="C1932">
        <v>1020</v>
      </c>
      <c r="D1932" t="s">
        <v>693</v>
      </c>
      <c r="E1932">
        <v>10013308</v>
      </c>
      <c r="F1932" t="s">
        <v>2023</v>
      </c>
      <c r="G1932" t="s">
        <v>43</v>
      </c>
      <c r="H1932" t="s">
        <v>32</v>
      </c>
      <c r="I1932" t="s">
        <v>695</v>
      </c>
      <c r="J1932" t="s">
        <v>45</v>
      </c>
      <c r="K1932" t="s">
        <v>35</v>
      </c>
      <c r="L1932" t="s">
        <v>175</v>
      </c>
      <c r="M1932" t="s">
        <v>37</v>
      </c>
      <c r="N1932">
        <v>0</v>
      </c>
      <c r="O1932">
        <v>0</v>
      </c>
      <c r="P1932">
        <v>0</v>
      </c>
      <c r="Q1932">
        <v>8</v>
      </c>
      <c r="R1932">
        <v>0</v>
      </c>
      <c r="S1932" t="str">
        <f t="shared" si="150"/>
        <v>PY: Media Crit.</v>
      </c>
      <c r="T1932">
        <f t="shared" si="151"/>
        <v>0</v>
      </c>
      <c r="U1932">
        <f t="shared" si="152"/>
        <v>0</v>
      </c>
      <c r="V1932">
        <f t="shared" si="153"/>
        <v>0</v>
      </c>
      <c r="W1932">
        <f t="shared" si="154"/>
        <v>1</v>
      </c>
      <c r="X1932">
        <v>1</v>
      </c>
      <c r="Y1932" s="2">
        <v>45768</v>
      </c>
      <c r="Z1932" s="3" t="s">
        <v>38</v>
      </c>
      <c r="AA1932" t="s">
        <v>39</v>
      </c>
      <c r="AB1932" t="s">
        <v>40</v>
      </c>
      <c r="AC1932" t="s">
        <v>40</v>
      </c>
      <c r="AD1932" t="s">
        <v>696</v>
      </c>
    </row>
    <row r="1933" spans="2:30">
      <c r="B1933">
        <v>0</v>
      </c>
      <c r="C1933">
        <v>1020</v>
      </c>
      <c r="D1933" t="s">
        <v>181</v>
      </c>
      <c r="E1933">
        <v>10015277</v>
      </c>
      <c r="F1933" t="s">
        <v>2024</v>
      </c>
      <c r="G1933" t="s">
        <v>52</v>
      </c>
      <c r="H1933" t="s">
        <v>44</v>
      </c>
      <c r="I1933" t="s">
        <v>183</v>
      </c>
      <c r="J1933" t="s">
        <v>45</v>
      </c>
      <c r="K1933" t="s">
        <v>35</v>
      </c>
      <c r="L1933" t="s">
        <v>36</v>
      </c>
      <c r="M1933" t="s">
        <v>69</v>
      </c>
      <c r="N1933">
        <v>5</v>
      </c>
      <c r="O1933">
        <v>3</v>
      </c>
      <c r="P1933">
        <v>1</v>
      </c>
      <c r="Q1933">
        <v>4</v>
      </c>
      <c r="R1933" s="4">
        <v>3371.92</v>
      </c>
      <c r="S1933" t="str">
        <f t="shared" si="150"/>
        <v>PZ: Alta Crit.</v>
      </c>
      <c r="T1933">
        <f t="shared" si="151"/>
        <v>0</v>
      </c>
      <c r="U1933">
        <f t="shared" si="152"/>
        <v>0</v>
      </c>
      <c r="V1933">
        <f t="shared" si="153"/>
        <v>1</v>
      </c>
      <c r="W1933">
        <f t="shared" si="154"/>
        <v>0</v>
      </c>
      <c r="X1933">
        <v>1</v>
      </c>
      <c r="Y1933" s="2">
        <v>45768</v>
      </c>
      <c r="Z1933" s="3" t="s">
        <v>70</v>
      </c>
      <c r="AA1933" t="s">
        <v>39</v>
      </c>
      <c r="AB1933" t="s">
        <v>40</v>
      </c>
      <c r="AC1933" t="s">
        <v>40</v>
      </c>
      <c r="AD1933" t="s">
        <v>184</v>
      </c>
    </row>
    <row r="1934" spans="2:30">
      <c r="B1934">
        <v>0</v>
      </c>
      <c r="C1934">
        <v>1020</v>
      </c>
      <c r="D1934" t="s">
        <v>181</v>
      </c>
      <c r="E1934">
        <v>10015335</v>
      </c>
      <c r="F1934" t="s">
        <v>2025</v>
      </c>
      <c r="G1934" t="s">
        <v>43</v>
      </c>
      <c r="H1934" t="s">
        <v>32</v>
      </c>
      <c r="I1934" t="s">
        <v>183</v>
      </c>
      <c r="J1934" t="s">
        <v>45</v>
      </c>
      <c r="K1934" t="s">
        <v>260</v>
      </c>
      <c r="L1934" t="s">
        <v>36</v>
      </c>
      <c r="M1934" t="s">
        <v>69</v>
      </c>
      <c r="N1934">
        <v>2</v>
      </c>
      <c r="O1934">
        <v>2</v>
      </c>
      <c r="P1934">
        <v>1</v>
      </c>
      <c r="Q1934">
        <v>2</v>
      </c>
      <c r="R1934">
        <v>0</v>
      </c>
      <c r="S1934" t="str">
        <f t="shared" si="150"/>
        <v>PY: Media Crit.</v>
      </c>
      <c r="T1934">
        <f t="shared" si="151"/>
        <v>0</v>
      </c>
      <c r="U1934">
        <f t="shared" si="152"/>
        <v>0</v>
      </c>
      <c r="V1934">
        <f t="shared" si="153"/>
        <v>1</v>
      </c>
      <c r="W1934">
        <f t="shared" si="154"/>
        <v>0</v>
      </c>
      <c r="X1934">
        <v>1</v>
      </c>
      <c r="Y1934" s="2">
        <v>45768</v>
      </c>
      <c r="Z1934" s="3" t="s">
        <v>70</v>
      </c>
      <c r="AA1934" t="s">
        <v>39</v>
      </c>
      <c r="AB1934" t="s">
        <v>40</v>
      </c>
      <c r="AC1934" t="s">
        <v>40</v>
      </c>
      <c r="AD1934" t="s">
        <v>184</v>
      </c>
    </row>
    <row r="1935" spans="2:30">
      <c r="B1935">
        <v>0</v>
      </c>
      <c r="C1935">
        <v>1020</v>
      </c>
      <c r="D1935" t="s">
        <v>384</v>
      </c>
      <c r="E1935">
        <v>10015411</v>
      </c>
      <c r="F1935" t="s">
        <v>2026</v>
      </c>
      <c r="G1935" t="s">
        <v>31</v>
      </c>
      <c r="H1935" t="s">
        <v>32</v>
      </c>
      <c r="I1935" t="s">
        <v>386</v>
      </c>
      <c r="J1935" t="s">
        <v>45</v>
      </c>
      <c r="K1935" t="s">
        <v>35</v>
      </c>
      <c r="L1935" t="s">
        <v>175</v>
      </c>
      <c r="M1935" t="s">
        <v>37</v>
      </c>
      <c r="N1935">
        <v>0</v>
      </c>
      <c r="O1935">
        <v>0</v>
      </c>
      <c r="P1935">
        <v>0</v>
      </c>
      <c r="Q1935">
        <v>12</v>
      </c>
      <c r="R1935">
        <v>0</v>
      </c>
      <c r="S1935" t="str">
        <f t="shared" si="150"/>
        <v>PX: Baja Crit.</v>
      </c>
      <c r="T1935">
        <f t="shared" si="151"/>
        <v>0</v>
      </c>
      <c r="U1935">
        <f t="shared" si="152"/>
        <v>0</v>
      </c>
      <c r="V1935">
        <f t="shared" si="153"/>
        <v>0</v>
      </c>
      <c r="W1935">
        <f t="shared" si="154"/>
        <v>1</v>
      </c>
      <c r="X1935">
        <v>1</v>
      </c>
      <c r="Y1935" s="2">
        <v>45768</v>
      </c>
      <c r="Z1935" s="3" t="s">
        <v>38</v>
      </c>
      <c r="AA1935" t="s">
        <v>39</v>
      </c>
      <c r="AB1935" t="s">
        <v>40</v>
      </c>
      <c r="AC1935" t="s">
        <v>40</v>
      </c>
      <c r="AD1935" t="s">
        <v>387</v>
      </c>
    </row>
    <row r="1936" spans="2:30">
      <c r="B1936">
        <v>0</v>
      </c>
      <c r="C1936">
        <v>1020</v>
      </c>
      <c r="D1936" t="s">
        <v>693</v>
      </c>
      <c r="E1936">
        <v>10015448</v>
      </c>
      <c r="F1936" t="s">
        <v>2027</v>
      </c>
      <c r="G1936" t="s">
        <v>43</v>
      </c>
      <c r="H1936" t="s">
        <v>32</v>
      </c>
      <c r="I1936" t="s">
        <v>695</v>
      </c>
      <c r="J1936" t="s">
        <v>45</v>
      </c>
      <c r="K1936" t="s">
        <v>35</v>
      </c>
      <c r="L1936" t="s">
        <v>175</v>
      </c>
      <c r="M1936" t="s">
        <v>37</v>
      </c>
      <c r="N1936">
        <v>0</v>
      </c>
      <c r="O1936">
        <v>0</v>
      </c>
      <c r="P1936">
        <v>0</v>
      </c>
      <c r="Q1936">
        <v>6</v>
      </c>
      <c r="R1936">
        <v>0</v>
      </c>
      <c r="S1936" t="str">
        <f t="shared" si="150"/>
        <v>PY: Media Crit.</v>
      </c>
      <c r="T1936">
        <f t="shared" si="151"/>
        <v>0</v>
      </c>
      <c r="U1936">
        <f t="shared" si="152"/>
        <v>0</v>
      </c>
      <c r="V1936">
        <f t="shared" si="153"/>
        <v>0</v>
      </c>
      <c r="W1936">
        <f t="shared" si="154"/>
        <v>1</v>
      </c>
      <c r="X1936">
        <v>1</v>
      </c>
      <c r="Y1936" s="2">
        <v>45768</v>
      </c>
      <c r="Z1936" s="3" t="s">
        <v>38</v>
      </c>
      <c r="AA1936" t="s">
        <v>39</v>
      </c>
      <c r="AB1936" t="s">
        <v>40</v>
      </c>
      <c r="AC1936" t="s">
        <v>40</v>
      </c>
      <c r="AD1936" t="s">
        <v>696</v>
      </c>
    </row>
    <row r="1937" spans="2:30">
      <c r="B1937">
        <v>0</v>
      </c>
      <c r="C1937">
        <v>1020</v>
      </c>
      <c r="D1937" t="s">
        <v>693</v>
      </c>
      <c r="E1937">
        <v>10015499</v>
      </c>
      <c r="F1937" t="s">
        <v>2028</v>
      </c>
      <c r="G1937" t="s">
        <v>43</v>
      </c>
      <c r="H1937" t="s">
        <v>44</v>
      </c>
      <c r="I1937" t="s">
        <v>695</v>
      </c>
      <c r="J1937" t="s">
        <v>45</v>
      </c>
      <c r="K1937" t="s">
        <v>35</v>
      </c>
      <c r="L1937" t="s">
        <v>175</v>
      </c>
      <c r="M1937" t="s">
        <v>37</v>
      </c>
      <c r="N1937">
        <v>0</v>
      </c>
      <c r="O1937">
        <v>0</v>
      </c>
      <c r="P1937">
        <v>0</v>
      </c>
      <c r="Q1937">
        <v>14</v>
      </c>
      <c r="R1937">
        <v>0</v>
      </c>
      <c r="S1937" t="str">
        <f t="shared" si="150"/>
        <v>PY: Media Crit.</v>
      </c>
      <c r="T1937">
        <f t="shared" si="151"/>
        <v>0</v>
      </c>
      <c r="U1937">
        <f t="shared" si="152"/>
        <v>0</v>
      </c>
      <c r="V1937">
        <f t="shared" si="153"/>
        <v>0</v>
      </c>
      <c r="W1937">
        <f t="shared" si="154"/>
        <v>1</v>
      </c>
      <c r="X1937">
        <v>1</v>
      </c>
      <c r="Y1937" s="2">
        <v>45768</v>
      </c>
      <c r="Z1937" s="3" t="s">
        <v>38</v>
      </c>
      <c r="AA1937" t="s">
        <v>39</v>
      </c>
      <c r="AB1937" t="s">
        <v>40</v>
      </c>
      <c r="AC1937" t="s">
        <v>40</v>
      </c>
      <c r="AD1937" t="s">
        <v>696</v>
      </c>
    </row>
    <row r="1938" spans="2:30">
      <c r="B1938">
        <v>0</v>
      </c>
      <c r="C1938">
        <v>1020</v>
      </c>
      <c r="D1938" t="s">
        <v>384</v>
      </c>
      <c r="E1938">
        <v>10015516</v>
      </c>
      <c r="F1938" t="s">
        <v>2029</v>
      </c>
      <c r="G1938" t="s">
        <v>43</v>
      </c>
      <c r="H1938" t="s">
        <v>32</v>
      </c>
      <c r="I1938" t="s">
        <v>386</v>
      </c>
      <c r="J1938" t="s">
        <v>45</v>
      </c>
      <c r="K1938" t="s">
        <v>35</v>
      </c>
      <c r="L1938" t="s">
        <v>175</v>
      </c>
      <c r="M1938" t="s">
        <v>37</v>
      </c>
      <c r="N1938">
        <v>0</v>
      </c>
      <c r="O1938">
        <v>0</v>
      </c>
      <c r="P1938">
        <v>0</v>
      </c>
      <c r="Q1938">
        <v>9</v>
      </c>
      <c r="R1938">
        <v>0</v>
      </c>
      <c r="S1938" t="str">
        <f t="shared" si="150"/>
        <v>PY: Media Crit.</v>
      </c>
      <c r="T1938">
        <f t="shared" si="151"/>
        <v>0</v>
      </c>
      <c r="U1938">
        <f t="shared" si="152"/>
        <v>0</v>
      </c>
      <c r="V1938">
        <f t="shared" si="153"/>
        <v>0</v>
      </c>
      <c r="W1938">
        <f t="shared" si="154"/>
        <v>1</v>
      </c>
      <c r="X1938">
        <v>1</v>
      </c>
      <c r="Y1938" s="2">
        <v>45768</v>
      </c>
      <c r="Z1938" s="3" t="s">
        <v>38</v>
      </c>
      <c r="AA1938" t="s">
        <v>39</v>
      </c>
      <c r="AB1938" t="s">
        <v>40</v>
      </c>
      <c r="AC1938" t="s">
        <v>40</v>
      </c>
      <c r="AD1938" t="s">
        <v>387</v>
      </c>
    </row>
    <row r="1939" spans="2:30">
      <c r="B1939">
        <v>0</v>
      </c>
      <c r="C1939">
        <v>1020</v>
      </c>
      <c r="D1939" t="s">
        <v>693</v>
      </c>
      <c r="E1939">
        <v>10015529</v>
      </c>
      <c r="F1939" t="s">
        <v>2030</v>
      </c>
      <c r="G1939" t="s">
        <v>43</v>
      </c>
      <c r="H1939" t="s">
        <v>32</v>
      </c>
      <c r="I1939" t="s">
        <v>695</v>
      </c>
      <c r="J1939" t="s">
        <v>45</v>
      </c>
      <c r="K1939" t="s">
        <v>35</v>
      </c>
      <c r="L1939" t="s">
        <v>175</v>
      </c>
      <c r="M1939" t="s">
        <v>37</v>
      </c>
      <c r="N1939">
        <v>0</v>
      </c>
      <c r="O1939">
        <v>0</v>
      </c>
      <c r="P1939">
        <v>0</v>
      </c>
      <c r="Q1939">
        <v>4</v>
      </c>
      <c r="R1939">
        <v>0</v>
      </c>
      <c r="S1939" t="str">
        <f t="shared" si="150"/>
        <v>PY: Media Crit.</v>
      </c>
      <c r="T1939">
        <f t="shared" si="151"/>
        <v>0</v>
      </c>
      <c r="U1939">
        <f t="shared" si="152"/>
        <v>0</v>
      </c>
      <c r="V1939">
        <f t="shared" si="153"/>
        <v>0</v>
      </c>
      <c r="W1939">
        <f t="shared" si="154"/>
        <v>1</v>
      </c>
      <c r="X1939">
        <v>1</v>
      </c>
      <c r="Y1939" s="2">
        <v>45768</v>
      </c>
      <c r="Z1939" s="3" t="s">
        <v>38</v>
      </c>
      <c r="AA1939" t="s">
        <v>39</v>
      </c>
      <c r="AB1939" t="s">
        <v>40</v>
      </c>
      <c r="AC1939" t="s">
        <v>40</v>
      </c>
      <c r="AD1939" t="s">
        <v>696</v>
      </c>
    </row>
    <row r="1940" spans="2:30">
      <c r="B1940">
        <v>0</v>
      </c>
      <c r="C1940">
        <v>1020</v>
      </c>
      <c r="D1940" t="s">
        <v>693</v>
      </c>
      <c r="E1940">
        <v>10015607</v>
      </c>
      <c r="F1940" t="s">
        <v>2031</v>
      </c>
      <c r="G1940" t="s">
        <v>43</v>
      </c>
      <c r="H1940" t="s">
        <v>32</v>
      </c>
      <c r="I1940" t="s">
        <v>695</v>
      </c>
      <c r="J1940" t="s">
        <v>45</v>
      </c>
      <c r="K1940" t="s">
        <v>35</v>
      </c>
      <c r="L1940" t="s">
        <v>175</v>
      </c>
      <c r="M1940" t="s">
        <v>37</v>
      </c>
      <c r="N1940">
        <v>0</v>
      </c>
      <c r="O1940">
        <v>0</v>
      </c>
      <c r="P1940">
        <v>0</v>
      </c>
      <c r="Q1940">
        <v>2</v>
      </c>
      <c r="R1940">
        <v>0</v>
      </c>
      <c r="S1940" t="str">
        <f t="shared" si="150"/>
        <v>PY: Media Crit.</v>
      </c>
      <c r="T1940">
        <f t="shared" si="151"/>
        <v>0</v>
      </c>
      <c r="U1940">
        <f t="shared" si="152"/>
        <v>0</v>
      </c>
      <c r="V1940">
        <f t="shared" si="153"/>
        <v>0</v>
      </c>
      <c r="W1940">
        <f t="shared" si="154"/>
        <v>1</v>
      </c>
      <c r="X1940">
        <v>1</v>
      </c>
      <c r="Y1940" s="2">
        <v>45768</v>
      </c>
      <c r="Z1940" s="3" t="s">
        <v>38</v>
      </c>
      <c r="AA1940" t="s">
        <v>39</v>
      </c>
      <c r="AB1940" t="s">
        <v>40</v>
      </c>
      <c r="AC1940" t="s">
        <v>40</v>
      </c>
      <c r="AD1940" t="s">
        <v>696</v>
      </c>
    </row>
    <row r="1941" spans="2:30">
      <c r="B1941">
        <v>0</v>
      </c>
      <c r="C1941">
        <v>1020</v>
      </c>
      <c r="D1941" t="s">
        <v>693</v>
      </c>
      <c r="E1941">
        <v>10017055</v>
      </c>
      <c r="F1941" t="s">
        <v>2032</v>
      </c>
      <c r="G1941" t="s">
        <v>43</v>
      </c>
      <c r="H1941" t="s">
        <v>32</v>
      </c>
      <c r="I1941" t="s">
        <v>695</v>
      </c>
      <c r="J1941" t="s">
        <v>45</v>
      </c>
      <c r="K1941" t="s">
        <v>35</v>
      </c>
      <c r="L1941" t="s">
        <v>175</v>
      </c>
      <c r="M1941" t="s">
        <v>69</v>
      </c>
      <c r="N1941">
        <v>0</v>
      </c>
      <c r="O1941">
        <v>0</v>
      </c>
      <c r="P1941">
        <v>0</v>
      </c>
      <c r="Q1941">
        <v>5</v>
      </c>
      <c r="R1941">
        <v>0</v>
      </c>
      <c r="S1941" t="str">
        <f t="shared" si="150"/>
        <v>PY: Media Crit.</v>
      </c>
      <c r="T1941">
        <f t="shared" si="151"/>
        <v>0</v>
      </c>
      <c r="U1941">
        <f t="shared" si="152"/>
        <v>0</v>
      </c>
      <c r="V1941">
        <f t="shared" si="153"/>
        <v>0</v>
      </c>
      <c r="W1941">
        <f t="shared" si="154"/>
        <v>1</v>
      </c>
      <c r="X1941">
        <v>1</v>
      </c>
      <c r="Y1941" s="2">
        <v>45768</v>
      </c>
      <c r="Z1941" s="3" t="s">
        <v>70</v>
      </c>
      <c r="AA1941" t="s">
        <v>39</v>
      </c>
      <c r="AB1941" t="s">
        <v>40</v>
      </c>
      <c r="AC1941" t="s">
        <v>40</v>
      </c>
      <c r="AD1941" t="s">
        <v>696</v>
      </c>
    </row>
    <row r="1942" spans="2:30">
      <c r="B1942">
        <v>0</v>
      </c>
      <c r="C1942">
        <v>1020</v>
      </c>
      <c r="D1942" t="s">
        <v>693</v>
      </c>
      <c r="E1942">
        <v>10017259</v>
      </c>
      <c r="F1942" t="s">
        <v>2033</v>
      </c>
      <c r="G1942" t="s">
        <v>43</v>
      </c>
      <c r="H1942" t="s">
        <v>32</v>
      </c>
      <c r="I1942" t="s">
        <v>695</v>
      </c>
      <c r="J1942" t="s">
        <v>45</v>
      </c>
      <c r="K1942" t="s">
        <v>35</v>
      </c>
      <c r="L1942" t="s">
        <v>175</v>
      </c>
      <c r="M1942" t="s">
        <v>37</v>
      </c>
      <c r="N1942">
        <v>0</v>
      </c>
      <c r="O1942">
        <v>0</v>
      </c>
      <c r="P1942">
        <v>0</v>
      </c>
      <c r="Q1942">
        <v>6</v>
      </c>
      <c r="R1942">
        <v>0</v>
      </c>
      <c r="S1942" t="str">
        <f t="shared" si="150"/>
        <v>PY: Media Crit.</v>
      </c>
      <c r="T1942">
        <f t="shared" si="151"/>
        <v>0</v>
      </c>
      <c r="U1942">
        <f t="shared" si="152"/>
        <v>0</v>
      </c>
      <c r="V1942">
        <f t="shared" si="153"/>
        <v>0</v>
      </c>
      <c r="W1942">
        <f t="shared" si="154"/>
        <v>1</v>
      </c>
      <c r="X1942">
        <v>1</v>
      </c>
      <c r="Y1942" s="2">
        <v>45768</v>
      </c>
      <c r="Z1942" s="3" t="s">
        <v>38</v>
      </c>
      <c r="AA1942" t="s">
        <v>39</v>
      </c>
      <c r="AB1942" t="s">
        <v>40</v>
      </c>
      <c r="AC1942" t="s">
        <v>40</v>
      </c>
      <c r="AD1942" t="s">
        <v>696</v>
      </c>
    </row>
    <row r="1943" spans="2:30">
      <c r="B1943">
        <v>0</v>
      </c>
      <c r="C1943">
        <v>1020</v>
      </c>
      <c r="D1943" t="s">
        <v>693</v>
      </c>
      <c r="E1943">
        <v>10025791</v>
      </c>
      <c r="F1943" t="s">
        <v>2034</v>
      </c>
      <c r="G1943" t="s">
        <v>43</v>
      </c>
      <c r="H1943" t="s">
        <v>32</v>
      </c>
      <c r="I1943" t="s">
        <v>695</v>
      </c>
      <c r="J1943" t="s">
        <v>45</v>
      </c>
      <c r="K1943" t="s">
        <v>35</v>
      </c>
      <c r="L1943" t="s">
        <v>175</v>
      </c>
      <c r="M1943" t="s">
        <v>88</v>
      </c>
      <c r="N1943">
        <v>0</v>
      </c>
      <c r="O1943">
        <v>0</v>
      </c>
      <c r="P1943">
        <v>0</v>
      </c>
      <c r="Q1943">
        <v>3</v>
      </c>
      <c r="R1943">
        <v>0</v>
      </c>
      <c r="S1943" t="str">
        <f t="shared" si="150"/>
        <v>PY: Media Crit.</v>
      </c>
      <c r="T1943">
        <f t="shared" si="151"/>
        <v>0</v>
      </c>
      <c r="U1943">
        <f t="shared" si="152"/>
        <v>0</v>
      </c>
      <c r="V1943">
        <f t="shared" si="153"/>
        <v>0</v>
      </c>
      <c r="W1943">
        <f t="shared" si="154"/>
        <v>1</v>
      </c>
      <c r="X1943">
        <v>1</v>
      </c>
      <c r="Y1943" s="2">
        <v>45768</v>
      </c>
      <c r="Z1943" s="3" t="s">
        <v>89</v>
      </c>
      <c r="AA1943" t="s">
        <v>39</v>
      </c>
      <c r="AB1943" t="s">
        <v>40</v>
      </c>
      <c r="AC1943" t="s">
        <v>40</v>
      </c>
      <c r="AD1943" t="s">
        <v>696</v>
      </c>
    </row>
    <row r="1944" spans="2:30">
      <c r="B1944">
        <v>0</v>
      </c>
      <c r="C1944">
        <v>1020</v>
      </c>
      <c r="D1944" t="s">
        <v>693</v>
      </c>
      <c r="E1944">
        <v>10026030</v>
      </c>
      <c r="F1944" t="s">
        <v>2035</v>
      </c>
      <c r="G1944" t="s">
        <v>43</v>
      </c>
      <c r="H1944" t="s">
        <v>60</v>
      </c>
      <c r="I1944" t="s">
        <v>695</v>
      </c>
      <c r="J1944" t="s">
        <v>45</v>
      </c>
      <c r="K1944" t="s">
        <v>35</v>
      </c>
      <c r="L1944" t="s">
        <v>175</v>
      </c>
      <c r="M1944" t="s">
        <v>88</v>
      </c>
      <c r="N1944">
        <v>0</v>
      </c>
      <c r="O1944">
        <v>0</v>
      </c>
      <c r="P1944">
        <v>0</v>
      </c>
      <c r="Q1944">
        <v>10</v>
      </c>
      <c r="R1944">
        <v>0</v>
      </c>
      <c r="S1944" t="str">
        <f t="shared" si="150"/>
        <v>PY: Media Crit.</v>
      </c>
      <c r="T1944">
        <f t="shared" si="151"/>
        <v>0</v>
      </c>
      <c r="U1944">
        <f t="shared" si="152"/>
        <v>0</v>
      </c>
      <c r="V1944">
        <f t="shared" si="153"/>
        <v>0</v>
      </c>
      <c r="W1944">
        <f t="shared" si="154"/>
        <v>1</v>
      </c>
      <c r="X1944">
        <v>1</v>
      </c>
      <c r="Y1944" s="2">
        <v>45768</v>
      </c>
      <c r="Z1944" s="3" t="s">
        <v>89</v>
      </c>
      <c r="AA1944" t="s">
        <v>39</v>
      </c>
      <c r="AB1944" t="s">
        <v>40</v>
      </c>
      <c r="AC1944" t="s">
        <v>40</v>
      </c>
      <c r="AD1944" t="s">
        <v>696</v>
      </c>
    </row>
    <row r="1945" spans="2:30">
      <c r="B1945">
        <v>0</v>
      </c>
      <c r="C1945">
        <v>1020</v>
      </c>
      <c r="D1945" t="s">
        <v>388</v>
      </c>
      <c r="E1945">
        <v>10026127</v>
      </c>
      <c r="F1945" t="s">
        <v>2036</v>
      </c>
      <c r="G1945" t="s">
        <v>52</v>
      </c>
      <c r="H1945" t="s">
        <v>32</v>
      </c>
      <c r="I1945" t="s">
        <v>390</v>
      </c>
      <c r="J1945" t="s">
        <v>45</v>
      </c>
      <c r="K1945" t="s">
        <v>35</v>
      </c>
      <c r="L1945" t="s">
        <v>175</v>
      </c>
      <c r="M1945" t="s">
        <v>117</v>
      </c>
      <c r="N1945">
        <v>0</v>
      </c>
      <c r="O1945">
        <v>0</v>
      </c>
      <c r="P1945">
        <v>2</v>
      </c>
      <c r="Q1945">
        <v>2</v>
      </c>
      <c r="R1945">
        <v>0</v>
      </c>
      <c r="S1945" t="str">
        <f t="shared" si="150"/>
        <v>PZ: Alta Crit.</v>
      </c>
      <c r="T1945">
        <f t="shared" si="151"/>
        <v>0</v>
      </c>
      <c r="U1945">
        <f t="shared" si="152"/>
        <v>1</v>
      </c>
      <c r="V1945">
        <f t="shared" si="153"/>
        <v>0</v>
      </c>
      <c r="W1945">
        <f t="shared" si="154"/>
        <v>1</v>
      </c>
      <c r="X1945">
        <v>1</v>
      </c>
      <c r="Y1945" s="2">
        <v>45768</v>
      </c>
      <c r="Z1945" s="3" t="s">
        <v>118</v>
      </c>
      <c r="AA1945" t="s">
        <v>39</v>
      </c>
      <c r="AB1945" t="s">
        <v>40</v>
      </c>
      <c r="AC1945" t="s">
        <v>40</v>
      </c>
      <c r="AD1945" t="s">
        <v>391</v>
      </c>
    </row>
    <row r="1946" spans="2:30">
      <c r="B1946">
        <v>0</v>
      </c>
      <c r="C1946">
        <v>1020</v>
      </c>
      <c r="D1946" t="s">
        <v>388</v>
      </c>
      <c r="E1946">
        <v>10029708</v>
      </c>
      <c r="F1946" t="s">
        <v>2037</v>
      </c>
      <c r="G1946" t="s">
        <v>52</v>
      </c>
      <c r="H1946" t="s">
        <v>32</v>
      </c>
      <c r="I1946" t="s">
        <v>390</v>
      </c>
      <c r="J1946" t="s">
        <v>45</v>
      </c>
      <c r="K1946" t="s">
        <v>35</v>
      </c>
      <c r="L1946" t="s">
        <v>175</v>
      </c>
      <c r="M1946" t="s">
        <v>55</v>
      </c>
      <c r="N1946">
        <v>0</v>
      </c>
      <c r="O1946">
        <v>0</v>
      </c>
      <c r="P1946">
        <v>1</v>
      </c>
      <c r="Q1946">
        <v>1</v>
      </c>
      <c r="R1946">
        <v>0</v>
      </c>
      <c r="S1946" t="str">
        <f t="shared" si="150"/>
        <v>PZ: Alta Crit.</v>
      </c>
      <c r="T1946">
        <f t="shared" si="151"/>
        <v>0</v>
      </c>
      <c r="U1946">
        <f t="shared" si="152"/>
        <v>1</v>
      </c>
      <c r="V1946">
        <f t="shared" si="153"/>
        <v>0</v>
      </c>
      <c r="W1946">
        <f t="shared" si="154"/>
        <v>1</v>
      </c>
      <c r="X1946">
        <v>1</v>
      </c>
      <c r="Y1946" s="2">
        <v>45768</v>
      </c>
      <c r="Z1946" s="3" t="s">
        <v>56</v>
      </c>
      <c r="AA1946" t="s">
        <v>39</v>
      </c>
      <c r="AB1946" t="s">
        <v>40</v>
      </c>
      <c r="AC1946" t="s">
        <v>40</v>
      </c>
      <c r="AD1946" t="s">
        <v>391</v>
      </c>
    </row>
    <row r="1947" spans="2:30">
      <c r="B1947">
        <v>0</v>
      </c>
      <c r="C1947">
        <v>1020</v>
      </c>
      <c r="D1947" t="s">
        <v>693</v>
      </c>
      <c r="E1947">
        <v>10032230</v>
      </c>
      <c r="F1947" t="s">
        <v>2038</v>
      </c>
      <c r="G1947" t="s">
        <v>52</v>
      </c>
      <c r="H1947" t="s">
        <v>32</v>
      </c>
      <c r="I1947" t="s">
        <v>695</v>
      </c>
      <c r="J1947" t="s">
        <v>45</v>
      </c>
      <c r="K1947" t="s">
        <v>35</v>
      </c>
      <c r="L1947" t="s">
        <v>175</v>
      </c>
      <c r="M1947" t="s">
        <v>46</v>
      </c>
      <c r="N1947">
        <v>0</v>
      </c>
      <c r="O1947">
        <v>0</v>
      </c>
      <c r="P1947">
        <v>0</v>
      </c>
      <c r="Q1947">
        <v>2</v>
      </c>
      <c r="R1947">
        <v>0</v>
      </c>
      <c r="S1947" t="str">
        <f t="shared" si="150"/>
        <v>PZ: Alta Crit.</v>
      </c>
      <c r="T1947">
        <f t="shared" si="151"/>
        <v>0</v>
      </c>
      <c r="U1947">
        <f t="shared" si="152"/>
        <v>0</v>
      </c>
      <c r="V1947">
        <f t="shared" si="153"/>
        <v>0</v>
      </c>
      <c r="W1947">
        <f t="shared" si="154"/>
        <v>1</v>
      </c>
      <c r="X1947">
        <v>1</v>
      </c>
      <c r="Y1947" s="2">
        <v>45768</v>
      </c>
      <c r="Z1947" s="3" t="s">
        <v>47</v>
      </c>
      <c r="AA1947" t="s">
        <v>39</v>
      </c>
      <c r="AB1947" t="s">
        <v>40</v>
      </c>
      <c r="AC1947" t="s">
        <v>40</v>
      </c>
      <c r="AD1947" t="s">
        <v>696</v>
      </c>
    </row>
    <row r="1948" spans="2:30">
      <c r="B1948">
        <v>0</v>
      </c>
      <c r="C1948">
        <v>1020</v>
      </c>
      <c r="D1948" t="s">
        <v>693</v>
      </c>
      <c r="E1948">
        <v>10033975</v>
      </c>
      <c r="F1948" t="s">
        <v>2039</v>
      </c>
      <c r="G1948" t="s">
        <v>43</v>
      </c>
      <c r="H1948" t="s">
        <v>32</v>
      </c>
      <c r="I1948" t="s">
        <v>695</v>
      </c>
      <c r="J1948" t="s">
        <v>45</v>
      </c>
      <c r="K1948" t="s">
        <v>35</v>
      </c>
      <c r="L1948" t="s">
        <v>175</v>
      </c>
      <c r="M1948" t="s">
        <v>46</v>
      </c>
      <c r="N1948">
        <v>0</v>
      </c>
      <c r="O1948">
        <v>0</v>
      </c>
      <c r="P1948">
        <v>0</v>
      </c>
      <c r="Q1948">
        <v>0</v>
      </c>
      <c r="R1948">
        <v>0</v>
      </c>
      <c r="S1948" t="str">
        <f t="shared" si="150"/>
        <v>PY: Media Crit.</v>
      </c>
      <c r="T1948">
        <f t="shared" si="151"/>
        <v>1</v>
      </c>
      <c r="U1948">
        <f t="shared" si="152"/>
        <v>0</v>
      </c>
      <c r="V1948">
        <f t="shared" si="153"/>
        <v>0</v>
      </c>
      <c r="W1948">
        <f t="shared" si="154"/>
        <v>0</v>
      </c>
      <c r="X1948">
        <v>1</v>
      </c>
      <c r="Y1948" s="2">
        <v>45768</v>
      </c>
      <c r="Z1948" s="3" t="s">
        <v>47</v>
      </c>
      <c r="AA1948" t="s">
        <v>39</v>
      </c>
      <c r="AB1948" t="s">
        <v>40</v>
      </c>
      <c r="AC1948" t="s">
        <v>40</v>
      </c>
      <c r="AD1948" t="s">
        <v>696</v>
      </c>
    </row>
    <row r="1949" spans="2:30">
      <c r="B1949">
        <v>0</v>
      </c>
      <c r="C1949">
        <v>1020</v>
      </c>
      <c r="D1949" t="s">
        <v>693</v>
      </c>
      <c r="E1949">
        <v>10033979</v>
      </c>
      <c r="F1949" t="s">
        <v>2040</v>
      </c>
      <c r="G1949" t="s">
        <v>43</v>
      </c>
      <c r="H1949" t="s">
        <v>32</v>
      </c>
      <c r="I1949" t="s">
        <v>695</v>
      </c>
      <c r="J1949" t="s">
        <v>45</v>
      </c>
      <c r="K1949" t="s">
        <v>35</v>
      </c>
      <c r="L1949" t="s">
        <v>175</v>
      </c>
      <c r="M1949" t="s">
        <v>46</v>
      </c>
      <c r="N1949">
        <v>0</v>
      </c>
      <c r="O1949">
        <v>0</v>
      </c>
      <c r="P1949">
        <v>0</v>
      </c>
      <c r="Q1949">
        <v>0</v>
      </c>
      <c r="R1949">
        <v>0</v>
      </c>
      <c r="S1949" t="str">
        <f t="shared" si="150"/>
        <v>PY: Media Crit.</v>
      </c>
      <c r="T1949">
        <f t="shared" si="151"/>
        <v>1</v>
      </c>
      <c r="U1949">
        <f t="shared" si="152"/>
        <v>0</v>
      </c>
      <c r="V1949">
        <f t="shared" si="153"/>
        <v>0</v>
      </c>
      <c r="W1949">
        <f t="shared" si="154"/>
        <v>0</v>
      </c>
      <c r="X1949">
        <v>1</v>
      </c>
      <c r="Y1949" s="2">
        <v>45768</v>
      </c>
      <c r="Z1949" s="3" t="s">
        <v>47</v>
      </c>
      <c r="AA1949" t="s">
        <v>39</v>
      </c>
      <c r="AB1949" t="s">
        <v>40</v>
      </c>
      <c r="AC1949" t="s">
        <v>40</v>
      </c>
      <c r="AD1949" t="s">
        <v>696</v>
      </c>
    </row>
    <row r="1950" spans="2:30">
      <c r="B1950">
        <v>0</v>
      </c>
      <c r="C1950">
        <v>1020</v>
      </c>
      <c r="D1950" t="s">
        <v>693</v>
      </c>
      <c r="E1950">
        <v>10035506</v>
      </c>
      <c r="F1950" t="s">
        <v>2041</v>
      </c>
      <c r="G1950" t="s">
        <v>43</v>
      </c>
      <c r="H1950" t="s">
        <v>32</v>
      </c>
      <c r="I1950" t="s">
        <v>695</v>
      </c>
      <c r="J1950" t="s">
        <v>45</v>
      </c>
      <c r="K1950" t="s">
        <v>35</v>
      </c>
      <c r="L1950" t="s">
        <v>175</v>
      </c>
      <c r="M1950" t="s">
        <v>37</v>
      </c>
      <c r="N1950">
        <v>0</v>
      </c>
      <c r="O1950">
        <v>0</v>
      </c>
      <c r="P1950">
        <v>0</v>
      </c>
      <c r="Q1950">
        <v>8</v>
      </c>
      <c r="R1950">
        <v>0</v>
      </c>
      <c r="S1950" t="str">
        <f t="shared" si="150"/>
        <v>PY: Media Crit.</v>
      </c>
      <c r="T1950">
        <f t="shared" si="151"/>
        <v>0</v>
      </c>
      <c r="U1950">
        <f t="shared" si="152"/>
        <v>0</v>
      </c>
      <c r="V1950">
        <f t="shared" si="153"/>
        <v>0</v>
      </c>
      <c r="W1950">
        <f t="shared" si="154"/>
        <v>1</v>
      </c>
      <c r="X1950">
        <v>1</v>
      </c>
      <c r="Y1950" s="2">
        <v>45768</v>
      </c>
      <c r="Z1950" s="3" t="s">
        <v>38</v>
      </c>
      <c r="AA1950" t="s">
        <v>39</v>
      </c>
      <c r="AB1950" t="s">
        <v>40</v>
      </c>
      <c r="AC1950" t="s">
        <v>40</v>
      </c>
      <c r="AD1950" t="s">
        <v>696</v>
      </c>
    </row>
    <row r="1951" spans="2:30">
      <c r="B1951">
        <v>0</v>
      </c>
      <c r="C1951">
        <v>1020</v>
      </c>
      <c r="D1951" t="s">
        <v>693</v>
      </c>
      <c r="E1951">
        <v>10035510</v>
      </c>
      <c r="F1951" t="s">
        <v>2042</v>
      </c>
      <c r="G1951" t="s">
        <v>43</v>
      </c>
      <c r="H1951" t="s">
        <v>32</v>
      </c>
      <c r="I1951" t="s">
        <v>695</v>
      </c>
      <c r="J1951" t="s">
        <v>45</v>
      </c>
      <c r="K1951" t="s">
        <v>35</v>
      </c>
      <c r="L1951" t="s">
        <v>175</v>
      </c>
      <c r="M1951" t="s">
        <v>37</v>
      </c>
      <c r="N1951">
        <v>0</v>
      </c>
      <c r="O1951">
        <v>0</v>
      </c>
      <c r="P1951">
        <v>0</v>
      </c>
      <c r="Q1951">
        <v>8</v>
      </c>
      <c r="R1951">
        <v>0</v>
      </c>
      <c r="S1951" t="str">
        <f t="shared" si="150"/>
        <v>PY: Media Crit.</v>
      </c>
      <c r="T1951">
        <f t="shared" si="151"/>
        <v>0</v>
      </c>
      <c r="U1951">
        <f t="shared" si="152"/>
        <v>0</v>
      </c>
      <c r="V1951">
        <f t="shared" si="153"/>
        <v>0</v>
      </c>
      <c r="W1951">
        <f t="shared" si="154"/>
        <v>1</v>
      </c>
      <c r="X1951">
        <v>1</v>
      </c>
      <c r="Y1951" s="2">
        <v>45768</v>
      </c>
      <c r="Z1951" s="3" t="s">
        <v>38</v>
      </c>
      <c r="AA1951" t="s">
        <v>39</v>
      </c>
      <c r="AB1951" t="s">
        <v>40</v>
      </c>
      <c r="AC1951" t="s">
        <v>40</v>
      </c>
      <c r="AD1951" t="s">
        <v>696</v>
      </c>
    </row>
    <row r="1952" spans="2:30">
      <c r="B1952">
        <v>0</v>
      </c>
      <c r="C1952">
        <v>1020</v>
      </c>
      <c r="D1952" t="s">
        <v>693</v>
      </c>
      <c r="E1952">
        <v>10035626</v>
      </c>
      <c r="F1952" t="s">
        <v>2043</v>
      </c>
      <c r="G1952" t="s">
        <v>52</v>
      </c>
      <c r="H1952" t="s">
        <v>32</v>
      </c>
      <c r="I1952" t="s">
        <v>695</v>
      </c>
      <c r="J1952" t="s">
        <v>45</v>
      </c>
      <c r="K1952" t="s">
        <v>35</v>
      </c>
      <c r="L1952" t="s">
        <v>175</v>
      </c>
      <c r="M1952" t="s">
        <v>88</v>
      </c>
      <c r="N1952">
        <v>0</v>
      </c>
      <c r="O1952">
        <v>0</v>
      </c>
      <c r="P1952">
        <v>0</v>
      </c>
      <c r="Q1952">
        <v>149</v>
      </c>
      <c r="R1952">
        <v>0</v>
      </c>
      <c r="S1952" t="str">
        <f t="shared" si="150"/>
        <v>PZ: Alta Crit.</v>
      </c>
      <c r="T1952">
        <f t="shared" si="151"/>
        <v>0</v>
      </c>
      <c r="U1952">
        <f t="shared" si="152"/>
        <v>0</v>
      </c>
      <c r="V1952">
        <f t="shared" si="153"/>
        <v>0</v>
      </c>
      <c r="W1952">
        <f t="shared" si="154"/>
        <v>1</v>
      </c>
      <c r="X1952">
        <v>1</v>
      </c>
      <c r="Y1952" s="2">
        <v>45768</v>
      </c>
      <c r="Z1952" s="3" t="s">
        <v>89</v>
      </c>
      <c r="AA1952" t="s">
        <v>39</v>
      </c>
      <c r="AB1952" t="s">
        <v>40</v>
      </c>
      <c r="AC1952" t="s">
        <v>40</v>
      </c>
      <c r="AD1952" t="s">
        <v>696</v>
      </c>
    </row>
    <row r="1953" spans="2:30">
      <c r="B1953">
        <v>0</v>
      </c>
      <c r="C1953">
        <v>1020</v>
      </c>
      <c r="D1953" t="s">
        <v>388</v>
      </c>
      <c r="E1953">
        <v>10036083</v>
      </c>
      <c r="F1953" t="s">
        <v>2044</v>
      </c>
      <c r="G1953" t="s">
        <v>43</v>
      </c>
      <c r="H1953" t="s">
        <v>60</v>
      </c>
      <c r="I1953" t="s">
        <v>390</v>
      </c>
      <c r="J1953" t="s">
        <v>45</v>
      </c>
      <c r="K1953" t="s">
        <v>252</v>
      </c>
      <c r="L1953" t="s">
        <v>175</v>
      </c>
      <c r="M1953" t="s">
        <v>69</v>
      </c>
      <c r="N1953">
        <v>0</v>
      </c>
      <c r="O1953">
        <v>0</v>
      </c>
      <c r="P1953">
        <v>100</v>
      </c>
      <c r="Q1953">
        <v>100</v>
      </c>
      <c r="R1953">
        <v>827.91</v>
      </c>
      <c r="S1953" t="str">
        <f t="shared" si="150"/>
        <v>PY: Media Crit.</v>
      </c>
      <c r="T1953">
        <f t="shared" si="151"/>
        <v>0</v>
      </c>
      <c r="U1953">
        <f t="shared" si="152"/>
        <v>1</v>
      </c>
      <c r="V1953">
        <f t="shared" si="153"/>
        <v>0</v>
      </c>
      <c r="W1953">
        <f t="shared" si="154"/>
        <v>1</v>
      </c>
      <c r="X1953">
        <v>1</v>
      </c>
      <c r="Y1953" s="2">
        <v>45768</v>
      </c>
      <c r="Z1953" s="3" t="s">
        <v>70</v>
      </c>
      <c r="AA1953" t="s">
        <v>39</v>
      </c>
      <c r="AB1953" t="s">
        <v>40</v>
      </c>
      <c r="AC1953" t="s">
        <v>40</v>
      </c>
      <c r="AD1953" t="s">
        <v>391</v>
      </c>
    </row>
    <row r="1954" spans="2:30">
      <c r="B1954">
        <v>0</v>
      </c>
      <c r="C1954">
        <v>1020</v>
      </c>
      <c r="D1954" t="s">
        <v>693</v>
      </c>
      <c r="E1954">
        <v>10037489</v>
      </c>
      <c r="F1954" t="s">
        <v>2045</v>
      </c>
      <c r="G1954" t="s">
        <v>43</v>
      </c>
      <c r="H1954" t="s">
        <v>32</v>
      </c>
      <c r="I1954" t="s">
        <v>695</v>
      </c>
      <c r="J1954" t="s">
        <v>45</v>
      </c>
      <c r="K1954" t="s">
        <v>35</v>
      </c>
      <c r="L1954" t="s">
        <v>175</v>
      </c>
      <c r="M1954" t="s">
        <v>88</v>
      </c>
      <c r="N1954">
        <v>0</v>
      </c>
      <c r="O1954">
        <v>0</v>
      </c>
      <c r="P1954">
        <v>0</v>
      </c>
      <c r="Q1954">
        <v>6</v>
      </c>
      <c r="R1954">
        <v>0</v>
      </c>
      <c r="S1954" t="str">
        <f t="shared" si="150"/>
        <v>PY: Media Crit.</v>
      </c>
      <c r="T1954">
        <f t="shared" si="151"/>
        <v>0</v>
      </c>
      <c r="U1954">
        <f t="shared" si="152"/>
        <v>0</v>
      </c>
      <c r="V1954">
        <f t="shared" si="153"/>
        <v>0</v>
      </c>
      <c r="W1954">
        <f t="shared" si="154"/>
        <v>1</v>
      </c>
      <c r="X1954">
        <v>1</v>
      </c>
      <c r="Y1954" s="2">
        <v>45768</v>
      </c>
      <c r="Z1954" s="3" t="s">
        <v>89</v>
      </c>
      <c r="AA1954" t="s">
        <v>39</v>
      </c>
      <c r="AB1954" t="s">
        <v>40</v>
      </c>
      <c r="AC1954" t="s">
        <v>40</v>
      </c>
      <c r="AD1954" t="s">
        <v>696</v>
      </c>
    </row>
    <row r="1955" spans="2:30">
      <c r="B1955">
        <v>0</v>
      </c>
      <c r="C1955">
        <v>1020</v>
      </c>
      <c r="D1955" t="s">
        <v>693</v>
      </c>
      <c r="E1955">
        <v>10039699</v>
      </c>
      <c r="F1955" t="s">
        <v>2046</v>
      </c>
      <c r="G1955" t="s">
        <v>43</v>
      </c>
      <c r="H1955" t="s">
        <v>32</v>
      </c>
      <c r="I1955" t="s">
        <v>695</v>
      </c>
      <c r="J1955" t="s">
        <v>45</v>
      </c>
      <c r="K1955" t="s">
        <v>35</v>
      </c>
      <c r="L1955" t="s">
        <v>175</v>
      </c>
      <c r="M1955" t="s">
        <v>46</v>
      </c>
      <c r="N1955">
        <v>0</v>
      </c>
      <c r="O1955">
        <v>0</v>
      </c>
      <c r="P1955">
        <v>0</v>
      </c>
      <c r="Q1955">
        <v>1</v>
      </c>
      <c r="R1955">
        <v>0</v>
      </c>
      <c r="S1955" t="str">
        <f t="shared" si="150"/>
        <v>PY: Media Crit.</v>
      </c>
      <c r="T1955">
        <f t="shared" si="151"/>
        <v>0</v>
      </c>
      <c r="U1955">
        <f t="shared" si="152"/>
        <v>0</v>
      </c>
      <c r="V1955">
        <f t="shared" si="153"/>
        <v>0</v>
      </c>
      <c r="W1955">
        <f t="shared" si="154"/>
        <v>1</v>
      </c>
      <c r="X1955">
        <v>1</v>
      </c>
      <c r="Y1955" s="2">
        <v>45768</v>
      </c>
      <c r="Z1955" s="3" t="s">
        <v>47</v>
      </c>
      <c r="AA1955" t="s">
        <v>39</v>
      </c>
      <c r="AB1955" t="s">
        <v>40</v>
      </c>
      <c r="AC1955" t="s">
        <v>40</v>
      </c>
      <c r="AD1955" t="s">
        <v>696</v>
      </c>
    </row>
    <row r="1956" spans="2:30">
      <c r="B1956">
        <v>0</v>
      </c>
      <c r="C1956">
        <v>1020</v>
      </c>
      <c r="D1956" t="s">
        <v>693</v>
      </c>
      <c r="E1956">
        <v>10040259</v>
      </c>
      <c r="F1956" t="s">
        <v>2047</v>
      </c>
      <c r="G1956" t="s">
        <v>52</v>
      </c>
      <c r="H1956" t="s">
        <v>32</v>
      </c>
      <c r="I1956" t="s">
        <v>695</v>
      </c>
      <c r="J1956" t="s">
        <v>45</v>
      </c>
      <c r="K1956" t="s">
        <v>35</v>
      </c>
      <c r="L1956" t="s">
        <v>175</v>
      </c>
      <c r="M1956" t="s">
        <v>55</v>
      </c>
      <c r="N1956">
        <v>0</v>
      </c>
      <c r="O1956">
        <v>0</v>
      </c>
      <c r="P1956">
        <v>0</v>
      </c>
      <c r="Q1956">
        <v>8</v>
      </c>
      <c r="R1956">
        <v>0</v>
      </c>
      <c r="S1956" t="str">
        <f t="shared" si="150"/>
        <v>PZ: Alta Crit.</v>
      </c>
      <c r="T1956">
        <f t="shared" si="151"/>
        <v>0</v>
      </c>
      <c r="U1956">
        <f t="shared" si="152"/>
        <v>0</v>
      </c>
      <c r="V1956">
        <f t="shared" si="153"/>
        <v>0</v>
      </c>
      <c r="W1956">
        <f t="shared" si="154"/>
        <v>1</v>
      </c>
      <c r="X1956">
        <v>1</v>
      </c>
      <c r="Y1956" s="2">
        <v>45768</v>
      </c>
      <c r="Z1956" s="3" t="s">
        <v>56</v>
      </c>
      <c r="AA1956" t="s">
        <v>39</v>
      </c>
      <c r="AB1956" t="s">
        <v>40</v>
      </c>
      <c r="AC1956" t="s">
        <v>40</v>
      </c>
      <c r="AD1956" t="s">
        <v>696</v>
      </c>
    </row>
    <row r="1957" spans="2:30">
      <c r="B1957">
        <v>0</v>
      </c>
      <c r="C1957">
        <v>1020</v>
      </c>
      <c r="D1957" t="s">
        <v>693</v>
      </c>
      <c r="E1957">
        <v>10040538</v>
      </c>
      <c r="F1957" t="s">
        <v>2048</v>
      </c>
      <c r="G1957" t="s">
        <v>52</v>
      </c>
      <c r="H1957" t="s">
        <v>32</v>
      </c>
      <c r="I1957" t="s">
        <v>695</v>
      </c>
      <c r="J1957" t="s">
        <v>45</v>
      </c>
      <c r="K1957" t="s">
        <v>35</v>
      </c>
      <c r="L1957" t="s">
        <v>175</v>
      </c>
      <c r="M1957" t="s">
        <v>46</v>
      </c>
      <c r="N1957">
        <v>0</v>
      </c>
      <c r="O1957">
        <v>0</v>
      </c>
      <c r="P1957">
        <v>0</v>
      </c>
      <c r="Q1957">
        <v>29</v>
      </c>
      <c r="R1957">
        <v>0</v>
      </c>
      <c r="S1957" t="str">
        <f t="shared" si="150"/>
        <v>PZ: Alta Crit.</v>
      </c>
      <c r="T1957">
        <f t="shared" si="151"/>
        <v>0</v>
      </c>
      <c r="U1957">
        <f t="shared" si="152"/>
        <v>0</v>
      </c>
      <c r="V1957">
        <f t="shared" si="153"/>
        <v>0</v>
      </c>
      <c r="W1957">
        <f t="shared" si="154"/>
        <v>1</v>
      </c>
      <c r="X1957">
        <v>1</v>
      </c>
      <c r="Y1957" s="2">
        <v>45768</v>
      </c>
      <c r="Z1957" s="3" t="s">
        <v>47</v>
      </c>
      <c r="AA1957" t="s">
        <v>39</v>
      </c>
      <c r="AB1957" t="s">
        <v>40</v>
      </c>
      <c r="AC1957" t="s">
        <v>40</v>
      </c>
      <c r="AD1957" t="s">
        <v>696</v>
      </c>
    </row>
    <row r="1958" spans="2:30">
      <c r="B1958">
        <v>0</v>
      </c>
      <c r="C1958">
        <v>1020</v>
      </c>
      <c r="D1958" t="s">
        <v>693</v>
      </c>
      <c r="E1958">
        <v>10040553</v>
      </c>
      <c r="F1958" t="s">
        <v>2049</v>
      </c>
      <c r="G1958" t="s">
        <v>52</v>
      </c>
      <c r="H1958" t="s">
        <v>32</v>
      </c>
      <c r="I1958" t="s">
        <v>695</v>
      </c>
      <c r="J1958" t="s">
        <v>45</v>
      </c>
      <c r="K1958" t="s">
        <v>35</v>
      </c>
      <c r="L1958" t="s">
        <v>175</v>
      </c>
      <c r="M1958" t="s">
        <v>46</v>
      </c>
      <c r="N1958">
        <v>0</v>
      </c>
      <c r="O1958">
        <v>0</v>
      </c>
      <c r="P1958">
        <v>0</v>
      </c>
      <c r="Q1958">
        <v>29</v>
      </c>
      <c r="R1958">
        <v>0</v>
      </c>
      <c r="S1958" t="str">
        <f t="shared" si="150"/>
        <v>PZ: Alta Crit.</v>
      </c>
      <c r="T1958">
        <f t="shared" si="151"/>
        <v>0</v>
      </c>
      <c r="U1958">
        <f t="shared" si="152"/>
        <v>0</v>
      </c>
      <c r="V1958">
        <f t="shared" si="153"/>
        <v>0</v>
      </c>
      <c r="W1958">
        <f t="shared" si="154"/>
        <v>1</v>
      </c>
      <c r="X1958">
        <v>1</v>
      </c>
      <c r="Y1958" s="2">
        <v>45768</v>
      </c>
      <c r="Z1958" s="3" t="s">
        <v>47</v>
      </c>
      <c r="AA1958" t="s">
        <v>39</v>
      </c>
      <c r="AB1958" t="s">
        <v>40</v>
      </c>
      <c r="AC1958" t="s">
        <v>40</v>
      </c>
      <c r="AD1958" t="s">
        <v>696</v>
      </c>
    </row>
    <row r="1959" spans="2:30">
      <c r="B1959">
        <v>0</v>
      </c>
      <c r="C1959">
        <v>1020</v>
      </c>
      <c r="D1959" t="s">
        <v>181</v>
      </c>
      <c r="E1959">
        <v>10040631</v>
      </c>
      <c r="F1959" t="s">
        <v>2050</v>
      </c>
      <c r="G1959" t="s">
        <v>31</v>
      </c>
      <c r="H1959" t="s">
        <v>44</v>
      </c>
      <c r="I1959" t="s">
        <v>183</v>
      </c>
      <c r="J1959" t="s">
        <v>45</v>
      </c>
      <c r="K1959" t="s">
        <v>35</v>
      </c>
      <c r="L1959" t="s">
        <v>36</v>
      </c>
      <c r="M1959" t="s">
        <v>46</v>
      </c>
      <c r="N1959">
        <v>1</v>
      </c>
      <c r="O1959">
        <v>1</v>
      </c>
      <c r="P1959">
        <v>0</v>
      </c>
      <c r="Q1959">
        <v>1</v>
      </c>
      <c r="R1959">
        <v>0</v>
      </c>
      <c r="S1959" t="str">
        <f t="shared" si="150"/>
        <v>PX: Baja Crit.</v>
      </c>
      <c r="T1959">
        <f t="shared" si="151"/>
        <v>0</v>
      </c>
      <c r="U1959">
        <f t="shared" si="152"/>
        <v>0</v>
      </c>
      <c r="V1959">
        <f t="shared" si="153"/>
        <v>1</v>
      </c>
      <c r="W1959">
        <f t="shared" si="154"/>
        <v>0</v>
      </c>
      <c r="X1959">
        <v>1</v>
      </c>
      <c r="Y1959" s="2">
        <v>45768</v>
      </c>
      <c r="Z1959" s="3" t="s">
        <v>47</v>
      </c>
      <c r="AA1959" t="s">
        <v>39</v>
      </c>
      <c r="AB1959" t="s">
        <v>40</v>
      </c>
      <c r="AC1959" t="s">
        <v>40</v>
      </c>
      <c r="AD1959" t="s">
        <v>184</v>
      </c>
    </row>
    <row r="1960" spans="2:30">
      <c r="B1960">
        <v>0</v>
      </c>
      <c r="C1960">
        <v>1020</v>
      </c>
      <c r="D1960" t="s">
        <v>693</v>
      </c>
      <c r="E1960">
        <v>10040689</v>
      </c>
      <c r="F1960" t="s">
        <v>2051</v>
      </c>
      <c r="G1960" t="s">
        <v>52</v>
      </c>
      <c r="H1960" t="s">
        <v>32</v>
      </c>
      <c r="I1960" t="s">
        <v>695</v>
      </c>
      <c r="J1960" t="s">
        <v>45</v>
      </c>
      <c r="K1960" t="s">
        <v>35</v>
      </c>
      <c r="L1960" t="s">
        <v>175</v>
      </c>
      <c r="M1960" t="s">
        <v>117</v>
      </c>
      <c r="N1960">
        <v>0</v>
      </c>
      <c r="O1960">
        <v>0</v>
      </c>
      <c r="P1960">
        <v>0</v>
      </c>
      <c r="Q1960">
        <v>57</v>
      </c>
      <c r="R1960">
        <v>0</v>
      </c>
      <c r="S1960" t="str">
        <f t="shared" si="150"/>
        <v>PZ: Alta Crit.</v>
      </c>
      <c r="T1960">
        <f t="shared" si="151"/>
        <v>0</v>
      </c>
      <c r="U1960">
        <f t="shared" si="152"/>
        <v>0</v>
      </c>
      <c r="V1960">
        <f t="shared" si="153"/>
        <v>0</v>
      </c>
      <c r="W1960">
        <f t="shared" si="154"/>
        <v>1</v>
      </c>
      <c r="X1960">
        <v>1</v>
      </c>
      <c r="Y1960" s="2">
        <v>45768</v>
      </c>
      <c r="Z1960" s="3" t="s">
        <v>118</v>
      </c>
      <c r="AA1960" t="s">
        <v>39</v>
      </c>
      <c r="AB1960" t="s">
        <v>40</v>
      </c>
      <c r="AC1960" t="s">
        <v>40</v>
      </c>
      <c r="AD1960" t="s">
        <v>696</v>
      </c>
    </row>
    <row r="1961" spans="2:30">
      <c r="B1961">
        <v>0</v>
      </c>
      <c r="C1961">
        <v>1020</v>
      </c>
      <c r="D1961" t="s">
        <v>172</v>
      </c>
      <c r="E1961">
        <v>10040716</v>
      </c>
      <c r="F1961" t="s">
        <v>2052</v>
      </c>
      <c r="G1961" t="s">
        <v>52</v>
      </c>
      <c r="H1961" t="s">
        <v>60</v>
      </c>
      <c r="I1961" t="s">
        <v>174</v>
      </c>
      <c r="J1961" t="s">
        <v>45</v>
      </c>
      <c r="K1961" t="s">
        <v>35</v>
      </c>
      <c r="L1961" t="s">
        <v>175</v>
      </c>
      <c r="M1961" t="s">
        <v>46</v>
      </c>
      <c r="N1961">
        <v>0</v>
      </c>
      <c r="O1961">
        <v>0</v>
      </c>
      <c r="P1961" s="8">
        <v>4000</v>
      </c>
      <c r="Q1961">
        <v>0</v>
      </c>
      <c r="R1961">
        <v>0</v>
      </c>
      <c r="S1961" t="str">
        <f t="shared" si="150"/>
        <v>PZ: Alta Crit.</v>
      </c>
      <c r="T1961">
        <f t="shared" si="151"/>
        <v>1</v>
      </c>
      <c r="U1961">
        <f t="shared" si="152"/>
        <v>0</v>
      </c>
      <c r="V1961">
        <f t="shared" si="153"/>
        <v>0</v>
      </c>
      <c r="W1961">
        <f t="shared" si="154"/>
        <v>0</v>
      </c>
      <c r="X1961">
        <v>1</v>
      </c>
      <c r="Y1961" s="2">
        <v>45768</v>
      </c>
      <c r="Z1961" s="3" t="s">
        <v>47</v>
      </c>
      <c r="AA1961" t="s">
        <v>39</v>
      </c>
      <c r="AB1961" t="s">
        <v>40</v>
      </c>
      <c r="AC1961" t="s">
        <v>40</v>
      </c>
      <c r="AD1961" t="s">
        <v>176</v>
      </c>
    </row>
    <row r="1962" spans="2:30">
      <c r="B1962">
        <v>0</v>
      </c>
      <c r="C1962">
        <v>1020</v>
      </c>
      <c r="D1962" t="s">
        <v>181</v>
      </c>
      <c r="E1962">
        <v>10040981</v>
      </c>
      <c r="F1962" t="s">
        <v>2053</v>
      </c>
      <c r="G1962" t="s">
        <v>43</v>
      </c>
      <c r="H1962" t="s">
        <v>32</v>
      </c>
      <c r="I1962" t="s">
        <v>183</v>
      </c>
      <c r="J1962" t="s">
        <v>45</v>
      </c>
      <c r="K1962" t="s">
        <v>35</v>
      </c>
      <c r="L1962" t="s">
        <v>36</v>
      </c>
      <c r="M1962" t="s">
        <v>69</v>
      </c>
      <c r="N1962">
        <v>3</v>
      </c>
      <c r="O1962">
        <v>3</v>
      </c>
      <c r="P1962">
        <v>0</v>
      </c>
      <c r="Q1962">
        <v>3</v>
      </c>
      <c r="R1962">
        <v>937.66</v>
      </c>
      <c r="S1962" t="str">
        <f t="shared" si="150"/>
        <v>PY: Media Crit.</v>
      </c>
      <c r="T1962">
        <f t="shared" si="151"/>
        <v>0</v>
      </c>
      <c r="U1962">
        <f t="shared" si="152"/>
        <v>0</v>
      </c>
      <c r="V1962">
        <f t="shared" si="153"/>
        <v>1</v>
      </c>
      <c r="W1962">
        <f t="shared" si="154"/>
        <v>0</v>
      </c>
      <c r="X1962">
        <v>1</v>
      </c>
      <c r="Y1962" s="2">
        <v>45768</v>
      </c>
      <c r="Z1962" s="3" t="s">
        <v>70</v>
      </c>
      <c r="AA1962" t="s">
        <v>39</v>
      </c>
      <c r="AB1962" t="s">
        <v>40</v>
      </c>
      <c r="AC1962" t="s">
        <v>40</v>
      </c>
      <c r="AD1962" t="s">
        <v>184</v>
      </c>
    </row>
    <row r="1963" spans="2:30">
      <c r="B1963">
        <v>0</v>
      </c>
      <c r="C1963">
        <v>1020</v>
      </c>
      <c r="D1963" t="s">
        <v>384</v>
      </c>
      <c r="E1963">
        <v>10040990</v>
      </c>
      <c r="F1963" t="s">
        <v>2054</v>
      </c>
      <c r="G1963" t="s">
        <v>43</v>
      </c>
      <c r="H1963" t="s">
        <v>32</v>
      </c>
      <c r="I1963" t="s">
        <v>386</v>
      </c>
      <c r="J1963" t="s">
        <v>45</v>
      </c>
      <c r="K1963" t="s">
        <v>35</v>
      </c>
      <c r="L1963" t="s">
        <v>175</v>
      </c>
      <c r="M1963" t="s">
        <v>69</v>
      </c>
      <c r="N1963">
        <v>0</v>
      </c>
      <c r="O1963">
        <v>0</v>
      </c>
      <c r="P1963">
        <v>0</v>
      </c>
      <c r="Q1963">
        <v>0</v>
      </c>
      <c r="R1963">
        <v>0</v>
      </c>
      <c r="S1963" t="str">
        <f t="shared" si="150"/>
        <v>PY: Media Crit.</v>
      </c>
      <c r="T1963">
        <f t="shared" si="151"/>
        <v>1</v>
      </c>
      <c r="U1963">
        <f t="shared" si="152"/>
        <v>0</v>
      </c>
      <c r="V1963">
        <f t="shared" si="153"/>
        <v>0</v>
      </c>
      <c r="W1963">
        <f t="shared" si="154"/>
        <v>0</v>
      </c>
      <c r="X1963">
        <v>1</v>
      </c>
      <c r="Y1963" s="2">
        <v>45768</v>
      </c>
      <c r="Z1963" s="3" t="s">
        <v>70</v>
      </c>
      <c r="AA1963" t="s">
        <v>39</v>
      </c>
      <c r="AB1963" t="s">
        <v>40</v>
      </c>
      <c r="AC1963" t="s">
        <v>40</v>
      </c>
      <c r="AD1963" t="s">
        <v>387</v>
      </c>
    </row>
    <row r="1964" spans="2:30">
      <c r="B1964">
        <v>0</v>
      </c>
      <c r="C1964">
        <v>1020</v>
      </c>
      <c r="D1964" t="s">
        <v>384</v>
      </c>
      <c r="E1964">
        <v>10040994</v>
      </c>
      <c r="F1964" t="s">
        <v>2055</v>
      </c>
      <c r="G1964" t="s">
        <v>43</v>
      </c>
      <c r="H1964" t="s">
        <v>32</v>
      </c>
      <c r="I1964" t="s">
        <v>386</v>
      </c>
      <c r="J1964" t="s">
        <v>45</v>
      </c>
      <c r="K1964" t="s">
        <v>35</v>
      </c>
      <c r="L1964" t="s">
        <v>175</v>
      </c>
      <c r="M1964" t="s">
        <v>69</v>
      </c>
      <c r="N1964">
        <v>0</v>
      </c>
      <c r="O1964">
        <v>0</v>
      </c>
      <c r="P1964">
        <v>0</v>
      </c>
      <c r="Q1964">
        <v>0</v>
      </c>
      <c r="R1964">
        <v>0</v>
      </c>
      <c r="S1964" t="str">
        <f t="shared" si="150"/>
        <v>PY: Media Crit.</v>
      </c>
      <c r="T1964">
        <f t="shared" si="151"/>
        <v>1</v>
      </c>
      <c r="U1964">
        <f t="shared" si="152"/>
        <v>0</v>
      </c>
      <c r="V1964">
        <f t="shared" si="153"/>
        <v>0</v>
      </c>
      <c r="W1964">
        <f t="shared" si="154"/>
        <v>0</v>
      </c>
      <c r="X1964">
        <v>1</v>
      </c>
      <c r="Y1964" s="2">
        <v>45768</v>
      </c>
      <c r="Z1964" s="3" t="s">
        <v>70</v>
      </c>
      <c r="AA1964" t="s">
        <v>39</v>
      </c>
      <c r="AB1964" t="s">
        <v>40</v>
      </c>
      <c r="AC1964" t="s">
        <v>40</v>
      </c>
      <c r="AD1964" t="s">
        <v>387</v>
      </c>
    </row>
    <row r="1965" spans="2:30">
      <c r="B1965">
        <v>0</v>
      </c>
      <c r="C1965">
        <v>1020</v>
      </c>
      <c r="D1965" t="s">
        <v>693</v>
      </c>
      <c r="E1965">
        <v>10041152</v>
      </c>
      <c r="F1965" t="s">
        <v>2056</v>
      </c>
      <c r="G1965" t="s">
        <v>43</v>
      </c>
      <c r="H1965" t="s">
        <v>32</v>
      </c>
      <c r="I1965" t="s">
        <v>695</v>
      </c>
      <c r="J1965" t="s">
        <v>45</v>
      </c>
      <c r="K1965" t="s">
        <v>252</v>
      </c>
      <c r="L1965" t="s">
        <v>175</v>
      </c>
      <c r="M1965" t="s">
        <v>37</v>
      </c>
      <c r="N1965">
        <v>0</v>
      </c>
      <c r="O1965">
        <v>0</v>
      </c>
      <c r="P1965">
        <v>0</v>
      </c>
      <c r="Q1965">
        <v>67</v>
      </c>
      <c r="R1965">
        <v>0</v>
      </c>
      <c r="S1965" t="str">
        <f t="shared" si="150"/>
        <v>PY: Media Crit.</v>
      </c>
      <c r="T1965">
        <f t="shared" si="151"/>
        <v>0</v>
      </c>
      <c r="U1965">
        <f t="shared" si="152"/>
        <v>0</v>
      </c>
      <c r="V1965">
        <f t="shared" si="153"/>
        <v>0</v>
      </c>
      <c r="W1965">
        <f t="shared" si="154"/>
        <v>1</v>
      </c>
      <c r="X1965">
        <v>1</v>
      </c>
      <c r="Y1965" s="2">
        <v>45768</v>
      </c>
      <c r="Z1965" s="3" t="s">
        <v>38</v>
      </c>
      <c r="AA1965" t="s">
        <v>39</v>
      </c>
      <c r="AB1965" t="s">
        <v>40</v>
      </c>
      <c r="AC1965" t="s">
        <v>40</v>
      </c>
      <c r="AD1965" t="s">
        <v>696</v>
      </c>
    </row>
    <row r="1966" spans="2:30">
      <c r="B1966">
        <v>0</v>
      </c>
      <c r="C1966">
        <v>1020</v>
      </c>
      <c r="D1966" t="s">
        <v>384</v>
      </c>
      <c r="E1966">
        <v>10041367</v>
      </c>
      <c r="F1966" t="s">
        <v>2057</v>
      </c>
      <c r="G1966" t="s">
        <v>43</v>
      </c>
      <c r="H1966" t="s">
        <v>32</v>
      </c>
      <c r="I1966" t="s">
        <v>386</v>
      </c>
      <c r="J1966" t="s">
        <v>45</v>
      </c>
      <c r="K1966" t="s">
        <v>35</v>
      </c>
      <c r="L1966" t="s">
        <v>175</v>
      </c>
      <c r="M1966" t="s">
        <v>117</v>
      </c>
      <c r="N1966">
        <v>0</v>
      </c>
      <c r="O1966">
        <v>0</v>
      </c>
      <c r="P1966">
        <v>0</v>
      </c>
      <c r="Q1966">
        <v>3</v>
      </c>
      <c r="R1966">
        <v>0</v>
      </c>
      <c r="S1966" t="str">
        <f t="shared" si="150"/>
        <v>PY: Media Crit.</v>
      </c>
      <c r="T1966">
        <f t="shared" si="151"/>
        <v>0</v>
      </c>
      <c r="U1966">
        <f t="shared" si="152"/>
        <v>0</v>
      </c>
      <c r="V1966">
        <f t="shared" si="153"/>
        <v>0</v>
      </c>
      <c r="W1966">
        <f t="shared" si="154"/>
        <v>1</v>
      </c>
      <c r="X1966">
        <v>1</v>
      </c>
      <c r="Y1966" s="2">
        <v>45768</v>
      </c>
      <c r="Z1966" s="3" t="s">
        <v>118</v>
      </c>
      <c r="AA1966" t="s">
        <v>39</v>
      </c>
      <c r="AB1966" t="s">
        <v>40</v>
      </c>
      <c r="AC1966" t="s">
        <v>40</v>
      </c>
      <c r="AD1966" t="s">
        <v>387</v>
      </c>
    </row>
    <row r="1967" spans="2:30">
      <c r="B1967">
        <v>0</v>
      </c>
      <c r="C1967">
        <v>1020</v>
      </c>
      <c r="D1967" t="s">
        <v>693</v>
      </c>
      <c r="E1967">
        <v>10041482</v>
      </c>
      <c r="F1967" t="s">
        <v>2058</v>
      </c>
      <c r="G1967" t="s">
        <v>52</v>
      </c>
      <c r="H1967" t="s">
        <v>32</v>
      </c>
      <c r="I1967" t="s">
        <v>695</v>
      </c>
      <c r="J1967" t="s">
        <v>45</v>
      </c>
      <c r="K1967" t="s">
        <v>35</v>
      </c>
      <c r="L1967" t="s">
        <v>175</v>
      </c>
      <c r="M1967" t="s">
        <v>46</v>
      </c>
      <c r="N1967">
        <v>0</v>
      </c>
      <c r="O1967">
        <v>0</v>
      </c>
      <c r="P1967">
        <v>0</v>
      </c>
      <c r="Q1967">
        <v>5</v>
      </c>
      <c r="R1967">
        <v>0</v>
      </c>
      <c r="S1967" t="str">
        <f t="shared" si="150"/>
        <v>PZ: Alta Crit.</v>
      </c>
      <c r="T1967">
        <f t="shared" si="151"/>
        <v>0</v>
      </c>
      <c r="U1967">
        <f t="shared" si="152"/>
        <v>0</v>
      </c>
      <c r="V1967">
        <f t="shared" si="153"/>
        <v>0</v>
      </c>
      <c r="W1967">
        <f t="shared" si="154"/>
        <v>1</v>
      </c>
      <c r="X1967">
        <v>1</v>
      </c>
      <c r="Y1967" s="2">
        <v>45768</v>
      </c>
      <c r="Z1967" s="3" t="s">
        <v>47</v>
      </c>
      <c r="AA1967" t="s">
        <v>39</v>
      </c>
      <c r="AB1967" t="s">
        <v>40</v>
      </c>
      <c r="AC1967" t="s">
        <v>40</v>
      </c>
      <c r="AD1967" t="s">
        <v>696</v>
      </c>
    </row>
    <row r="1968" spans="2:30">
      <c r="B1968">
        <v>0</v>
      </c>
      <c r="C1968">
        <v>1020</v>
      </c>
      <c r="D1968" t="s">
        <v>181</v>
      </c>
      <c r="E1968">
        <v>10041545</v>
      </c>
      <c r="F1968" t="s">
        <v>2059</v>
      </c>
      <c r="G1968" t="s">
        <v>31</v>
      </c>
      <c r="H1968" t="s">
        <v>44</v>
      </c>
      <c r="I1968" t="s">
        <v>183</v>
      </c>
      <c r="J1968" t="s">
        <v>45</v>
      </c>
      <c r="K1968" t="s">
        <v>35</v>
      </c>
      <c r="L1968" t="s">
        <v>36</v>
      </c>
      <c r="M1968" t="s">
        <v>69</v>
      </c>
      <c r="N1968">
        <v>2</v>
      </c>
      <c r="O1968">
        <v>2</v>
      </c>
      <c r="P1968">
        <v>2</v>
      </c>
      <c r="Q1968">
        <v>2</v>
      </c>
      <c r="R1968">
        <v>0</v>
      </c>
      <c r="S1968" t="str">
        <f t="shared" si="150"/>
        <v>PX: Baja Crit.</v>
      </c>
      <c r="T1968">
        <f t="shared" si="151"/>
        <v>0</v>
      </c>
      <c r="U1968">
        <f t="shared" si="152"/>
        <v>1</v>
      </c>
      <c r="V1968">
        <f t="shared" si="153"/>
        <v>0</v>
      </c>
      <c r="W1968">
        <f t="shared" si="154"/>
        <v>0</v>
      </c>
      <c r="X1968">
        <v>1</v>
      </c>
      <c r="Y1968" s="2">
        <v>45768</v>
      </c>
      <c r="Z1968" s="3" t="s">
        <v>70</v>
      </c>
      <c r="AA1968" t="s">
        <v>39</v>
      </c>
      <c r="AB1968" t="s">
        <v>40</v>
      </c>
      <c r="AC1968" t="s">
        <v>40</v>
      </c>
      <c r="AD1968" t="s">
        <v>184</v>
      </c>
    </row>
    <row r="1969" spans="2:30">
      <c r="B1969">
        <v>0</v>
      </c>
      <c r="C1969">
        <v>1020</v>
      </c>
      <c r="D1969" t="s">
        <v>388</v>
      </c>
      <c r="E1969">
        <v>10041546</v>
      </c>
      <c r="F1969" t="s">
        <v>2060</v>
      </c>
      <c r="G1969" t="s">
        <v>52</v>
      </c>
      <c r="H1969" t="s">
        <v>32</v>
      </c>
      <c r="I1969" t="s">
        <v>390</v>
      </c>
      <c r="J1969" t="s">
        <v>45</v>
      </c>
      <c r="K1969" t="s">
        <v>35</v>
      </c>
      <c r="L1969" t="s">
        <v>175</v>
      </c>
      <c r="M1969" t="s">
        <v>69</v>
      </c>
      <c r="N1969">
        <v>0</v>
      </c>
      <c r="O1969">
        <v>0</v>
      </c>
      <c r="P1969">
        <v>1</v>
      </c>
      <c r="Q1969">
        <v>1</v>
      </c>
      <c r="R1969">
        <v>0</v>
      </c>
      <c r="S1969" t="str">
        <f t="shared" si="150"/>
        <v>PZ: Alta Crit.</v>
      </c>
      <c r="T1969">
        <f t="shared" si="151"/>
        <v>0</v>
      </c>
      <c r="U1969">
        <f t="shared" si="152"/>
        <v>1</v>
      </c>
      <c r="V1969">
        <f t="shared" si="153"/>
        <v>0</v>
      </c>
      <c r="W1969">
        <f t="shared" si="154"/>
        <v>1</v>
      </c>
      <c r="X1969">
        <v>1</v>
      </c>
      <c r="Y1969" s="2">
        <v>45768</v>
      </c>
      <c r="Z1969" s="3" t="s">
        <v>70</v>
      </c>
      <c r="AA1969" t="s">
        <v>39</v>
      </c>
      <c r="AB1969" t="s">
        <v>40</v>
      </c>
      <c r="AC1969" t="s">
        <v>40</v>
      </c>
      <c r="AD1969" t="s">
        <v>391</v>
      </c>
    </row>
    <row r="1970" spans="2:30">
      <c r="B1970">
        <v>0</v>
      </c>
      <c r="C1970">
        <v>1020</v>
      </c>
      <c r="D1970" t="s">
        <v>384</v>
      </c>
      <c r="E1970">
        <v>10041635</v>
      </c>
      <c r="F1970" t="s">
        <v>2061</v>
      </c>
      <c r="G1970" t="s">
        <v>52</v>
      </c>
      <c r="H1970" t="s">
        <v>32</v>
      </c>
      <c r="I1970" t="s">
        <v>386</v>
      </c>
      <c r="J1970" t="s">
        <v>45</v>
      </c>
      <c r="K1970" t="s">
        <v>35</v>
      </c>
      <c r="L1970" t="s">
        <v>175</v>
      </c>
      <c r="M1970" t="s">
        <v>69</v>
      </c>
      <c r="N1970">
        <v>0</v>
      </c>
      <c r="O1970">
        <v>0</v>
      </c>
      <c r="P1970">
        <v>0</v>
      </c>
      <c r="Q1970">
        <v>0</v>
      </c>
      <c r="R1970">
        <v>0</v>
      </c>
      <c r="S1970" t="str">
        <f t="shared" si="150"/>
        <v>PZ: Alta Crit.</v>
      </c>
      <c r="T1970">
        <f t="shared" si="151"/>
        <v>1</v>
      </c>
      <c r="U1970">
        <f t="shared" si="152"/>
        <v>0</v>
      </c>
      <c r="V1970">
        <f t="shared" si="153"/>
        <v>0</v>
      </c>
      <c r="W1970">
        <f t="shared" si="154"/>
        <v>0</v>
      </c>
      <c r="X1970">
        <v>1</v>
      </c>
      <c r="Y1970" s="2">
        <v>45768</v>
      </c>
      <c r="Z1970" s="3" t="s">
        <v>70</v>
      </c>
      <c r="AA1970" t="s">
        <v>39</v>
      </c>
      <c r="AB1970" t="s">
        <v>40</v>
      </c>
      <c r="AC1970" t="s">
        <v>40</v>
      </c>
      <c r="AD1970" t="s">
        <v>387</v>
      </c>
    </row>
    <row r="1971" spans="2:30">
      <c r="B1971">
        <v>0</v>
      </c>
      <c r="C1971">
        <v>1020</v>
      </c>
      <c r="D1971" t="s">
        <v>172</v>
      </c>
      <c r="E1971">
        <v>10041675</v>
      </c>
      <c r="F1971" t="s">
        <v>2062</v>
      </c>
      <c r="G1971" t="s">
        <v>52</v>
      </c>
      <c r="H1971" t="s">
        <v>32</v>
      </c>
      <c r="I1971" t="s">
        <v>584</v>
      </c>
      <c r="J1971" t="s">
        <v>45</v>
      </c>
      <c r="K1971" t="s">
        <v>35</v>
      </c>
      <c r="L1971" t="s">
        <v>175</v>
      </c>
      <c r="M1971" t="s">
        <v>117</v>
      </c>
      <c r="N1971">
        <v>0</v>
      </c>
      <c r="O1971">
        <v>0</v>
      </c>
      <c r="P1971">
        <v>0</v>
      </c>
      <c r="Q1971">
        <v>4</v>
      </c>
      <c r="R1971" s="4">
        <v>44826.63</v>
      </c>
      <c r="S1971" t="str">
        <f t="shared" si="150"/>
        <v>PZ: Alta Crit.</v>
      </c>
      <c r="T1971">
        <f t="shared" si="151"/>
        <v>0</v>
      </c>
      <c r="U1971">
        <f t="shared" si="152"/>
        <v>0</v>
      </c>
      <c r="V1971">
        <f t="shared" si="153"/>
        <v>0</v>
      </c>
      <c r="W1971">
        <f t="shared" si="154"/>
        <v>1</v>
      </c>
      <c r="X1971">
        <v>1</v>
      </c>
      <c r="Y1971" s="2">
        <v>45768</v>
      </c>
      <c r="Z1971" s="3" t="s">
        <v>118</v>
      </c>
      <c r="AA1971" t="s">
        <v>39</v>
      </c>
      <c r="AB1971" t="s">
        <v>40</v>
      </c>
      <c r="AC1971" t="s">
        <v>40</v>
      </c>
      <c r="AD1971" t="s">
        <v>585</v>
      </c>
    </row>
    <row r="1972" spans="2:30">
      <c r="B1972">
        <v>0</v>
      </c>
      <c r="C1972">
        <v>1020</v>
      </c>
      <c r="D1972" t="s">
        <v>172</v>
      </c>
      <c r="E1972">
        <v>10041677</v>
      </c>
      <c r="F1972" t="s">
        <v>2063</v>
      </c>
      <c r="G1972" t="s">
        <v>52</v>
      </c>
      <c r="H1972" t="s">
        <v>32</v>
      </c>
      <c r="I1972" t="s">
        <v>584</v>
      </c>
      <c r="J1972" t="s">
        <v>45</v>
      </c>
      <c r="K1972" t="s">
        <v>35</v>
      </c>
      <c r="L1972" t="s">
        <v>175</v>
      </c>
      <c r="M1972" t="s">
        <v>117</v>
      </c>
      <c r="N1972">
        <v>0</v>
      </c>
      <c r="O1972">
        <v>0</v>
      </c>
      <c r="P1972">
        <v>0</v>
      </c>
      <c r="Q1972">
        <v>0</v>
      </c>
      <c r="R1972">
        <v>0</v>
      </c>
      <c r="S1972" t="str">
        <f t="shared" si="150"/>
        <v>PZ: Alta Crit.</v>
      </c>
      <c r="T1972">
        <f t="shared" si="151"/>
        <v>1</v>
      </c>
      <c r="U1972">
        <f t="shared" si="152"/>
        <v>0</v>
      </c>
      <c r="V1972">
        <f t="shared" si="153"/>
        <v>0</v>
      </c>
      <c r="W1972">
        <f t="shared" si="154"/>
        <v>0</v>
      </c>
      <c r="X1972">
        <v>1</v>
      </c>
      <c r="Y1972" s="2">
        <v>45768</v>
      </c>
      <c r="Z1972" s="3" t="s">
        <v>118</v>
      </c>
      <c r="AA1972" t="s">
        <v>39</v>
      </c>
      <c r="AB1972" t="s">
        <v>40</v>
      </c>
      <c r="AC1972" t="s">
        <v>40</v>
      </c>
      <c r="AD1972" t="s">
        <v>585</v>
      </c>
    </row>
    <row r="1973" spans="2:30">
      <c r="B1973">
        <v>0</v>
      </c>
      <c r="C1973">
        <v>1020</v>
      </c>
      <c r="D1973" t="s">
        <v>693</v>
      </c>
      <c r="E1973">
        <v>10041789</v>
      </c>
      <c r="F1973" t="s">
        <v>2064</v>
      </c>
      <c r="G1973" t="s">
        <v>43</v>
      </c>
      <c r="H1973" t="s">
        <v>32</v>
      </c>
      <c r="I1973" t="s">
        <v>695</v>
      </c>
      <c r="J1973" t="s">
        <v>45</v>
      </c>
      <c r="K1973" t="s">
        <v>35</v>
      </c>
      <c r="L1973" t="s">
        <v>175</v>
      </c>
      <c r="M1973" t="s">
        <v>69</v>
      </c>
      <c r="N1973">
        <v>0</v>
      </c>
      <c r="O1973">
        <v>0</v>
      </c>
      <c r="P1973">
        <v>0</v>
      </c>
      <c r="Q1973">
        <v>0</v>
      </c>
      <c r="R1973">
        <v>0</v>
      </c>
      <c r="S1973" t="str">
        <f t="shared" si="150"/>
        <v>PY: Media Crit.</v>
      </c>
      <c r="T1973">
        <f t="shared" si="151"/>
        <v>1</v>
      </c>
      <c r="U1973">
        <f t="shared" si="152"/>
        <v>0</v>
      </c>
      <c r="V1973">
        <f t="shared" si="153"/>
        <v>0</v>
      </c>
      <c r="W1973">
        <f t="shared" si="154"/>
        <v>0</v>
      </c>
      <c r="X1973">
        <v>1</v>
      </c>
      <c r="Y1973" s="2">
        <v>45768</v>
      </c>
      <c r="Z1973" s="3" t="s">
        <v>70</v>
      </c>
      <c r="AA1973" t="s">
        <v>39</v>
      </c>
      <c r="AB1973" t="s">
        <v>40</v>
      </c>
      <c r="AC1973" t="s">
        <v>40</v>
      </c>
      <c r="AD1973" t="s">
        <v>696</v>
      </c>
    </row>
    <row r="1974" spans="2:30">
      <c r="B1974">
        <v>0</v>
      </c>
      <c r="C1974">
        <v>1020</v>
      </c>
      <c r="D1974" t="s">
        <v>693</v>
      </c>
      <c r="E1974">
        <v>10041827</v>
      </c>
      <c r="F1974" t="s">
        <v>2065</v>
      </c>
      <c r="G1974" t="s">
        <v>43</v>
      </c>
      <c r="H1974" t="s">
        <v>44</v>
      </c>
      <c r="I1974" t="s">
        <v>695</v>
      </c>
      <c r="J1974" t="s">
        <v>45</v>
      </c>
      <c r="K1974" t="s">
        <v>35</v>
      </c>
      <c r="L1974" t="s">
        <v>175</v>
      </c>
      <c r="M1974" t="s">
        <v>37</v>
      </c>
      <c r="N1974">
        <v>0</v>
      </c>
      <c r="O1974">
        <v>0</v>
      </c>
      <c r="P1974">
        <v>0</v>
      </c>
      <c r="Q1974">
        <v>14</v>
      </c>
      <c r="R1974">
        <v>0</v>
      </c>
      <c r="S1974" t="str">
        <f t="shared" si="150"/>
        <v>PY: Media Crit.</v>
      </c>
      <c r="T1974">
        <f t="shared" si="151"/>
        <v>0</v>
      </c>
      <c r="U1974">
        <f t="shared" si="152"/>
        <v>0</v>
      </c>
      <c r="V1974">
        <f t="shared" si="153"/>
        <v>0</v>
      </c>
      <c r="W1974">
        <f t="shared" si="154"/>
        <v>1</v>
      </c>
      <c r="X1974">
        <v>1</v>
      </c>
      <c r="Y1974" s="2">
        <v>45768</v>
      </c>
      <c r="Z1974" s="3" t="s">
        <v>38</v>
      </c>
      <c r="AA1974" t="s">
        <v>39</v>
      </c>
      <c r="AB1974" t="s">
        <v>40</v>
      </c>
      <c r="AC1974" t="s">
        <v>40</v>
      </c>
      <c r="AD1974" t="s">
        <v>696</v>
      </c>
    </row>
    <row r="1975" spans="2:30">
      <c r="B1975">
        <v>0</v>
      </c>
      <c r="C1975">
        <v>1020</v>
      </c>
      <c r="D1975" t="s">
        <v>693</v>
      </c>
      <c r="E1975">
        <v>10041908</v>
      </c>
      <c r="F1975" t="s">
        <v>2066</v>
      </c>
      <c r="G1975" t="s">
        <v>43</v>
      </c>
      <c r="H1975" t="s">
        <v>32</v>
      </c>
      <c r="I1975" t="s">
        <v>695</v>
      </c>
      <c r="J1975" t="s">
        <v>45</v>
      </c>
      <c r="K1975" t="s">
        <v>35</v>
      </c>
      <c r="L1975" t="s">
        <v>175</v>
      </c>
      <c r="M1975" t="s">
        <v>117</v>
      </c>
      <c r="N1975">
        <v>0</v>
      </c>
      <c r="O1975">
        <v>0</v>
      </c>
      <c r="P1975">
        <v>0</v>
      </c>
      <c r="Q1975">
        <v>1</v>
      </c>
      <c r="R1975">
        <v>0</v>
      </c>
      <c r="S1975" t="str">
        <f t="shared" si="150"/>
        <v>PY: Media Crit.</v>
      </c>
      <c r="T1975">
        <f t="shared" si="151"/>
        <v>0</v>
      </c>
      <c r="U1975">
        <f t="shared" si="152"/>
        <v>0</v>
      </c>
      <c r="V1975">
        <f t="shared" si="153"/>
        <v>0</v>
      </c>
      <c r="W1975">
        <f t="shared" si="154"/>
        <v>1</v>
      </c>
      <c r="X1975">
        <v>1</v>
      </c>
      <c r="Y1975" s="2">
        <v>45768</v>
      </c>
      <c r="Z1975" s="3" t="s">
        <v>118</v>
      </c>
      <c r="AA1975" t="s">
        <v>39</v>
      </c>
      <c r="AB1975" t="s">
        <v>40</v>
      </c>
      <c r="AC1975" t="s">
        <v>40</v>
      </c>
      <c r="AD1975" t="s">
        <v>696</v>
      </c>
    </row>
    <row r="1976" spans="2:30">
      <c r="B1976">
        <v>0</v>
      </c>
      <c r="C1976">
        <v>1020</v>
      </c>
      <c r="D1976" t="s">
        <v>181</v>
      </c>
      <c r="E1976">
        <v>10041939</v>
      </c>
      <c r="F1976" t="s">
        <v>2067</v>
      </c>
      <c r="G1976" t="s">
        <v>52</v>
      </c>
      <c r="H1976" t="s">
        <v>44</v>
      </c>
      <c r="I1976" t="s">
        <v>183</v>
      </c>
      <c r="J1976" t="s">
        <v>45</v>
      </c>
      <c r="K1976" t="s">
        <v>35</v>
      </c>
      <c r="L1976" t="s">
        <v>36</v>
      </c>
      <c r="M1976" t="s">
        <v>117</v>
      </c>
      <c r="N1976">
        <v>2</v>
      </c>
      <c r="O1976">
        <v>2</v>
      </c>
      <c r="P1976">
        <v>1</v>
      </c>
      <c r="Q1976">
        <v>2</v>
      </c>
      <c r="R1976">
        <v>0</v>
      </c>
      <c r="S1976" t="str">
        <f t="shared" si="150"/>
        <v>PZ: Alta Crit.</v>
      </c>
      <c r="T1976">
        <f t="shared" si="151"/>
        <v>0</v>
      </c>
      <c r="U1976">
        <f t="shared" si="152"/>
        <v>0</v>
      </c>
      <c r="V1976">
        <f t="shared" si="153"/>
        <v>1</v>
      </c>
      <c r="W1976">
        <f t="shared" si="154"/>
        <v>0</v>
      </c>
      <c r="X1976">
        <v>1</v>
      </c>
      <c r="Y1976" s="2">
        <v>45768</v>
      </c>
      <c r="Z1976" s="3" t="s">
        <v>118</v>
      </c>
      <c r="AA1976" t="s">
        <v>39</v>
      </c>
      <c r="AB1976" t="s">
        <v>40</v>
      </c>
      <c r="AC1976" t="s">
        <v>40</v>
      </c>
      <c r="AD1976" t="s">
        <v>184</v>
      </c>
    </row>
    <row r="1977" spans="2:30">
      <c r="B1977">
        <v>0</v>
      </c>
      <c r="C1977">
        <v>1020</v>
      </c>
      <c r="D1977" t="s">
        <v>693</v>
      </c>
      <c r="E1977">
        <v>10041955</v>
      </c>
      <c r="F1977" t="s">
        <v>2068</v>
      </c>
      <c r="G1977" t="s">
        <v>52</v>
      </c>
      <c r="H1977" t="s">
        <v>32</v>
      </c>
      <c r="I1977" t="s">
        <v>695</v>
      </c>
      <c r="J1977" t="s">
        <v>45</v>
      </c>
      <c r="K1977" t="s">
        <v>35</v>
      </c>
      <c r="L1977" t="s">
        <v>175</v>
      </c>
      <c r="M1977" t="s">
        <v>117</v>
      </c>
      <c r="N1977">
        <v>0</v>
      </c>
      <c r="O1977">
        <v>0</v>
      </c>
      <c r="P1977">
        <v>0</v>
      </c>
      <c r="Q1977">
        <v>2</v>
      </c>
      <c r="R1977">
        <v>0</v>
      </c>
      <c r="S1977" t="str">
        <f t="shared" si="150"/>
        <v>PZ: Alta Crit.</v>
      </c>
      <c r="T1977">
        <f t="shared" si="151"/>
        <v>0</v>
      </c>
      <c r="U1977">
        <f t="shared" si="152"/>
        <v>0</v>
      </c>
      <c r="V1977">
        <f t="shared" si="153"/>
        <v>0</v>
      </c>
      <c r="W1977">
        <f t="shared" si="154"/>
        <v>1</v>
      </c>
      <c r="X1977">
        <v>1</v>
      </c>
      <c r="Y1977" s="2">
        <v>45768</v>
      </c>
      <c r="Z1977" s="3" t="s">
        <v>118</v>
      </c>
      <c r="AA1977" t="s">
        <v>39</v>
      </c>
      <c r="AB1977" t="s">
        <v>40</v>
      </c>
      <c r="AC1977" t="s">
        <v>40</v>
      </c>
      <c r="AD1977" t="s">
        <v>696</v>
      </c>
    </row>
    <row r="1978" spans="2:30">
      <c r="B1978">
        <v>0</v>
      </c>
      <c r="C1978">
        <v>1020</v>
      </c>
      <c r="D1978" t="s">
        <v>384</v>
      </c>
      <c r="E1978">
        <v>10042071</v>
      </c>
      <c r="F1978" t="s">
        <v>2069</v>
      </c>
      <c r="G1978" t="s">
        <v>52</v>
      </c>
      <c r="H1978" t="s">
        <v>32</v>
      </c>
      <c r="I1978" t="s">
        <v>386</v>
      </c>
      <c r="J1978" t="s">
        <v>45</v>
      </c>
      <c r="K1978" t="s">
        <v>35</v>
      </c>
      <c r="L1978" t="s">
        <v>175</v>
      </c>
      <c r="M1978" t="s">
        <v>117</v>
      </c>
      <c r="N1978">
        <v>0</v>
      </c>
      <c r="O1978">
        <v>0</v>
      </c>
      <c r="P1978">
        <v>0</v>
      </c>
      <c r="Q1978">
        <v>2</v>
      </c>
      <c r="R1978">
        <v>0</v>
      </c>
      <c r="S1978" t="str">
        <f t="shared" si="150"/>
        <v>PZ: Alta Crit.</v>
      </c>
      <c r="T1978">
        <f t="shared" si="151"/>
        <v>0</v>
      </c>
      <c r="U1978">
        <f t="shared" si="152"/>
        <v>0</v>
      </c>
      <c r="V1978">
        <f t="shared" si="153"/>
        <v>0</v>
      </c>
      <c r="W1978">
        <f t="shared" si="154"/>
        <v>1</v>
      </c>
      <c r="X1978">
        <v>1</v>
      </c>
      <c r="Y1978" s="2">
        <v>45768</v>
      </c>
      <c r="Z1978" s="3" t="s">
        <v>118</v>
      </c>
      <c r="AA1978" t="s">
        <v>39</v>
      </c>
      <c r="AB1978" t="s">
        <v>40</v>
      </c>
      <c r="AC1978" t="s">
        <v>40</v>
      </c>
      <c r="AD1978" t="s">
        <v>387</v>
      </c>
    </row>
    <row r="1979" spans="2:30">
      <c r="B1979">
        <v>0</v>
      </c>
      <c r="C1979">
        <v>1020</v>
      </c>
      <c r="D1979" t="s">
        <v>693</v>
      </c>
      <c r="E1979">
        <v>10042103</v>
      </c>
      <c r="F1979" t="s">
        <v>2070</v>
      </c>
      <c r="G1979" t="s">
        <v>52</v>
      </c>
      <c r="H1979" t="s">
        <v>44</v>
      </c>
      <c r="I1979" t="s">
        <v>695</v>
      </c>
      <c r="J1979" t="s">
        <v>45</v>
      </c>
      <c r="K1979" t="s">
        <v>35</v>
      </c>
      <c r="L1979" t="s">
        <v>175</v>
      </c>
      <c r="M1979" t="s">
        <v>117</v>
      </c>
      <c r="N1979">
        <v>0</v>
      </c>
      <c r="O1979">
        <v>0</v>
      </c>
      <c r="P1979">
        <v>0</v>
      </c>
      <c r="Q1979">
        <v>4</v>
      </c>
      <c r="R1979">
        <v>0</v>
      </c>
      <c r="S1979" t="str">
        <f t="shared" si="150"/>
        <v>PZ: Alta Crit.</v>
      </c>
      <c r="T1979">
        <f t="shared" si="151"/>
        <v>0</v>
      </c>
      <c r="U1979">
        <f t="shared" si="152"/>
        <v>0</v>
      </c>
      <c r="V1979">
        <f t="shared" si="153"/>
        <v>0</v>
      </c>
      <c r="W1979">
        <f t="shared" si="154"/>
        <v>1</v>
      </c>
      <c r="X1979">
        <v>1</v>
      </c>
      <c r="Y1979" s="2">
        <v>45768</v>
      </c>
      <c r="Z1979" s="3" t="s">
        <v>118</v>
      </c>
      <c r="AA1979" t="s">
        <v>39</v>
      </c>
      <c r="AB1979" t="s">
        <v>40</v>
      </c>
      <c r="AC1979" t="s">
        <v>40</v>
      </c>
      <c r="AD1979" t="s">
        <v>696</v>
      </c>
    </row>
    <row r="1980" spans="2:30">
      <c r="B1980">
        <v>0</v>
      </c>
      <c r="C1980">
        <v>1020</v>
      </c>
      <c r="D1980" t="s">
        <v>181</v>
      </c>
      <c r="E1980">
        <v>10042126</v>
      </c>
      <c r="F1980" t="s">
        <v>2071</v>
      </c>
      <c r="G1980" t="s">
        <v>52</v>
      </c>
      <c r="H1980" t="s">
        <v>44</v>
      </c>
      <c r="I1980" t="s">
        <v>183</v>
      </c>
      <c r="J1980" t="s">
        <v>45</v>
      </c>
      <c r="K1980" t="s">
        <v>260</v>
      </c>
      <c r="L1980" t="s">
        <v>36</v>
      </c>
      <c r="M1980" t="s">
        <v>37</v>
      </c>
      <c r="N1980">
        <v>1</v>
      </c>
      <c r="O1980">
        <v>1</v>
      </c>
      <c r="P1980">
        <v>0</v>
      </c>
      <c r="Q1980">
        <v>1</v>
      </c>
      <c r="R1980">
        <v>0</v>
      </c>
      <c r="S1980" t="str">
        <f t="shared" si="150"/>
        <v>PZ: Alta Crit.</v>
      </c>
      <c r="T1980">
        <f t="shared" si="151"/>
        <v>0</v>
      </c>
      <c r="U1980">
        <f t="shared" si="152"/>
        <v>0</v>
      </c>
      <c r="V1980">
        <f t="shared" si="153"/>
        <v>1</v>
      </c>
      <c r="W1980">
        <f t="shared" si="154"/>
        <v>0</v>
      </c>
      <c r="X1980">
        <v>1</v>
      </c>
      <c r="Y1980" s="2">
        <v>45768</v>
      </c>
      <c r="Z1980" s="3" t="s">
        <v>38</v>
      </c>
      <c r="AA1980" t="s">
        <v>39</v>
      </c>
      <c r="AB1980" t="s">
        <v>40</v>
      </c>
      <c r="AC1980" t="s">
        <v>40</v>
      </c>
      <c r="AD1980" t="s">
        <v>184</v>
      </c>
    </row>
    <row r="1981" spans="2:30">
      <c r="B1981">
        <v>0</v>
      </c>
      <c r="C1981">
        <v>1020</v>
      </c>
      <c r="D1981" t="s">
        <v>693</v>
      </c>
      <c r="E1981">
        <v>10042140</v>
      </c>
      <c r="F1981" t="s">
        <v>2072</v>
      </c>
      <c r="G1981" t="s">
        <v>31</v>
      </c>
      <c r="H1981" t="s">
        <v>32</v>
      </c>
      <c r="I1981" t="s">
        <v>695</v>
      </c>
      <c r="J1981" t="s">
        <v>45</v>
      </c>
      <c r="K1981" t="s">
        <v>35</v>
      </c>
      <c r="L1981" t="s">
        <v>175</v>
      </c>
      <c r="M1981" t="s">
        <v>117</v>
      </c>
      <c r="N1981">
        <v>0</v>
      </c>
      <c r="O1981">
        <v>0</v>
      </c>
      <c r="P1981">
        <v>0</v>
      </c>
      <c r="Q1981">
        <v>0</v>
      </c>
      <c r="R1981">
        <v>0</v>
      </c>
      <c r="S1981" t="str">
        <f t="shared" si="150"/>
        <v>PX: Baja Crit.</v>
      </c>
      <c r="T1981">
        <f t="shared" si="151"/>
        <v>1</v>
      </c>
      <c r="U1981">
        <f t="shared" si="152"/>
        <v>0</v>
      </c>
      <c r="V1981">
        <f t="shared" si="153"/>
        <v>0</v>
      </c>
      <c r="W1981">
        <f t="shared" si="154"/>
        <v>0</v>
      </c>
      <c r="X1981">
        <v>1</v>
      </c>
      <c r="Y1981" s="2">
        <v>45768</v>
      </c>
      <c r="Z1981" s="3" t="s">
        <v>118</v>
      </c>
      <c r="AA1981" t="s">
        <v>39</v>
      </c>
      <c r="AB1981" t="s">
        <v>40</v>
      </c>
      <c r="AC1981" t="s">
        <v>40</v>
      </c>
      <c r="AD1981" t="s">
        <v>696</v>
      </c>
    </row>
    <row r="1982" spans="2:30">
      <c r="B1982">
        <v>0</v>
      </c>
      <c r="C1982">
        <v>1020</v>
      </c>
      <c r="D1982" t="s">
        <v>693</v>
      </c>
      <c r="E1982">
        <v>10042141</v>
      </c>
      <c r="F1982" t="s">
        <v>2073</v>
      </c>
      <c r="G1982" t="s">
        <v>31</v>
      </c>
      <c r="H1982" t="s">
        <v>32</v>
      </c>
      <c r="I1982" t="s">
        <v>695</v>
      </c>
      <c r="J1982" t="s">
        <v>45</v>
      </c>
      <c r="K1982" t="s">
        <v>35</v>
      </c>
      <c r="L1982" t="s">
        <v>175</v>
      </c>
      <c r="M1982" t="s">
        <v>117</v>
      </c>
      <c r="N1982">
        <v>0</v>
      </c>
      <c r="O1982">
        <v>0</v>
      </c>
      <c r="P1982">
        <v>0</v>
      </c>
      <c r="Q1982">
        <v>0</v>
      </c>
      <c r="R1982">
        <v>0</v>
      </c>
      <c r="S1982" t="str">
        <f t="shared" si="150"/>
        <v>PX: Baja Crit.</v>
      </c>
      <c r="T1982">
        <f t="shared" si="151"/>
        <v>1</v>
      </c>
      <c r="U1982">
        <f t="shared" si="152"/>
        <v>0</v>
      </c>
      <c r="V1982">
        <f t="shared" si="153"/>
        <v>0</v>
      </c>
      <c r="W1982">
        <f t="shared" si="154"/>
        <v>0</v>
      </c>
      <c r="X1982">
        <v>1</v>
      </c>
      <c r="Y1982" s="2">
        <v>45768</v>
      </c>
      <c r="Z1982" s="3" t="s">
        <v>118</v>
      </c>
      <c r="AA1982" t="s">
        <v>39</v>
      </c>
      <c r="AB1982" t="s">
        <v>40</v>
      </c>
      <c r="AC1982" t="s">
        <v>40</v>
      </c>
      <c r="AD1982" t="s">
        <v>696</v>
      </c>
    </row>
    <row r="1983" spans="2:30">
      <c r="B1983">
        <v>0</v>
      </c>
      <c r="C1983">
        <v>1020</v>
      </c>
      <c r="D1983" t="s">
        <v>693</v>
      </c>
      <c r="E1983">
        <v>10042144</v>
      </c>
      <c r="F1983" t="s">
        <v>2074</v>
      </c>
      <c r="G1983" t="s">
        <v>31</v>
      </c>
      <c r="H1983" t="s">
        <v>32</v>
      </c>
      <c r="I1983" t="s">
        <v>695</v>
      </c>
      <c r="J1983" t="s">
        <v>45</v>
      </c>
      <c r="K1983" t="s">
        <v>35</v>
      </c>
      <c r="L1983" t="s">
        <v>175</v>
      </c>
      <c r="M1983" t="s">
        <v>117</v>
      </c>
      <c r="N1983">
        <v>0</v>
      </c>
      <c r="O1983">
        <v>0</v>
      </c>
      <c r="P1983">
        <v>0</v>
      </c>
      <c r="Q1983">
        <v>6</v>
      </c>
      <c r="R1983">
        <v>0</v>
      </c>
      <c r="S1983" t="str">
        <f t="shared" si="150"/>
        <v>PX: Baja Crit.</v>
      </c>
      <c r="T1983">
        <f t="shared" si="151"/>
        <v>0</v>
      </c>
      <c r="U1983">
        <f t="shared" si="152"/>
        <v>0</v>
      </c>
      <c r="V1983">
        <f t="shared" si="153"/>
        <v>0</v>
      </c>
      <c r="W1983">
        <f t="shared" si="154"/>
        <v>1</v>
      </c>
      <c r="X1983">
        <v>1</v>
      </c>
      <c r="Y1983" s="2">
        <v>45768</v>
      </c>
      <c r="Z1983" s="3" t="s">
        <v>118</v>
      </c>
      <c r="AA1983" t="s">
        <v>39</v>
      </c>
      <c r="AB1983" t="s">
        <v>40</v>
      </c>
      <c r="AC1983" t="s">
        <v>40</v>
      </c>
      <c r="AD1983" t="s">
        <v>696</v>
      </c>
    </row>
    <row r="1984" spans="2:30">
      <c r="B1984">
        <v>0</v>
      </c>
      <c r="C1984">
        <v>1020</v>
      </c>
      <c r="D1984" t="s">
        <v>693</v>
      </c>
      <c r="E1984">
        <v>10042214</v>
      </c>
      <c r="F1984" t="s">
        <v>2075</v>
      </c>
      <c r="G1984" t="s">
        <v>43</v>
      </c>
      <c r="H1984" t="s">
        <v>32</v>
      </c>
      <c r="I1984" t="s">
        <v>695</v>
      </c>
      <c r="J1984" t="s">
        <v>45</v>
      </c>
      <c r="K1984" t="s">
        <v>35</v>
      </c>
      <c r="L1984" t="s">
        <v>175</v>
      </c>
      <c r="M1984" t="s">
        <v>46</v>
      </c>
      <c r="N1984">
        <v>0</v>
      </c>
      <c r="O1984">
        <v>0</v>
      </c>
      <c r="P1984">
        <v>0</v>
      </c>
      <c r="Q1984">
        <v>0</v>
      </c>
      <c r="R1984">
        <v>0</v>
      </c>
      <c r="S1984" t="str">
        <f t="shared" si="150"/>
        <v>PY: Media Crit.</v>
      </c>
      <c r="T1984">
        <f t="shared" si="151"/>
        <v>1</v>
      </c>
      <c r="U1984">
        <f t="shared" si="152"/>
        <v>0</v>
      </c>
      <c r="V1984">
        <f t="shared" si="153"/>
        <v>0</v>
      </c>
      <c r="W1984">
        <f t="shared" si="154"/>
        <v>0</v>
      </c>
      <c r="X1984">
        <v>1</v>
      </c>
      <c r="Y1984" s="2">
        <v>45768</v>
      </c>
      <c r="Z1984" s="3" t="s">
        <v>47</v>
      </c>
      <c r="AA1984" t="s">
        <v>39</v>
      </c>
      <c r="AB1984" t="s">
        <v>40</v>
      </c>
      <c r="AC1984" t="s">
        <v>40</v>
      </c>
      <c r="AD1984" t="s">
        <v>696</v>
      </c>
    </row>
    <row r="1985" spans="2:30">
      <c r="B1985">
        <v>0</v>
      </c>
      <c r="C1985">
        <v>1020</v>
      </c>
      <c r="D1985" t="s">
        <v>693</v>
      </c>
      <c r="E1985">
        <v>10042298</v>
      </c>
      <c r="F1985" t="s">
        <v>2076</v>
      </c>
      <c r="G1985" t="s">
        <v>52</v>
      </c>
      <c r="H1985" t="s">
        <v>44</v>
      </c>
      <c r="I1985" t="s">
        <v>695</v>
      </c>
      <c r="J1985" t="s">
        <v>45</v>
      </c>
      <c r="K1985" t="s">
        <v>35</v>
      </c>
      <c r="L1985" t="s">
        <v>175</v>
      </c>
      <c r="M1985" t="s">
        <v>117</v>
      </c>
      <c r="N1985">
        <v>0</v>
      </c>
      <c r="O1985">
        <v>0</v>
      </c>
      <c r="P1985">
        <v>0</v>
      </c>
      <c r="Q1985">
        <v>14</v>
      </c>
      <c r="R1985">
        <v>0</v>
      </c>
      <c r="S1985" t="str">
        <f t="shared" si="150"/>
        <v>PZ: Alta Crit.</v>
      </c>
      <c r="T1985">
        <f t="shared" si="151"/>
        <v>0</v>
      </c>
      <c r="U1985">
        <f t="shared" si="152"/>
        <v>0</v>
      </c>
      <c r="V1985">
        <f t="shared" si="153"/>
        <v>0</v>
      </c>
      <c r="W1985">
        <f t="shared" si="154"/>
        <v>1</v>
      </c>
      <c r="X1985">
        <v>1</v>
      </c>
      <c r="Y1985" s="2">
        <v>45768</v>
      </c>
      <c r="Z1985" s="3" t="s">
        <v>118</v>
      </c>
      <c r="AA1985" t="s">
        <v>39</v>
      </c>
      <c r="AB1985" t="s">
        <v>40</v>
      </c>
      <c r="AC1985" t="s">
        <v>40</v>
      </c>
      <c r="AD1985" t="s">
        <v>696</v>
      </c>
    </row>
    <row r="1986" spans="2:30">
      <c r="B1986">
        <v>0</v>
      </c>
      <c r="C1986">
        <v>1020</v>
      </c>
      <c r="D1986" t="s">
        <v>693</v>
      </c>
      <c r="E1986">
        <v>10042324</v>
      </c>
      <c r="F1986" t="s">
        <v>2077</v>
      </c>
      <c r="G1986" t="s">
        <v>52</v>
      </c>
      <c r="H1986" t="s">
        <v>32</v>
      </c>
      <c r="I1986" t="s">
        <v>695</v>
      </c>
      <c r="J1986" t="s">
        <v>45</v>
      </c>
      <c r="K1986" t="s">
        <v>35</v>
      </c>
      <c r="L1986" t="s">
        <v>175</v>
      </c>
      <c r="M1986" t="s">
        <v>117</v>
      </c>
      <c r="N1986">
        <v>0</v>
      </c>
      <c r="O1986">
        <v>0</v>
      </c>
      <c r="P1986">
        <v>0</v>
      </c>
      <c r="Q1986">
        <v>5</v>
      </c>
      <c r="R1986">
        <v>0</v>
      </c>
      <c r="S1986" t="str">
        <f t="shared" ref="S1986:S2049" si="155">+IF(G1986="PZ", "PZ: Alta Crit.",IF(G1986="PY","PY: Media Crit.", "PX: Baja Crit."))</f>
        <v>PZ: Alta Crit.</v>
      </c>
      <c r="T1986">
        <f t="shared" ref="T1986:T2049" si="156">+IF(Q1986=0,1,0)</f>
        <v>0</v>
      </c>
      <c r="U1986">
        <f t="shared" ref="U1986:U2049" si="157">+IF(AND(Q1986&lt;=P1986,Q1986&gt;0),1,0)</f>
        <v>0</v>
      </c>
      <c r="V1986">
        <f t="shared" ref="V1986:V2049" si="158">+IF(AND(Q1986&gt;P1986,Q1986&lt;=N1986),1,0)</f>
        <v>0</v>
      </c>
      <c r="W1986">
        <f t="shared" ref="W1986:W2049" si="159">+IF(Q1986&gt;N1986,1,0)</f>
        <v>1</v>
      </c>
      <c r="X1986">
        <v>1</v>
      </c>
      <c r="Y1986" s="2">
        <v>45768</v>
      </c>
      <c r="Z1986" s="3" t="s">
        <v>118</v>
      </c>
      <c r="AA1986" t="s">
        <v>39</v>
      </c>
      <c r="AB1986" t="s">
        <v>40</v>
      </c>
      <c r="AC1986" t="s">
        <v>40</v>
      </c>
      <c r="AD1986" t="s">
        <v>696</v>
      </c>
    </row>
    <row r="1987" spans="2:30">
      <c r="B1987">
        <v>0</v>
      </c>
      <c r="C1987">
        <v>1020</v>
      </c>
      <c r="D1987" t="s">
        <v>693</v>
      </c>
      <c r="E1987">
        <v>10042332</v>
      </c>
      <c r="F1987" t="s">
        <v>2078</v>
      </c>
      <c r="G1987" t="s">
        <v>52</v>
      </c>
      <c r="H1987" t="s">
        <v>32</v>
      </c>
      <c r="I1987" t="s">
        <v>695</v>
      </c>
      <c r="J1987" t="s">
        <v>45</v>
      </c>
      <c r="K1987" t="s">
        <v>35</v>
      </c>
      <c r="L1987" t="s">
        <v>175</v>
      </c>
      <c r="M1987" t="s">
        <v>117</v>
      </c>
      <c r="N1987">
        <v>0</v>
      </c>
      <c r="O1987">
        <v>0</v>
      </c>
      <c r="P1987">
        <v>0</v>
      </c>
      <c r="Q1987">
        <v>15</v>
      </c>
      <c r="R1987">
        <v>0</v>
      </c>
      <c r="S1987" t="str">
        <f t="shared" si="155"/>
        <v>PZ: Alta Crit.</v>
      </c>
      <c r="T1987">
        <f t="shared" si="156"/>
        <v>0</v>
      </c>
      <c r="U1987">
        <f t="shared" si="157"/>
        <v>0</v>
      </c>
      <c r="V1987">
        <f t="shared" si="158"/>
        <v>0</v>
      </c>
      <c r="W1987">
        <f t="shared" si="159"/>
        <v>1</v>
      </c>
      <c r="X1987">
        <v>1</v>
      </c>
      <c r="Y1987" s="2">
        <v>45768</v>
      </c>
      <c r="Z1987" s="3" t="s">
        <v>118</v>
      </c>
      <c r="AA1987" t="s">
        <v>39</v>
      </c>
      <c r="AB1987" t="s">
        <v>40</v>
      </c>
      <c r="AC1987" t="s">
        <v>40</v>
      </c>
      <c r="AD1987" t="s">
        <v>696</v>
      </c>
    </row>
    <row r="1988" spans="2:30">
      <c r="B1988">
        <v>0</v>
      </c>
      <c r="C1988">
        <v>1020</v>
      </c>
      <c r="D1988" t="s">
        <v>693</v>
      </c>
      <c r="E1988">
        <v>10042744</v>
      </c>
      <c r="F1988" t="s">
        <v>2079</v>
      </c>
      <c r="G1988" t="s">
        <v>43</v>
      </c>
      <c r="H1988" t="s">
        <v>32</v>
      </c>
      <c r="I1988" t="s">
        <v>695</v>
      </c>
      <c r="J1988" t="s">
        <v>45</v>
      </c>
      <c r="K1988" t="s">
        <v>35</v>
      </c>
      <c r="L1988" t="s">
        <v>175</v>
      </c>
      <c r="M1988" t="s">
        <v>117</v>
      </c>
      <c r="N1988">
        <v>0</v>
      </c>
      <c r="O1988">
        <v>0</v>
      </c>
      <c r="P1988">
        <v>0</v>
      </c>
      <c r="Q1988">
        <v>1</v>
      </c>
      <c r="R1988">
        <v>0</v>
      </c>
      <c r="S1988" t="str">
        <f t="shared" si="155"/>
        <v>PY: Media Crit.</v>
      </c>
      <c r="T1988">
        <f t="shared" si="156"/>
        <v>0</v>
      </c>
      <c r="U1988">
        <f t="shared" si="157"/>
        <v>0</v>
      </c>
      <c r="V1988">
        <f t="shared" si="158"/>
        <v>0</v>
      </c>
      <c r="W1988">
        <f t="shared" si="159"/>
        <v>1</v>
      </c>
      <c r="X1988">
        <v>1</v>
      </c>
      <c r="Y1988" s="2">
        <v>45768</v>
      </c>
      <c r="Z1988" s="3" t="s">
        <v>118</v>
      </c>
      <c r="AA1988" t="s">
        <v>39</v>
      </c>
      <c r="AB1988" t="s">
        <v>40</v>
      </c>
      <c r="AC1988" t="s">
        <v>40</v>
      </c>
      <c r="AD1988" t="s">
        <v>696</v>
      </c>
    </row>
    <row r="1989" spans="2:30">
      <c r="B1989">
        <v>0</v>
      </c>
      <c r="C1989">
        <v>1020</v>
      </c>
      <c r="D1989" t="s">
        <v>181</v>
      </c>
      <c r="E1989">
        <v>10042814</v>
      </c>
      <c r="F1989" t="s">
        <v>2080</v>
      </c>
      <c r="G1989" t="s">
        <v>43</v>
      </c>
      <c r="H1989" t="s">
        <v>32</v>
      </c>
      <c r="I1989" t="s">
        <v>183</v>
      </c>
      <c r="J1989" t="s">
        <v>45</v>
      </c>
      <c r="K1989" t="s">
        <v>35</v>
      </c>
      <c r="L1989" t="s">
        <v>36</v>
      </c>
      <c r="M1989" t="s">
        <v>117</v>
      </c>
      <c r="N1989">
        <v>20</v>
      </c>
      <c r="O1989">
        <v>11</v>
      </c>
      <c r="P1989">
        <v>10</v>
      </c>
      <c r="Q1989">
        <v>20</v>
      </c>
      <c r="R1989">
        <v>0</v>
      </c>
      <c r="S1989" t="str">
        <f t="shared" si="155"/>
        <v>PY: Media Crit.</v>
      </c>
      <c r="T1989">
        <f t="shared" si="156"/>
        <v>0</v>
      </c>
      <c r="U1989">
        <f t="shared" si="157"/>
        <v>0</v>
      </c>
      <c r="V1989">
        <f t="shared" si="158"/>
        <v>1</v>
      </c>
      <c r="W1989">
        <f t="shared" si="159"/>
        <v>0</v>
      </c>
      <c r="X1989">
        <v>1</v>
      </c>
      <c r="Y1989" s="2">
        <v>45768</v>
      </c>
      <c r="Z1989" s="3" t="s">
        <v>118</v>
      </c>
      <c r="AA1989" t="s">
        <v>39</v>
      </c>
      <c r="AB1989" t="s">
        <v>76</v>
      </c>
      <c r="AC1989" s="5" t="s">
        <v>77</v>
      </c>
      <c r="AD1989" t="s">
        <v>184</v>
      </c>
    </row>
    <row r="1990" spans="2:30">
      <c r="B1990">
        <v>0</v>
      </c>
      <c r="C1990">
        <v>1020</v>
      </c>
      <c r="D1990" t="s">
        <v>384</v>
      </c>
      <c r="E1990">
        <v>10042825</v>
      </c>
      <c r="F1990" t="s">
        <v>2081</v>
      </c>
      <c r="G1990" t="s">
        <v>43</v>
      </c>
      <c r="H1990" t="s">
        <v>32</v>
      </c>
      <c r="I1990" t="s">
        <v>386</v>
      </c>
      <c r="J1990" t="s">
        <v>45</v>
      </c>
      <c r="K1990" t="s">
        <v>35</v>
      </c>
      <c r="L1990" t="s">
        <v>175</v>
      </c>
      <c r="M1990" t="s">
        <v>117</v>
      </c>
      <c r="N1990">
        <v>0</v>
      </c>
      <c r="O1990">
        <v>0</v>
      </c>
      <c r="P1990">
        <v>0</v>
      </c>
      <c r="Q1990">
        <v>40</v>
      </c>
      <c r="R1990">
        <v>0</v>
      </c>
      <c r="S1990" t="str">
        <f t="shared" si="155"/>
        <v>PY: Media Crit.</v>
      </c>
      <c r="T1990">
        <f t="shared" si="156"/>
        <v>0</v>
      </c>
      <c r="U1990">
        <f t="shared" si="157"/>
        <v>0</v>
      </c>
      <c r="V1990">
        <f t="shared" si="158"/>
        <v>0</v>
      </c>
      <c r="W1990">
        <f t="shared" si="159"/>
        <v>1</v>
      </c>
      <c r="X1990">
        <v>1</v>
      </c>
      <c r="Y1990" s="2">
        <v>45768</v>
      </c>
      <c r="Z1990" s="3" t="s">
        <v>118</v>
      </c>
      <c r="AA1990" t="s">
        <v>39</v>
      </c>
      <c r="AB1990" t="s">
        <v>40</v>
      </c>
      <c r="AC1990" t="s">
        <v>40</v>
      </c>
      <c r="AD1990" t="s">
        <v>387</v>
      </c>
    </row>
    <row r="1991" spans="2:30">
      <c r="B1991">
        <v>0</v>
      </c>
      <c r="C1991">
        <v>1020</v>
      </c>
      <c r="D1991" t="s">
        <v>388</v>
      </c>
      <c r="E1991">
        <v>10042856</v>
      </c>
      <c r="F1991" t="s">
        <v>2082</v>
      </c>
      <c r="G1991" t="s">
        <v>52</v>
      </c>
      <c r="H1991" t="s">
        <v>32</v>
      </c>
      <c r="I1991" t="s">
        <v>390</v>
      </c>
      <c r="J1991" t="s">
        <v>45</v>
      </c>
      <c r="K1991" t="s">
        <v>35</v>
      </c>
      <c r="L1991" t="s">
        <v>175</v>
      </c>
      <c r="M1991" t="s">
        <v>117</v>
      </c>
      <c r="N1991">
        <v>0</v>
      </c>
      <c r="O1991">
        <v>0</v>
      </c>
      <c r="P1991">
        <v>1</v>
      </c>
      <c r="Q1991">
        <v>1</v>
      </c>
      <c r="R1991">
        <v>0</v>
      </c>
      <c r="S1991" t="str">
        <f t="shared" si="155"/>
        <v>PZ: Alta Crit.</v>
      </c>
      <c r="T1991">
        <f t="shared" si="156"/>
        <v>0</v>
      </c>
      <c r="U1991">
        <f t="shared" si="157"/>
        <v>1</v>
      </c>
      <c r="V1991">
        <f t="shared" si="158"/>
        <v>0</v>
      </c>
      <c r="W1991">
        <f t="shared" si="159"/>
        <v>1</v>
      </c>
      <c r="X1991">
        <v>1</v>
      </c>
      <c r="Y1991" s="2">
        <v>45768</v>
      </c>
      <c r="Z1991" s="3" t="s">
        <v>118</v>
      </c>
      <c r="AA1991" t="s">
        <v>39</v>
      </c>
      <c r="AB1991" t="s">
        <v>40</v>
      </c>
      <c r="AC1991" t="s">
        <v>40</v>
      </c>
      <c r="AD1991" t="s">
        <v>391</v>
      </c>
    </row>
    <row r="1992" spans="2:30">
      <c r="B1992">
        <v>0</v>
      </c>
      <c r="C1992">
        <v>1020</v>
      </c>
      <c r="D1992" t="s">
        <v>693</v>
      </c>
      <c r="E1992">
        <v>10042893</v>
      </c>
      <c r="F1992" t="s">
        <v>2083</v>
      </c>
      <c r="G1992" t="s">
        <v>43</v>
      </c>
      <c r="H1992" t="s">
        <v>44</v>
      </c>
      <c r="I1992" t="s">
        <v>695</v>
      </c>
      <c r="J1992" t="s">
        <v>45</v>
      </c>
      <c r="K1992" t="s">
        <v>35</v>
      </c>
      <c r="L1992" t="s">
        <v>175</v>
      </c>
      <c r="M1992" t="s">
        <v>117</v>
      </c>
      <c r="N1992">
        <v>0</v>
      </c>
      <c r="O1992">
        <v>0</v>
      </c>
      <c r="P1992">
        <v>0</v>
      </c>
      <c r="Q1992">
        <v>12</v>
      </c>
      <c r="R1992">
        <v>0</v>
      </c>
      <c r="S1992" t="str">
        <f t="shared" si="155"/>
        <v>PY: Media Crit.</v>
      </c>
      <c r="T1992">
        <f t="shared" si="156"/>
        <v>0</v>
      </c>
      <c r="U1992">
        <f t="shared" si="157"/>
        <v>0</v>
      </c>
      <c r="V1992">
        <f t="shared" si="158"/>
        <v>0</v>
      </c>
      <c r="W1992">
        <f t="shared" si="159"/>
        <v>1</v>
      </c>
      <c r="X1992">
        <v>1</v>
      </c>
      <c r="Y1992" s="2">
        <v>45768</v>
      </c>
      <c r="Z1992" s="3" t="s">
        <v>118</v>
      </c>
      <c r="AA1992" t="s">
        <v>39</v>
      </c>
      <c r="AB1992" t="s">
        <v>40</v>
      </c>
      <c r="AC1992" t="s">
        <v>40</v>
      </c>
      <c r="AD1992" t="s">
        <v>696</v>
      </c>
    </row>
    <row r="1993" spans="2:30">
      <c r="B1993">
        <v>0</v>
      </c>
      <c r="C1993">
        <v>1020</v>
      </c>
      <c r="D1993" t="s">
        <v>388</v>
      </c>
      <c r="E1993">
        <v>10042961</v>
      </c>
      <c r="F1993" t="s">
        <v>2084</v>
      </c>
      <c r="G1993" t="s">
        <v>31</v>
      </c>
      <c r="H1993" t="s">
        <v>44</v>
      </c>
      <c r="I1993" t="s">
        <v>390</v>
      </c>
      <c r="J1993" t="s">
        <v>45</v>
      </c>
      <c r="K1993" t="s">
        <v>35</v>
      </c>
      <c r="L1993" t="s">
        <v>175</v>
      </c>
      <c r="M1993" t="s">
        <v>117</v>
      </c>
      <c r="N1993">
        <v>0</v>
      </c>
      <c r="O1993">
        <v>0</v>
      </c>
      <c r="P1993">
        <v>1</v>
      </c>
      <c r="Q1993">
        <v>1</v>
      </c>
      <c r="R1993" s="4">
        <v>33647.599999999999</v>
      </c>
      <c r="S1993" t="str">
        <f t="shared" si="155"/>
        <v>PX: Baja Crit.</v>
      </c>
      <c r="T1993">
        <f t="shared" si="156"/>
        <v>0</v>
      </c>
      <c r="U1993">
        <f t="shared" si="157"/>
        <v>1</v>
      </c>
      <c r="V1993">
        <f t="shared" si="158"/>
        <v>0</v>
      </c>
      <c r="W1993">
        <f t="shared" si="159"/>
        <v>1</v>
      </c>
      <c r="X1993">
        <v>1</v>
      </c>
      <c r="Y1993" s="2">
        <v>45768</v>
      </c>
      <c r="Z1993" s="3" t="s">
        <v>118</v>
      </c>
      <c r="AA1993" t="s">
        <v>39</v>
      </c>
      <c r="AB1993" t="s">
        <v>40</v>
      </c>
      <c r="AC1993" t="s">
        <v>40</v>
      </c>
      <c r="AD1993" t="s">
        <v>391</v>
      </c>
    </row>
    <row r="1994" spans="2:30">
      <c r="B1994">
        <v>0</v>
      </c>
      <c r="C1994">
        <v>1020</v>
      </c>
      <c r="D1994" t="s">
        <v>172</v>
      </c>
      <c r="E1994">
        <v>10042982</v>
      </c>
      <c r="F1994" t="s">
        <v>2085</v>
      </c>
      <c r="G1994" t="s">
        <v>52</v>
      </c>
      <c r="H1994" t="s">
        <v>32</v>
      </c>
      <c r="I1994" t="s">
        <v>584</v>
      </c>
      <c r="J1994" t="s">
        <v>45</v>
      </c>
      <c r="K1994" t="s">
        <v>35</v>
      </c>
      <c r="L1994" t="s">
        <v>175</v>
      </c>
      <c r="M1994" t="s">
        <v>117</v>
      </c>
      <c r="N1994">
        <v>0</v>
      </c>
      <c r="O1994">
        <v>0</v>
      </c>
      <c r="P1994">
        <v>0</v>
      </c>
      <c r="Q1994">
        <v>0</v>
      </c>
      <c r="R1994">
        <v>0</v>
      </c>
      <c r="S1994" t="str">
        <f t="shared" si="155"/>
        <v>PZ: Alta Crit.</v>
      </c>
      <c r="T1994">
        <f t="shared" si="156"/>
        <v>1</v>
      </c>
      <c r="U1994">
        <f t="shared" si="157"/>
        <v>0</v>
      </c>
      <c r="V1994">
        <f t="shared" si="158"/>
        <v>0</v>
      </c>
      <c r="W1994">
        <f t="shared" si="159"/>
        <v>0</v>
      </c>
      <c r="X1994">
        <v>1</v>
      </c>
      <c r="Y1994" s="2">
        <v>45768</v>
      </c>
      <c r="Z1994" s="3" t="s">
        <v>118</v>
      </c>
      <c r="AA1994" t="s">
        <v>39</v>
      </c>
      <c r="AB1994" t="s">
        <v>40</v>
      </c>
      <c r="AC1994" t="s">
        <v>40</v>
      </c>
      <c r="AD1994" t="s">
        <v>585</v>
      </c>
    </row>
    <row r="1995" spans="2:30">
      <c r="B1995">
        <v>0</v>
      </c>
      <c r="C1995">
        <v>1020</v>
      </c>
      <c r="D1995" t="s">
        <v>172</v>
      </c>
      <c r="E1995">
        <v>10042983</v>
      </c>
      <c r="F1995" t="s">
        <v>2086</v>
      </c>
      <c r="G1995" t="s">
        <v>52</v>
      </c>
      <c r="H1995" t="s">
        <v>32</v>
      </c>
      <c r="I1995" t="s">
        <v>584</v>
      </c>
      <c r="J1995" t="s">
        <v>45</v>
      </c>
      <c r="K1995" t="s">
        <v>35</v>
      </c>
      <c r="L1995" t="s">
        <v>175</v>
      </c>
      <c r="M1995" t="s">
        <v>117</v>
      </c>
      <c r="N1995">
        <v>0</v>
      </c>
      <c r="O1995">
        <v>0</v>
      </c>
      <c r="P1995">
        <v>0</v>
      </c>
      <c r="Q1995">
        <v>0</v>
      </c>
      <c r="R1995">
        <v>0</v>
      </c>
      <c r="S1995" t="str">
        <f t="shared" si="155"/>
        <v>PZ: Alta Crit.</v>
      </c>
      <c r="T1995">
        <f t="shared" si="156"/>
        <v>1</v>
      </c>
      <c r="U1995">
        <f t="shared" si="157"/>
        <v>0</v>
      </c>
      <c r="V1995">
        <f t="shared" si="158"/>
        <v>0</v>
      </c>
      <c r="W1995">
        <f t="shared" si="159"/>
        <v>0</v>
      </c>
      <c r="X1995">
        <v>1</v>
      </c>
      <c r="Y1995" s="2">
        <v>45768</v>
      </c>
      <c r="Z1995" s="3" t="s">
        <v>118</v>
      </c>
      <c r="AA1995" t="s">
        <v>39</v>
      </c>
      <c r="AB1995" t="s">
        <v>40</v>
      </c>
      <c r="AC1995" t="s">
        <v>40</v>
      </c>
      <c r="AD1995" t="s">
        <v>585</v>
      </c>
    </row>
    <row r="1996" spans="2:30">
      <c r="B1996">
        <v>0</v>
      </c>
      <c r="C1996">
        <v>1020</v>
      </c>
      <c r="D1996" t="s">
        <v>693</v>
      </c>
      <c r="E1996">
        <v>10043013</v>
      </c>
      <c r="F1996" t="s">
        <v>2087</v>
      </c>
      <c r="G1996" t="s">
        <v>52</v>
      </c>
      <c r="H1996" t="s">
        <v>32</v>
      </c>
      <c r="I1996" t="s">
        <v>695</v>
      </c>
      <c r="J1996" t="s">
        <v>45</v>
      </c>
      <c r="K1996" t="s">
        <v>35</v>
      </c>
      <c r="L1996" t="s">
        <v>175</v>
      </c>
      <c r="M1996" t="s">
        <v>117</v>
      </c>
      <c r="N1996">
        <v>0</v>
      </c>
      <c r="O1996">
        <v>0</v>
      </c>
      <c r="P1996">
        <v>0</v>
      </c>
      <c r="Q1996">
        <v>24</v>
      </c>
      <c r="R1996">
        <v>0</v>
      </c>
      <c r="S1996" t="str">
        <f t="shared" si="155"/>
        <v>PZ: Alta Crit.</v>
      </c>
      <c r="T1996">
        <f t="shared" si="156"/>
        <v>0</v>
      </c>
      <c r="U1996">
        <f t="shared" si="157"/>
        <v>0</v>
      </c>
      <c r="V1996">
        <f t="shared" si="158"/>
        <v>0</v>
      </c>
      <c r="W1996">
        <f t="shared" si="159"/>
        <v>1</v>
      </c>
      <c r="X1996">
        <v>1</v>
      </c>
      <c r="Y1996" s="2">
        <v>45768</v>
      </c>
      <c r="Z1996" s="3" t="s">
        <v>118</v>
      </c>
      <c r="AA1996" t="s">
        <v>39</v>
      </c>
      <c r="AB1996" t="s">
        <v>40</v>
      </c>
      <c r="AC1996" t="s">
        <v>40</v>
      </c>
      <c r="AD1996" t="s">
        <v>696</v>
      </c>
    </row>
    <row r="1997" spans="2:30">
      <c r="B1997">
        <v>0</v>
      </c>
      <c r="C1997">
        <v>1020</v>
      </c>
      <c r="D1997" t="s">
        <v>693</v>
      </c>
      <c r="E1997">
        <v>10043018</v>
      </c>
      <c r="F1997" t="s">
        <v>2088</v>
      </c>
      <c r="G1997" t="s">
        <v>43</v>
      </c>
      <c r="H1997" t="s">
        <v>32</v>
      </c>
      <c r="I1997" t="s">
        <v>695</v>
      </c>
      <c r="J1997" t="s">
        <v>45</v>
      </c>
      <c r="K1997" t="s">
        <v>35</v>
      </c>
      <c r="L1997" t="s">
        <v>175</v>
      </c>
      <c r="M1997" t="s">
        <v>117</v>
      </c>
      <c r="N1997">
        <v>0</v>
      </c>
      <c r="O1997">
        <v>0</v>
      </c>
      <c r="P1997">
        <v>0</v>
      </c>
      <c r="Q1997">
        <v>2</v>
      </c>
      <c r="R1997">
        <v>0</v>
      </c>
      <c r="S1997" t="str">
        <f t="shared" si="155"/>
        <v>PY: Media Crit.</v>
      </c>
      <c r="T1997">
        <f t="shared" si="156"/>
        <v>0</v>
      </c>
      <c r="U1997">
        <f t="shared" si="157"/>
        <v>0</v>
      </c>
      <c r="V1997">
        <f t="shared" si="158"/>
        <v>0</v>
      </c>
      <c r="W1997">
        <f t="shared" si="159"/>
        <v>1</v>
      </c>
      <c r="X1997">
        <v>1</v>
      </c>
      <c r="Y1997" s="2">
        <v>45768</v>
      </c>
      <c r="Z1997" s="3" t="s">
        <v>118</v>
      </c>
      <c r="AA1997" t="s">
        <v>39</v>
      </c>
      <c r="AB1997" t="s">
        <v>40</v>
      </c>
      <c r="AC1997" t="s">
        <v>40</v>
      </c>
      <c r="AD1997" t="s">
        <v>696</v>
      </c>
    </row>
    <row r="1998" spans="2:30">
      <c r="B1998">
        <v>0</v>
      </c>
      <c r="C1998">
        <v>1020</v>
      </c>
      <c r="D1998" t="s">
        <v>388</v>
      </c>
      <c r="E1998">
        <v>10043109</v>
      </c>
      <c r="F1998" t="s">
        <v>2089</v>
      </c>
      <c r="G1998" t="s">
        <v>52</v>
      </c>
      <c r="H1998" t="s">
        <v>32</v>
      </c>
      <c r="I1998" t="s">
        <v>1002</v>
      </c>
      <c r="J1998" t="s">
        <v>45</v>
      </c>
      <c r="K1998" t="s">
        <v>35</v>
      </c>
      <c r="L1998" t="s">
        <v>175</v>
      </c>
      <c r="M1998" t="s">
        <v>69</v>
      </c>
      <c r="N1998">
        <v>0</v>
      </c>
      <c r="O1998">
        <v>0</v>
      </c>
      <c r="P1998">
        <v>2</v>
      </c>
      <c r="Q1998">
        <v>2</v>
      </c>
      <c r="R1998" s="4">
        <v>229792.02</v>
      </c>
      <c r="S1998" t="str">
        <f t="shared" si="155"/>
        <v>PZ: Alta Crit.</v>
      </c>
      <c r="T1998">
        <f t="shared" si="156"/>
        <v>0</v>
      </c>
      <c r="U1998">
        <f t="shared" si="157"/>
        <v>1</v>
      </c>
      <c r="V1998">
        <f t="shared" si="158"/>
        <v>0</v>
      </c>
      <c r="W1998">
        <f t="shared" si="159"/>
        <v>1</v>
      </c>
      <c r="X1998">
        <v>1</v>
      </c>
      <c r="Y1998" s="2">
        <v>45768</v>
      </c>
      <c r="Z1998" s="3" t="s">
        <v>70</v>
      </c>
      <c r="AA1998" t="s">
        <v>39</v>
      </c>
      <c r="AB1998" t="s">
        <v>40</v>
      </c>
      <c r="AC1998" t="s">
        <v>40</v>
      </c>
      <c r="AD1998" t="s">
        <v>391</v>
      </c>
    </row>
    <row r="1999" spans="2:30">
      <c r="B1999">
        <v>0</v>
      </c>
      <c r="C1999">
        <v>1020</v>
      </c>
      <c r="D1999" t="s">
        <v>384</v>
      </c>
      <c r="E1999">
        <v>10043116</v>
      </c>
      <c r="F1999" t="s">
        <v>2090</v>
      </c>
      <c r="G1999" t="s">
        <v>31</v>
      </c>
      <c r="H1999" t="s">
        <v>32</v>
      </c>
      <c r="I1999" t="s">
        <v>386</v>
      </c>
      <c r="J1999" t="s">
        <v>45</v>
      </c>
      <c r="K1999" t="s">
        <v>35</v>
      </c>
      <c r="L1999" t="s">
        <v>175</v>
      </c>
      <c r="M1999" t="s">
        <v>46</v>
      </c>
      <c r="N1999">
        <v>0</v>
      </c>
      <c r="O1999">
        <v>0</v>
      </c>
      <c r="P1999">
        <v>0</v>
      </c>
      <c r="Q1999">
        <v>3</v>
      </c>
      <c r="R1999">
        <v>0</v>
      </c>
      <c r="S1999" t="str">
        <f t="shared" si="155"/>
        <v>PX: Baja Crit.</v>
      </c>
      <c r="T1999">
        <f t="shared" si="156"/>
        <v>0</v>
      </c>
      <c r="U1999">
        <f t="shared" si="157"/>
        <v>0</v>
      </c>
      <c r="V1999">
        <f t="shared" si="158"/>
        <v>0</v>
      </c>
      <c r="W1999">
        <f t="shared" si="159"/>
        <v>1</v>
      </c>
      <c r="X1999">
        <v>1</v>
      </c>
      <c r="Y1999" s="2">
        <v>45768</v>
      </c>
      <c r="Z1999" s="3" t="s">
        <v>47</v>
      </c>
      <c r="AA1999" t="s">
        <v>39</v>
      </c>
      <c r="AB1999" t="s">
        <v>40</v>
      </c>
      <c r="AC1999" t="s">
        <v>40</v>
      </c>
      <c r="AD1999" t="s">
        <v>387</v>
      </c>
    </row>
    <row r="2000" spans="2:30">
      <c r="B2000">
        <v>0</v>
      </c>
      <c r="C2000">
        <v>1020</v>
      </c>
      <c r="D2000" t="s">
        <v>693</v>
      </c>
      <c r="E2000">
        <v>10043129</v>
      </c>
      <c r="F2000" t="s">
        <v>2091</v>
      </c>
      <c r="G2000" t="s">
        <v>43</v>
      </c>
      <c r="H2000" t="s">
        <v>32</v>
      </c>
      <c r="I2000" t="s">
        <v>695</v>
      </c>
      <c r="J2000" t="s">
        <v>45</v>
      </c>
      <c r="K2000" t="s">
        <v>35</v>
      </c>
      <c r="L2000" t="s">
        <v>175</v>
      </c>
      <c r="M2000" t="s">
        <v>117</v>
      </c>
      <c r="N2000">
        <v>0</v>
      </c>
      <c r="O2000">
        <v>0</v>
      </c>
      <c r="P2000">
        <v>0</v>
      </c>
      <c r="Q2000">
        <v>1</v>
      </c>
      <c r="R2000">
        <v>0</v>
      </c>
      <c r="S2000" t="str">
        <f t="shared" si="155"/>
        <v>PY: Media Crit.</v>
      </c>
      <c r="T2000">
        <f t="shared" si="156"/>
        <v>0</v>
      </c>
      <c r="U2000">
        <f t="shared" si="157"/>
        <v>0</v>
      </c>
      <c r="V2000">
        <f t="shared" si="158"/>
        <v>0</v>
      </c>
      <c r="W2000">
        <f t="shared" si="159"/>
        <v>1</v>
      </c>
      <c r="X2000">
        <v>1</v>
      </c>
      <c r="Y2000" s="2">
        <v>45768</v>
      </c>
      <c r="Z2000" s="3" t="s">
        <v>118</v>
      </c>
      <c r="AA2000" t="s">
        <v>39</v>
      </c>
      <c r="AB2000" t="s">
        <v>40</v>
      </c>
      <c r="AC2000" t="s">
        <v>40</v>
      </c>
      <c r="AD2000" t="s">
        <v>696</v>
      </c>
    </row>
    <row r="2001" spans="2:30">
      <c r="B2001">
        <v>0</v>
      </c>
      <c r="C2001">
        <v>1020</v>
      </c>
      <c r="D2001" t="s">
        <v>181</v>
      </c>
      <c r="E2001">
        <v>10043337</v>
      </c>
      <c r="F2001" t="s">
        <v>2092</v>
      </c>
      <c r="G2001" t="s">
        <v>52</v>
      </c>
      <c r="H2001" t="s">
        <v>32</v>
      </c>
      <c r="I2001" t="s">
        <v>183</v>
      </c>
      <c r="J2001" t="s">
        <v>45</v>
      </c>
      <c r="K2001" t="s">
        <v>35</v>
      </c>
      <c r="L2001" t="s">
        <v>36</v>
      </c>
      <c r="M2001" t="s">
        <v>69</v>
      </c>
      <c r="N2001">
        <v>6</v>
      </c>
      <c r="O2001">
        <v>4</v>
      </c>
      <c r="P2001">
        <v>1</v>
      </c>
      <c r="Q2001">
        <v>4</v>
      </c>
      <c r="R2001" s="4">
        <v>2723.88</v>
      </c>
      <c r="S2001" t="str">
        <f t="shared" si="155"/>
        <v>PZ: Alta Crit.</v>
      </c>
      <c r="T2001">
        <f t="shared" si="156"/>
        <v>0</v>
      </c>
      <c r="U2001">
        <f t="shared" si="157"/>
        <v>0</v>
      </c>
      <c r="V2001">
        <f t="shared" si="158"/>
        <v>1</v>
      </c>
      <c r="W2001">
        <f t="shared" si="159"/>
        <v>0</v>
      </c>
      <c r="X2001">
        <v>1</v>
      </c>
      <c r="Y2001" s="2">
        <v>45768</v>
      </c>
      <c r="Z2001" s="3" t="s">
        <v>70</v>
      </c>
      <c r="AA2001" t="s">
        <v>39</v>
      </c>
      <c r="AB2001" t="s">
        <v>40</v>
      </c>
      <c r="AC2001" t="s">
        <v>40</v>
      </c>
      <c r="AD2001" t="s">
        <v>184</v>
      </c>
    </row>
    <row r="2002" spans="2:30">
      <c r="B2002">
        <v>0</v>
      </c>
      <c r="C2002">
        <v>1020</v>
      </c>
      <c r="D2002" t="s">
        <v>384</v>
      </c>
      <c r="E2002">
        <v>10043341</v>
      </c>
      <c r="F2002" t="s">
        <v>2093</v>
      </c>
      <c r="G2002" t="s">
        <v>52</v>
      </c>
      <c r="H2002" t="s">
        <v>32</v>
      </c>
      <c r="I2002" t="s">
        <v>386</v>
      </c>
      <c r="J2002" t="s">
        <v>45</v>
      </c>
      <c r="K2002" t="s">
        <v>35</v>
      </c>
      <c r="L2002" t="s">
        <v>175</v>
      </c>
      <c r="M2002" t="s">
        <v>69</v>
      </c>
      <c r="N2002">
        <v>0</v>
      </c>
      <c r="O2002">
        <v>0</v>
      </c>
      <c r="P2002">
        <v>0</v>
      </c>
      <c r="Q2002">
        <v>8</v>
      </c>
      <c r="R2002">
        <v>0</v>
      </c>
      <c r="S2002" t="str">
        <f t="shared" si="155"/>
        <v>PZ: Alta Crit.</v>
      </c>
      <c r="T2002">
        <f t="shared" si="156"/>
        <v>0</v>
      </c>
      <c r="U2002">
        <f t="shared" si="157"/>
        <v>0</v>
      </c>
      <c r="V2002">
        <f t="shared" si="158"/>
        <v>0</v>
      </c>
      <c r="W2002">
        <f t="shared" si="159"/>
        <v>1</v>
      </c>
      <c r="X2002">
        <v>1</v>
      </c>
      <c r="Y2002" s="2">
        <v>45768</v>
      </c>
      <c r="Z2002" s="3" t="s">
        <v>70</v>
      </c>
      <c r="AA2002" t="s">
        <v>39</v>
      </c>
      <c r="AB2002" t="s">
        <v>40</v>
      </c>
      <c r="AC2002" t="s">
        <v>40</v>
      </c>
      <c r="AD2002" t="s">
        <v>387</v>
      </c>
    </row>
    <row r="2003" spans="2:30">
      <c r="B2003">
        <v>0</v>
      </c>
      <c r="C2003">
        <v>1020</v>
      </c>
      <c r="D2003" t="s">
        <v>388</v>
      </c>
      <c r="E2003">
        <v>10043587</v>
      </c>
      <c r="F2003" t="s">
        <v>2094</v>
      </c>
      <c r="G2003" t="s">
        <v>31</v>
      </c>
      <c r="H2003" t="s">
        <v>44</v>
      </c>
      <c r="I2003" t="s">
        <v>390</v>
      </c>
      <c r="J2003" t="s">
        <v>45</v>
      </c>
      <c r="K2003" t="s">
        <v>35</v>
      </c>
      <c r="L2003" t="s">
        <v>175</v>
      </c>
      <c r="M2003" t="s">
        <v>69</v>
      </c>
      <c r="N2003">
        <v>0</v>
      </c>
      <c r="O2003">
        <v>0</v>
      </c>
      <c r="P2003">
        <v>1</v>
      </c>
      <c r="Q2003">
        <v>1</v>
      </c>
      <c r="R2003">
        <v>0</v>
      </c>
      <c r="S2003" t="str">
        <f t="shared" si="155"/>
        <v>PX: Baja Crit.</v>
      </c>
      <c r="T2003">
        <f t="shared" si="156"/>
        <v>0</v>
      </c>
      <c r="U2003">
        <f t="shared" si="157"/>
        <v>1</v>
      </c>
      <c r="V2003">
        <f t="shared" si="158"/>
        <v>0</v>
      </c>
      <c r="W2003">
        <f t="shared" si="159"/>
        <v>1</v>
      </c>
      <c r="X2003">
        <v>1</v>
      </c>
      <c r="Y2003" s="2">
        <v>45768</v>
      </c>
      <c r="Z2003" s="3" t="s">
        <v>70</v>
      </c>
      <c r="AA2003" t="s">
        <v>39</v>
      </c>
      <c r="AB2003" t="s">
        <v>40</v>
      </c>
      <c r="AC2003" t="s">
        <v>40</v>
      </c>
      <c r="AD2003" t="s">
        <v>391</v>
      </c>
    </row>
    <row r="2004" spans="2:30">
      <c r="B2004">
        <v>0</v>
      </c>
      <c r="C2004">
        <v>1020</v>
      </c>
      <c r="D2004" t="s">
        <v>384</v>
      </c>
      <c r="E2004">
        <v>10043673</v>
      </c>
      <c r="F2004" t="s">
        <v>2095</v>
      </c>
      <c r="G2004" t="s">
        <v>52</v>
      </c>
      <c r="H2004" t="s">
        <v>32</v>
      </c>
      <c r="I2004" t="s">
        <v>386</v>
      </c>
      <c r="J2004" t="s">
        <v>45</v>
      </c>
      <c r="K2004" t="s">
        <v>35</v>
      </c>
      <c r="L2004" t="s">
        <v>175</v>
      </c>
      <c r="M2004" t="s">
        <v>69</v>
      </c>
      <c r="N2004">
        <v>0</v>
      </c>
      <c r="O2004">
        <v>0</v>
      </c>
      <c r="P2004">
        <v>0</v>
      </c>
      <c r="Q2004">
        <v>66</v>
      </c>
      <c r="R2004">
        <v>0</v>
      </c>
      <c r="S2004" t="str">
        <f t="shared" si="155"/>
        <v>PZ: Alta Crit.</v>
      </c>
      <c r="T2004">
        <f t="shared" si="156"/>
        <v>0</v>
      </c>
      <c r="U2004">
        <f t="shared" si="157"/>
        <v>0</v>
      </c>
      <c r="V2004">
        <f t="shared" si="158"/>
        <v>0</v>
      </c>
      <c r="W2004">
        <f t="shared" si="159"/>
        <v>1</v>
      </c>
      <c r="X2004">
        <v>1</v>
      </c>
      <c r="Y2004" s="2">
        <v>45768</v>
      </c>
      <c r="Z2004" s="3" t="s">
        <v>70</v>
      </c>
      <c r="AA2004" t="s">
        <v>39</v>
      </c>
      <c r="AB2004" t="s">
        <v>40</v>
      </c>
      <c r="AC2004" t="s">
        <v>40</v>
      </c>
      <c r="AD2004" t="s">
        <v>387</v>
      </c>
    </row>
    <row r="2005" spans="2:30">
      <c r="B2005">
        <v>0</v>
      </c>
      <c r="C2005">
        <v>1020</v>
      </c>
      <c r="D2005" t="s">
        <v>693</v>
      </c>
      <c r="E2005">
        <v>10043691</v>
      </c>
      <c r="F2005" t="s">
        <v>2096</v>
      </c>
      <c r="G2005" t="s">
        <v>52</v>
      </c>
      <c r="H2005" t="s">
        <v>32</v>
      </c>
      <c r="I2005" t="s">
        <v>695</v>
      </c>
      <c r="J2005" t="s">
        <v>45</v>
      </c>
      <c r="K2005" t="s">
        <v>35</v>
      </c>
      <c r="L2005" t="s">
        <v>175</v>
      </c>
      <c r="M2005" t="s">
        <v>69</v>
      </c>
      <c r="N2005">
        <v>0</v>
      </c>
      <c r="O2005">
        <v>0</v>
      </c>
      <c r="P2005">
        <v>0</v>
      </c>
      <c r="Q2005">
        <v>2</v>
      </c>
      <c r="R2005">
        <v>0</v>
      </c>
      <c r="S2005" t="str">
        <f t="shared" si="155"/>
        <v>PZ: Alta Crit.</v>
      </c>
      <c r="T2005">
        <f t="shared" si="156"/>
        <v>0</v>
      </c>
      <c r="U2005">
        <f t="shared" si="157"/>
        <v>0</v>
      </c>
      <c r="V2005">
        <f t="shared" si="158"/>
        <v>0</v>
      </c>
      <c r="W2005">
        <f t="shared" si="159"/>
        <v>1</v>
      </c>
      <c r="X2005">
        <v>1</v>
      </c>
      <c r="Y2005" s="2">
        <v>45768</v>
      </c>
      <c r="Z2005" s="3" t="s">
        <v>70</v>
      </c>
      <c r="AA2005" t="s">
        <v>39</v>
      </c>
      <c r="AB2005" t="s">
        <v>40</v>
      </c>
      <c r="AC2005" t="s">
        <v>40</v>
      </c>
      <c r="AD2005" t="s">
        <v>696</v>
      </c>
    </row>
    <row r="2006" spans="2:30">
      <c r="B2006">
        <v>0</v>
      </c>
      <c r="C2006">
        <v>1020</v>
      </c>
      <c r="D2006" t="s">
        <v>693</v>
      </c>
      <c r="E2006">
        <v>10043702</v>
      </c>
      <c r="F2006" t="s">
        <v>2097</v>
      </c>
      <c r="G2006" t="s">
        <v>52</v>
      </c>
      <c r="H2006" t="s">
        <v>32</v>
      </c>
      <c r="I2006" t="s">
        <v>695</v>
      </c>
      <c r="J2006" t="s">
        <v>45</v>
      </c>
      <c r="K2006" t="s">
        <v>35</v>
      </c>
      <c r="L2006" t="s">
        <v>175</v>
      </c>
      <c r="M2006" t="s">
        <v>69</v>
      </c>
      <c r="N2006">
        <v>0</v>
      </c>
      <c r="O2006">
        <v>0</v>
      </c>
      <c r="P2006">
        <v>0</v>
      </c>
      <c r="Q2006">
        <v>1</v>
      </c>
      <c r="R2006">
        <v>0</v>
      </c>
      <c r="S2006" t="str">
        <f t="shared" si="155"/>
        <v>PZ: Alta Crit.</v>
      </c>
      <c r="T2006">
        <f t="shared" si="156"/>
        <v>0</v>
      </c>
      <c r="U2006">
        <f t="shared" si="157"/>
        <v>0</v>
      </c>
      <c r="V2006">
        <f t="shared" si="158"/>
        <v>0</v>
      </c>
      <c r="W2006">
        <f t="shared" si="159"/>
        <v>1</v>
      </c>
      <c r="X2006">
        <v>1</v>
      </c>
      <c r="Y2006" s="2">
        <v>45768</v>
      </c>
      <c r="Z2006" s="3" t="s">
        <v>70</v>
      </c>
      <c r="AA2006" t="s">
        <v>39</v>
      </c>
      <c r="AB2006" t="s">
        <v>40</v>
      </c>
      <c r="AC2006" t="s">
        <v>40</v>
      </c>
      <c r="AD2006" t="s">
        <v>696</v>
      </c>
    </row>
    <row r="2007" spans="2:30">
      <c r="B2007">
        <v>0</v>
      </c>
      <c r="C2007">
        <v>1020</v>
      </c>
      <c r="D2007" t="s">
        <v>693</v>
      </c>
      <c r="E2007">
        <v>10043762</v>
      </c>
      <c r="F2007" t="s">
        <v>2098</v>
      </c>
      <c r="G2007" t="s">
        <v>43</v>
      </c>
      <c r="H2007" t="s">
        <v>32</v>
      </c>
      <c r="I2007" t="s">
        <v>695</v>
      </c>
      <c r="J2007" t="s">
        <v>45</v>
      </c>
      <c r="K2007" t="s">
        <v>35</v>
      </c>
      <c r="L2007" t="s">
        <v>175</v>
      </c>
      <c r="M2007" t="s">
        <v>69</v>
      </c>
      <c r="N2007">
        <v>0</v>
      </c>
      <c r="O2007">
        <v>0</v>
      </c>
      <c r="P2007">
        <v>0</v>
      </c>
      <c r="Q2007">
        <v>0</v>
      </c>
      <c r="R2007">
        <v>0</v>
      </c>
      <c r="S2007" t="str">
        <f t="shared" si="155"/>
        <v>PY: Media Crit.</v>
      </c>
      <c r="T2007">
        <f t="shared" si="156"/>
        <v>1</v>
      </c>
      <c r="U2007">
        <f t="shared" si="157"/>
        <v>0</v>
      </c>
      <c r="V2007">
        <f t="shared" si="158"/>
        <v>0</v>
      </c>
      <c r="W2007">
        <f t="shared" si="159"/>
        <v>0</v>
      </c>
      <c r="X2007">
        <v>1</v>
      </c>
      <c r="Y2007" s="2">
        <v>45768</v>
      </c>
      <c r="Z2007" s="3" t="s">
        <v>70</v>
      </c>
      <c r="AA2007" t="s">
        <v>39</v>
      </c>
      <c r="AB2007" t="s">
        <v>40</v>
      </c>
      <c r="AC2007" t="s">
        <v>40</v>
      </c>
      <c r="AD2007" t="s">
        <v>696</v>
      </c>
    </row>
    <row r="2008" spans="2:30">
      <c r="B2008">
        <v>0</v>
      </c>
      <c r="C2008">
        <v>1020</v>
      </c>
      <c r="D2008" t="s">
        <v>693</v>
      </c>
      <c r="E2008">
        <v>10043765</v>
      </c>
      <c r="F2008" t="s">
        <v>2099</v>
      </c>
      <c r="G2008" t="s">
        <v>43</v>
      </c>
      <c r="H2008" t="s">
        <v>60</v>
      </c>
      <c r="I2008" t="s">
        <v>695</v>
      </c>
      <c r="J2008" t="s">
        <v>45</v>
      </c>
      <c r="K2008" t="s">
        <v>35</v>
      </c>
      <c r="L2008" t="s">
        <v>175</v>
      </c>
      <c r="M2008" t="s">
        <v>69</v>
      </c>
      <c r="N2008">
        <v>0</v>
      </c>
      <c r="O2008">
        <v>0</v>
      </c>
      <c r="P2008">
        <v>0</v>
      </c>
      <c r="Q2008">
        <v>2</v>
      </c>
      <c r="R2008">
        <v>0</v>
      </c>
      <c r="S2008" t="str">
        <f t="shared" si="155"/>
        <v>PY: Media Crit.</v>
      </c>
      <c r="T2008">
        <f t="shared" si="156"/>
        <v>0</v>
      </c>
      <c r="U2008">
        <f t="shared" si="157"/>
        <v>0</v>
      </c>
      <c r="V2008">
        <f t="shared" si="158"/>
        <v>0</v>
      </c>
      <c r="W2008">
        <f t="shared" si="159"/>
        <v>1</v>
      </c>
      <c r="X2008">
        <v>1</v>
      </c>
      <c r="Y2008" s="2">
        <v>45768</v>
      </c>
      <c r="Z2008" s="3" t="s">
        <v>70</v>
      </c>
      <c r="AA2008" t="s">
        <v>39</v>
      </c>
      <c r="AB2008" t="s">
        <v>40</v>
      </c>
      <c r="AC2008" t="s">
        <v>40</v>
      </c>
      <c r="AD2008" t="s">
        <v>696</v>
      </c>
    </row>
    <row r="2009" spans="2:30">
      <c r="B2009">
        <v>0</v>
      </c>
      <c r="C2009">
        <v>1020</v>
      </c>
      <c r="D2009" t="s">
        <v>181</v>
      </c>
      <c r="E2009">
        <v>10043775</v>
      </c>
      <c r="F2009" t="s">
        <v>2100</v>
      </c>
      <c r="G2009" t="s">
        <v>52</v>
      </c>
      <c r="H2009" t="s">
        <v>32</v>
      </c>
      <c r="I2009" t="s">
        <v>183</v>
      </c>
      <c r="J2009" t="s">
        <v>45</v>
      </c>
      <c r="K2009" t="s">
        <v>35</v>
      </c>
      <c r="L2009" t="s">
        <v>36</v>
      </c>
      <c r="M2009" t="s">
        <v>117</v>
      </c>
      <c r="N2009">
        <v>1</v>
      </c>
      <c r="O2009">
        <v>1</v>
      </c>
      <c r="P2009">
        <v>0</v>
      </c>
      <c r="Q2009">
        <v>1</v>
      </c>
      <c r="R2009">
        <v>0</v>
      </c>
      <c r="S2009" t="str">
        <f t="shared" si="155"/>
        <v>PZ: Alta Crit.</v>
      </c>
      <c r="T2009">
        <f t="shared" si="156"/>
        <v>0</v>
      </c>
      <c r="U2009">
        <f t="shared" si="157"/>
        <v>0</v>
      </c>
      <c r="V2009">
        <f t="shared" si="158"/>
        <v>1</v>
      </c>
      <c r="W2009">
        <f t="shared" si="159"/>
        <v>0</v>
      </c>
      <c r="X2009">
        <v>1</v>
      </c>
      <c r="Y2009" s="2">
        <v>45768</v>
      </c>
      <c r="Z2009" s="3" t="s">
        <v>118</v>
      </c>
      <c r="AA2009" t="s">
        <v>39</v>
      </c>
      <c r="AB2009" t="s">
        <v>40</v>
      </c>
      <c r="AC2009" t="s">
        <v>40</v>
      </c>
      <c r="AD2009" t="s">
        <v>184</v>
      </c>
    </row>
    <row r="2010" spans="2:30">
      <c r="B2010">
        <v>0</v>
      </c>
      <c r="C2010">
        <v>1020</v>
      </c>
      <c r="D2010" t="s">
        <v>388</v>
      </c>
      <c r="E2010">
        <v>10043804</v>
      </c>
      <c r="F2010" t="s">
        <v>2101</v>
      </c>
      <c r="G2010" t="s">
        <v>52</v>
      </c>
      <c r="H2010" t="s">
        <v>32</v>
      </c>
      <c r="I2010" t="s">
        <v>390</v>
      </c>
      <c r="J2010" t="s">
        <v>45</v>
      </c>
      <c r="K2010" t="s">
        <v>35</v>
      </c>
      <c r="L2010" t="s">
        <v>175</v>
      </c>
      <c r="M2010" t="s">
        <v>69</v>
      </c>
      <c r="N2010">
        <v>0</v>
      </c>
      <c r="O2010">
        <v>0</v>
      </c>
      <c r="P2010">
        <v>1</v>
      </c>
      <c r="Q2010">
        <v>1</v>
      </c>
      <c r="R2010">
        <v>0</v>
      </c>
      <c r="S2010" t="str">
        <f t="shared" si="155"/>
        <v>PZ: Alta Crit.</v>
      </c>
      <c r="T2010">
        <f t="shared" si="156"/>
        <v>0</v>
      </c>
      <c r="U2010">
        <f t="shared" si="157"/>
        <v>1</v>
      </c>
      <c r="V2010">
        <f t="shared" si="158"/>
        <v>0</v>
      </c>
      <c r="W2010">
        <f t="shared" si="159"/>
        <v>1</v>
      </c>
      <c r="X2010">
        <v>1</v>
      </c>
      <c r="Y2010" s="2">
        <v>45768</v>
      </c>
      <c r="Z2010" s="3" t="s">
        <v>70</v>
      </c>
      <c r="AA2010" t="s">
        <v>39</v>
      </c>
      <c r="AB2010" t="s">
        <v>40</v>
      </c>
      <c r="AC2010" t="s">
        <v>40</v>
      </c>
      <c r="AD2010" t="s">
        <v>391</v>
      </c>
    </row>
    <row r="2011" spans="2:30">
      <c r="B2011">
        <v>0</v>
      </c>
      <c r="C2011">
        <v>1020</v>
      </c>
      <c r="D2011" t="s">
        <v>384</v>
      </c>
      <c r="E2011">
        <v>10043884</v>
      </c>
      <c r="F2011" t="s">
        <v>2102</v>
      </c>
      <c r="G2011" t="s">
        <v>43</v>
      </c>
      <c r="H2011" t="s">
        <v>32</v>
      </c>
      <c r="I2011" t="s">
        <v>386</v>
      </c>
      <c r="J2011" t="s">
        <v>45</v>
      </c>
      <c r="K2011" t="s">
        <v>35</v>
      </c>
      <c r="L2011" t="s">
        <v>175</v>
      </c>
      <c r="M2011" t="s">
        <v>69</v>
      </c>
      <c r="N2011">
        <v>0</v>
      </c>
      <c r="O2011">
        <v>0</v>
      </c>
      <c r="P2011">
        <v>0</v>
      </c>
      <c r="Q2011">
        <v>0</v>
      </c>
      <c r="R2011">
        <v>0</v>
      </c>
      <c r="S2011" t="str">
        <f t="shared" si="155"/>
        <v>PY: Media Crit.</v>
      </c>
      <c r="T2011">
        <f t="shared" si="156"/>
        <v>1</v>
      </c>
      <c r="U2011">
        <f t="shared" si="157"/>
        <v>0</v>
      </c>
      <c r="V2011">
        <f t="shared" si="158"/>
        <v>0</v>
      </c>
      <c r="W2011">
        <f t="shared" si="159"/>
        <v>0</v>
      </c>
      <c r="X2011">
        <v>1</v>
      </c>
      <c r="Y2011" s="2">
        <v>45768</v>
      </c>
      <c r="Z2011" s="3" t="s">
        <v>70</v>
      </c>
      <c r="AA2011" t="s">
        <v>39</v>
      </c>
      <c r="AB2011" t="s">
        <v>40</v>
      </c>
      <c r="AC2011" t="s">
        <v>40</v>
      </c>
      <c r="AD2011" t="s">
        <v>387</v>
      </c>
    </row>
    <row r="2012" spans="2:30">
      <c r="B2012">
        <v>0</v>
      </c>
      <c r="C2012">
        <v>1020</v>
      </c>
      <c r="D2012" t="s">
        <v>384</v>
      </c>
      <c r="E2012">
        <v>10043885</v>
      </c>
      <c r="F2012" t="s">
        <v>2103</v>
      </c>
      <c r="G2012" t="s">
        <v>43</v>
      </c>
      <c r="H2012" t="s">
        <v>32</v>
      </c>
      <c r="I2012" t="s">
        <v>386</v>
      </c>
      <c r="J2012" t="s">
        <v>45</v>
      </c>
      <c r="K2012" t="s">
        <v>35</v>
      </c>
      <c r="L2012" t="s">
        <v>175</v>
      </c>
      <c r="M2012" t="s">
        <v>69</v>
      </c>
      <c r="N2012">
        <v>0</v>
      </c>
      <c r="O2012">
        <v>0</v>
      </c>
      <c r="P2012">
        <v>0</v>
      </c>
      <c r="Q2012">
        <v>0</v>
      </c>
      <c r="R2012">
        <v>0</v>
      </c>
      <c r="S2012" t="str">
        <f t="shared" si="155"/>
        <v>PY: Media Crit.</v>
      </c>
      <c r="T2012">
        <f t="shared" si="156"/>
        <v>1</v>
      </c>
      <c r="U2012">
        <f t="shared" si="157"/>
        <v>0</v>
      </c>
      <c r="V2012">
        <f t="shared" si="158"/>
        <v>0</v>
      </c>
      <c r="W2012">
        <f t="shared" si="159"/>
        <v>0</v>
      </c>
      <c r="X2012">
        <v>1</v>
      </c>
      <c r="Y2012" s="2">
        <v>45768</v>
      </c>
      <c r="Z2012" s="3" t="s">
        <v>70</v>
      </c>
      <c r="AA2012" t="s">
        <v>39</v>
      </c>
      <c r="AB2012" t="s">
        <v>40</v>
      </c>
      <c r="AC2012" t="s">
        <v>40</v>
      </c>
      <c r="AD2012" t="s">
        <v>387</v>
      </c>
    </row>
    <row r="2013" spans="2:30">
      <c r="B2013">
        <v>0</v>
      </c>
      <c r="C2013">
        <v>1020</v>
      </c>
      <c r="D2013" t="s">
        <v>693</v>
      </c>
      <c r="E2013">
        <v>10043946</v>
      </c>
      <c r="F2013" t="s">
        <v>2104</v>
      </c>
      <c r="G2013" t="s">
        <v>43</v>
      </c>
      <c r="H2013" t="s">
        <v>32</v>
      </c>
      <c r="I2013" t="s">
        <v>695</v>
      </c>
      <c r="J2013" t="s">
        <v>45</v>
      </c>
      <c r="K2013" t="s">
        <v>35</v>
      </c>
      <c r="L2013" t="s">
        <v>175</v>
      </c>
      <c r="M2013" t="s">
        <v>46</v>
      </c>
      <c r="N2013">
        <v>0</v>
      </c>
      <c r="O2013">
        <v>0</v>
      </c>
      <c r="P2013">
        <v>0</v>
      </c>
      <c r="Q2013">
        <v>1</v>
      </c>
      <c r="R2013">
        <v>0</v>
      </c>
      <c r="S2013" t="str">
        <f t="shared" si="155"/>
        <v>PY: Media Crit.</v>
      </c>
      <c r="T2013">
        <f t="shared" si="156"/>
        <v>0</v>
      </c>
      <c r="U2013">
        <f t="shared" si="157"/>
        <v>0</v>
      </c>
      <c r="V2013">
        <f t="shared" si="158"/>
        <v>0</v>
      </c>
      <c r="W2013">
        <f t="shared" si="159"/>
        <v>1</v>
      </c>
      <c r="X2013">
        <v>1</v>
      </c>
      <c r="Y2013" s="2">
        <v>45768</v>
      </c>
      <c r="Z2013" s="3" t="s">
        <v>47</v>
      </c>
      <c r="AA2013" t="s">
        <v>39</v>
      </c>
      <c r="AB2013" t="s">
        <v>40</v>
      </c>
      <c r="AC2013" t="s">
        <v>40</v>
      </c>
      <c r="AD2013" t="s">
        <v>696</v>
      </c>
    </row>
    <row r="2014" spans="2:30">
      <c r="B2014">
        <v>0</v>
      </c>
      <c r="C2014">
        <v>1020</v>
      </c>
      <c r="D2014" t="s">
        <v>388</v>
      </c>
      <c r="E2014">
        <v>10043972</v>
      </c>
      <c r="F2014" t="s">
        <v>2105</v>
      </c>
      <c r="G2014" t="s">
        <v>52</v>
      </c>
      <c r="H2014" t="s">
        <v>32</v>
      </c>
      <c r="I2014" t="s">
        <v>390</v>
      </c>
      <c r="J2014" t="s">
        <v>45</v>
      </c>
      <c r="K2014" t="s">
        <v>35</v>
      </c>
      <c r="L2014" t="s">
        <v>175</v>
      </c>
      <c r="M2014" t="s">
        <v>117</v>
      </c>
      <c r="N2014">
        <v>0</v>
      </c>
      <c r="O2014">
        <v>0</v>
      </c>
      <c r="P2014">
        <v>2</v>
      </c>
      <c r="Q2014">
        <v>2</v>
      </c>
      <c r="R2014">
        <v>0</v>
      </c>
      <c r="S2014" t="str">
        <f t="shared" si="155"/>
        <v>PZ: Alta Crit.</v>
      </c>
      <c r="T2014">
        <f t="shared" si="156"/>
        <v>0</v>
      </c>
      <c r="U2014">
        <f t="shared" si="157"/>
        <v>1</v>
      </c>
      <c r="V2014">
        <f t="shared" si="158"/>
        <v>0</v>
      </c>
      <c r="W2014">
        <f t="shared" si="159"/>
        <v>1</v>
      </c>
      <c r="X2014">
        <v>1</v>
      </c>
      <c r="Y2014" s="2">
        <v>45768</v>
      </c>
      <c r="Z2014" s="3" t="s">
        <v>118</v>
      </c>
      <c r="AA2014" t="s">
        <v>39</v>
      </c>
      <c r="AB2014" t="s">
        <v>40</v>
      </c>
      <c r="AC2014" t="s">
        <v>40</v>
      </c>
      <c r="AD2014" t="s">
        <v>391</v>
      </c>
    </row>
    <row r="2015" spans="2:30">
      <c r="B2015">
        <v>0</v>
      </c>
      <c r="C2015">
        <v>1020</v>
      </c>
      <c r="D2015" t="s">
        <v>693</v>
      </c>
      <c r="E2015">
        <v>10043985</v>
      </c>
      <c r="F2015" t="s">
        <v>2106</v>
      </c>
      <c r="G2015" t="s">
        <v>52</v>
      </c>
      <c r="H2015" t="s">
        <v>32</v>
      </c>
      <c r="I2015" t="s">
        <v>695</v>
      </c>
      <c r="J2015" t="s">
        <v>45</v>
      </c>
      <c r="K2015" t="s">
        <v>35</v>
      </c>
      <c r="L2015" t="s">
        <v>175</v>
      </c>
      <c r="M2015" t="s">
        <v>46</v>
      </c>
      <c r="N2015">
        <v>0</v>
      </c>
      <c r="O2015">
        <v>0</v>
      </c>
      <c r="P2015">
        <v>0</v>
      </c>
      <c r="Q2015">
        <v>1</v>
      </c>
      <c r="R2015">
        <v>0</v>
      </c>
      <c r="S2015" t="str">
        <f t="shared" si="155"/>
        <v>PZ: Alta Crit.</v>
      </c>
      <c r="T2015">
        <f t="shared" si="156"/>
        <v>0</v>
      </c>
      <c r="U2015">
        <f t="shared" si="157"/>
        <v>0</v>
      </c>
      <c r="V2015">
        <f t="shared" si="158"/>
        <v>0</v>
      </c>
      <c r="W2015">
        <f t="shared" si="159"/>
        <v>1</v>
      </c>
      <c r="X2015">
        <v>1</v>
      </c>
      <c r="Y2015" s="2">
        <v>45768</v>
      </c>
      <c r="Z2015" s="3" t="s">
        <v>47</v>
      </c>
      <c r="AA2015" t="s">
        <v>39</v>
      </c>
      <c r="AB2015" t="s">
        <v>40</v>
      </c>
      <c r="AC2015" t="s">
        <v>40</v>
      </c>
      <c r="AD2015" t="s">
        <v>696</v>
      </c>
    </row>
    <row r="2016" spans="2:30">
      <c r="B2016">
        <v>0</v>
      </c>
      <c r="C2016">
        <v>1020</v>
      </c>
      <c r="D2016" t="s">
        <v>181</v>
      </c>
      <c r="E2016">
        <v>10044010</v>
      </c>
      <c r="F2016" t="s">
        <v>2107</v>
      </c>
      <c r="G2016" t="s">
        <v>43</v>
      </c>
      <c r="H2016" t="s">
        <v>60</v>
      </c>
      <c r="I2016" t="s">
        <v>183</v>
      </c>
      <c r="J2016" t="s">
        <v>34</v>
      </c>
      <c r="K2016" t="s">
        <v>65</v>
      </c>
      <c r="L2016" t="s">
        <v>36</v>
      </c>
      <c r="M2016" t="s">
        <v>46</v>
      </c>
      <c r="N2016">
        <v>360</v>
      </c>
      <c r="O2016">
        <v>121</v>
      </c>
      <c r="P2016">
        <v>60</v>
      </c>
      <c r="Q2016">
        <v>180</v>
      </c>
      <c r="R2016">
        <v>0</v>
      </c>
      <c r="S2016" t="str">
        <f t="shared" si="155"/>
        <v>PY: Media Crit.</v>
      </c>
      <c r="T2016">
        <f t="shared" si="156"/>
        <v>0</v>
      </c>
      <c r="U2016">
        <f t="shared" si="157"/>
        <v>0</v>
      </c>
      <c r="V2016">
        <f t="shared" si="158"/>
        <v>1</v>
      </c>
      <c r="W2016">
        <f t="shared" si="159"/>
        <v>0</v>
      </c>
      <c r="X2016">
        <v>1</v>
      </c>
      <c r="Y2016" s="2">
        <v>45768</v>
      </c>
      <c r="Z2016" s="3" t="s">
        <v>47</v>
      </c>
      <c r="AA2016" t="s">
        <v>39</v>
      </c>
      <c r="AB2016" t="s">
        <v>40</v>
      </c>
      <c r="AC2016" t="s">
        <v>40</v>
      </c>
      <c r="AD2016" t="s">
        <v>184</v>
      </c>
    </row>
    <row r="2017" spans="2:30">
      <c r="B2017">
        <v>0</v>
      </c>
      <c r="C2017">
        <v>1020</v>
      </c>
      <c r="D2017" t="s">
        <v>384</v>
      </c>
      <c r="E2017">
        <v>10044122</v>
      </c>
      <c r="F2017" t="s">
        <v>2108</v>
      </c>
      <c r="G2017" t="s">
        <v>31</v>
      </c>
      <c r="H2017" t="s">
        <v>32</v>
      </c>
      <c r="I2017" t="s">
        <v>386</v>
      </c>
      <c r="J2017" t="s">
        <v>45</v>
      </c>
      <c r="K2017" t="s">
        <v>35</v>
      </c>
      <c r="L2017" t="s">
        <v>175</v>
      </c>
      <c r="M2017" t="s">
        <v>69</v>
      </c>
      <c r="N2017">
        <v>0</v>
      </c>
      <c r="O2017">
        <v>0</v>
      </c>
      <c r="P2017">
        <v>0</v>
      </c>
      <c r="Q2017">
        <v>20</v>
      </c>
      <c r="R2017">
        <v>0</v>
      </c>
      <c r="S2017" t="str">
        <f t="shared" si="155"/>
        <v>PX: Baja Crit.</v>
      </c>
      <c r="T2017">
        <f t="shared" si="156"/>
        <v>0</v>
      </c>
      <c r="U2017">
        <f t="shared" si="157"/>
        <v>0</v>
      </c>
      <c r="V2017">
        <f t="shared" si="158"/>
        <v>0</v>
      </c>
      <c r="W2017">
        <f t="shared" si="159"/>
        <v>1</v>
      </c>
      <c r="X2017">
        <v>1</v>
      </c>
      <c r="Y2017" s="2">
        <v>45768</v>
      </c>
      <c r="Z2017" s="3" t="s">
        <v>70</v>
      </c>
      <c r="AA2017" t="s">
        <v>39</v>
      </c>
      <c r="AB2017" t="s">
        <v>40</v>
      </c>
      <c r="AC2017" t="s">
        <v>40</v>
      </c>
      <c r="AD2017" t="s">
        <v>387</v>
      </c>
    </row>
    <row r="2018" spans="2:30">
      <c r="B2018">
        <v>0</v>
      </c>
      <c r="C2018">
        <v>1020</v>
      </c>
      <c r="D2018" t="s">
        <v>384</v>
      </c>
      <c r="E2018">
        <v>10044268</v>
      </c>
      <c r="F2018" t="s">
        <v>2109</v>
      </c>
      <c r="G2018" t="s">
        <v>52</v>
      </c>
      <c r="H2018" t="s">
        <v>32</v>
      </c>
      <c r="I2018" t="s">
        <v>386</v>
      </c>
      <c r="J2018" t="s">
        <v>45</v>
      </c>
      <c r="K2018" t="s">
        <v>35</v>
      </c>
      <c r="L2018" t="s">
        <v>175</v>
      </c>
      <c r="M2018" t="s">
        <v>69</v>
      </c>
      <c r="N2018">
        <v>0</v>
      </c>
      <c r="O2018">
        <v>0</v>
      </c>
      <c r="P2018">
        <v>0</v>
      </c>
      <c r="Q2018">
        <v>97</v>
      </c>
      <c r="R2018">
        <v>0</v>
      </c>
      <c r="S2018" t="str">
        <f t="shared" si="155"/>
        <v>PZ: Alta Crit.</v>
      </c>
      <c r="T2018">
        <f t="shared" si="156"/>
        <v>0</v>
      </c>
      <c r="U2018">
        <f t="shared" si="157"/>
        <v>0</v>
      </c>
      <c r="V2018">
        <f t="shared" si="158"/>
        <v>0</v>
      </c>
      <c r="W2018">
        <f t="shared" si="159"/>
        <v>1</v>
      </c>
      <c r="X2018">
        <v>1</v>
      </c>
      <c r="Y2018" s="2">
        <v>45768</v>
      </c>
      <c r="Z2018" s="3" t="s">
        <v>70</v>
      </c>
      <c r="AA2018" t="s">
        <v>39</v>
      </c>
      <c r="AB2018" t="s">
        <v>40</v>
      </c>
      <c r="AC2018" t="s">
        <v>40</v>
      </c>
      <c r="AD2018" t="s">
        <v>387</v>
      </c>
    </row>
    <row r="2019" spans="2:30">
      <c r="B2019">
        <v>0</v>
      </c>
      <c r="C2019">
        <v>1020</v>
      </c>
      <c r="D2019" t="s">
        <v>384</v>
      </c>
      <c r="E2019">
        <v>10044286</v>
      </c>
      <c r="F2019" t="s">
        <v>2110</v>
      </c>
      <c r="G2019" t="s">
        <v>43</v>
      </c>
      <c r="H2019" t="s">
        <v>32</v>
      </c>
      <c r="I2019" t="s">
        <v>386</v>
      </c>
      <c r="J2019" t="s">
        <v>45</v>
      </c>
      <c r="K2019" t="s">
        <v>252</v>
      </c>
      <c r="L2019" t="s">
        <v>175</v>
      </c>
      <c r="M2019" t="s">
        <v>46</v>
      </c>
      <c r="N2019">
        <v>0</v>
      </c>
      <c r="O2019">
        <v>0</v>
      </c>
      <c r="P2019">
        <v>0</v>
      </c>
      <c r="Q2019">
        <v>40</v>
      </c>
      <c r="R2019">
        <v>0</v>
      </c>
      <c r="S2019" t="str">
        <f t="shared" si="155"/>
        <v>PY: Media Crit.</v>
      </c>
      <c r="T2019">
        <f t="shared" si="156"/>
        <v>0</v>
      </c>
      <c r="U2019">
        <f t="shared" si="157"/>
        <v>0</v>
      </c>
      <c r="V2019">
        <f t="shared" si="158"/>
        <v>0</v>
      </c>
      <c r="W2019">
        <f t="shared" si="159"/>
        <v>1</v>
      </c>
      <c r="X2019">
        <v>1</v>
      </c>
      <c r="Y2019" s="2">
        <v>45768</v>
      </c>
      <c r="Z2019" s="3" t="s">
        <v>47</v>
      </c>
      <c r="AA2019" t="s">
        <v>39</v>
      </c>
      <c r="AB2019" t="s">
        <v>40</v>
      </c>
      <c r="AC2019" t="s">
        <v>40</v>
      </c>
      <c r="AD2019" t="s">
        <v>387</v>
      </c>
    </row>
    <row r="2020" spans="2:30">
      <c r="B2020">
        <v>0</v>
      </c>
      <c r="C2020">
        <v>1020</v>
      </c>
      <c r="D2020" t="s">
        <v>181</v>
      </c>
      <c r="E2020">
        <v>10044304</v>
      </c>
      <c r="F2020" t="s">
        <v>2111</v>
      </c>
      <c r="G2020" t="s">
        <v>43</v>
      </c>
      <c r="H2020" t="s">
        <v>32</v>
      </c>
      <c r="I2020" t="s">
        <v>183</v>
      </c>
      <c r="J2020" t="s">
        <v>45</v>
      </c>
      <c r="K2020" t="s">
        <v>252</v>
      </c>
      <c r="L2020" t="s">
        <v>36</v>
      </c>
      <c r="M2020" t="s">
        <v>46</v>
      </c>
      <c r="N2020">
        <v>20</v>
      </c>
      <c r="O2020">
        <v>11</v>
      </c>
      <c r="P2020">
        <v>2</v>
      </c>
      <c r="Q2020">
        <v>20</v>
      </c>
      <c r="R2020" s="4">
        <v>1201.77</v>
      </c>
      <c r="S2020" t="str">
        <f t="shared" si="155"/>
        <v>PY: Media Crit.</v>
      </c>
      <c r="T2020">
        <f t="shared" si="156"/>
        <v>0</v>
      </c>
      <c r="U2020">
        <f t="shared" si="157"/>
        <v>0</v>
      </c>
      <c r="V2020">
        <f t="shared" si="158"/>
        <v>1</v>
      </c>
      <c r="W2020">
        <f t="shared" si="159"/>
        <v>0</v>
      </c>
      <c r="X2020">
        <v>1</v>
      </c>
      <c r="Y2020" s="2">
        <v>45768</v>
      </c>
      <c r="Z2020" s="3" t="s">
        <v>47</v>
      </c>
      <c r="AA2020" t="s">
        <v>39</v>
      </c>
      <c r="AB2020" t="s">
        <v>40</v>
      </c>
      <c r="AC2020" t="s">
        <v>40</v>
      </c>
      <c r="AD2020" t="s">
        <v>184</v>
      </c>
    </row>
    <row r="2021" spans="2:30">
      <c r="B2021">
        <v>0</v>
      </c>
      <c r="C2021">
        <v>1020</v>
      </c>
      <c r="D2021" t="s">
        <v>181</v>
      </c>
      <c r="E2021">
        <v>10044330</v>
      </c>
      <c r="F2021" t="s">
        <v>2112</v>
      </c>
      <c r="G2021" t="s">
        <v>43</v>
      </c>
      <c r="H2021" t="s">
        <v>32</v>
      </c>
      <c r="I2021" t="s">
        <v>183</v>
      </c>
      <c r="J2021" t="s">
        <v>45</v>
      </c>
      <c r="K2021" t="s">
        <v>35</v>
      </c>
      <c r="L2021" t="s">
        <v>36</v>
      </c>
      <c r="M2021" t="s">
        <v>46</v>
      </c>
      <c r="N2021">
        <v>4</v>
      </c>
      <c r="O2021">
        <v>3</v>
      </c>
      <c r="P2021">
        <v>1</v>
      </c>
      <c r="Q2021">
        <v>4</v>
      </c>
      <c r="R2021">
        <v>0</v>
      </c>
      <c r="S2021" t="str">
        <f t="shared" si="155"/>
        <v>PY: Media Crit.</v>
      </c>
      <c r="T2021">
        <f t="shared" si="156"/>
        <v>0</v>
      </c>
      <c r="U2021">
        <f t="shared" si="157"/>
        <v>0</v>
      </c>
      <c r="V2021">
        <f t="shared" si="158"/>
        <v>1</v>
      </c>
      <c r="W2021">
        <f t="shared" si="159"/>
        <v>0</v>
      </c>
      <c r="X2021">
        <v>1</v>
      </c>
      <c r="Y2021" s="2">
        <v>45768</v>
      </c>
      <c r="Z2021" s="3" t="s">
        <v>47</v>
      </c>
      <c r="AA2021" t="s">
        <v>39</v>
      </c>
      <c r="AB2021" t="s">
        <v>40</v>
      </c>
      <c r="AC2021" t="s">
        <v>40</v>
      </c>
      <c r="AD2021" t="s">
        <v>184</v>
      </c>
    </row>
    <row r="2022" spans="2:30">
      <c r="B2022">
        <v>0</v>
      </c>
      <c r="C2022">
        <v>1020</v>
      </c>
      <c r="D2022" t="s">
        <v>384</v>
      </c>
      <c r="E2022">
        <v>10044335</v>
      </c>
      <c r="F2022" t="s">
        <v>2113</v>
      </c>
      <c r="G2022" t="s">
        <v>43</v>
      </c>
      <c r="H2022" t="s">
        <v>32</v>
      </c>
      <c r="I2022" t="s">
        <v>386</v>
      </c>
      <c r="J2022" t="s">
        <v>45</v>
      </c>
      <c r="K2022" t="s">
        <v>35</v>
      </c>
      <c r="L2022" t="s">
        <v>175</v>
      </c>
      <c r="M2022" t="s">
        <v>46</v>
      </c>
      <c r="N2022">
        <v>0</v>
      </c>
      <c r="O2022">
        <v>0</v>
      </c>
      <c r="P2022">
        <v>0</v>
      </c>
      <c r="Q2022">
        <v>1</v>
      </c>
      <c r="R2022">
        <v>0</v>
      </c>
      <c r="S2022" t="str">
        <f t="shared" si="155"/>
        <v>PY: Media Crit.</v>
      </c>
      <c r="T2022">
        <f t="shared" si="156"/>
        <v>0</v>
      </c>
      <c r="U2022">
        <f t="shared" si="157"/>
        <v>0</v>
      </c>
      <c r="V2022">
        <f t="shared" si="158"/>
        <v>0</v>
      </c>
      <c r="W2022">
        <f t="shared" si="159"/>
        <v>1</v>
      </c>
      <c r="X2022">
        <v>1</v>
      </c>
      <c r="Y2022" s="2">
        <v>45768</v>
      </c>
      <c r="Z2022" s="3" t="s">
        <v>47</v>
      </c>
      <c r="AA2022" t="s">
        <v>39</v>
      </c>
      <c r="AB2022" t="s">
        <v>40</v>
      </c>
      <c r="AC2022" t="s">
        <v>40</v>
      </c>
      <c r="AD2022" t="s">
        <v>387</v>
      </c>
    </row>
    <row r="2023" spans="2:30">
      <c r="B2023">
        <v>0</v>
      </c>
      <c r="C2023">
        <v>1020</v>
      </c>
      <c r="D2023" t="s">
        <v>693</v>
      </c>
      <c r="E2023">
        <v>10044399</v>
      </c>
      <c r="F2023" t="s">
        <v>2114</v>
      </c>
      <c r="G2023" t="s">
        <v>43</v>
      </c>
      <c r="H2023" t="s">
        <v>60</v>
      </c>
      <c r="I2023" t="s">
        <v>695</v>
      </c>
      <c r="J2023" t="s">
        <v>45</v>
      </c>
      <c r="K2023" t="s">
        <v>35</v>
      </c>
      <c r="L2023" t="s">
        <v>175</v>
      </c>
      <c r="M2023" t="s">
        <v>46</v>
      </c>
      <c r="N2023">
        <v>0</v>
      </c>
      <c r="O2023">
        <v>0</v>
      </c>
      <c r="P2023">
        <v>0</v>
      </c>
      <c r="Q2023">
        <v>2</v>
      </c>
      <c r="R2023">
        <v>0</v>
      </c>
      <c r="S2023" t="str">
        <f t="shared" si="155"/>
        <v>PY: Media Crit.</v>
      </c>
      <c r="T2023">
        <f t="shared" si="156"/>
        <v>0</v>
      </c>
      <c r="U2023">
        <f t="shared" si="157"/>
        <v>0</v>
      </c>
      <c r="V2023">
        <f t="shared" si="158"/>
        <v>0</v>
      </c>
      <c r="W2023">
        <f t="shared" si="159"/>
        <v>1</v>
      </c>
      <c r="X2023">
        <v>1</v>
      </c>
      <c r="Y2023" s="2">
        <v>45768</v>
      </c>
      <c r="Z2023" s="3" t="s">
        <v>47</v>
      </c>
      <c r="AA2023" t="s">
        <v>39</v>
      </c>
      <c r="AB2023" t="s">
        <v>40</v>
      </c>
      <c r="AC2023" t="s">
        <v>40</v>
      </c>
      <c r="AD2023" t="s">
        <v>696</v>
      </c>
    </row>
    <row r="2024" spans="2:30">
      <c r="B2024">
        <v>0</v>
      </c>
      <c r="C2024">
        <v>1020</v>
      </c>
      <c r="D2024" t="s">
        <v>181</v>
      </c>
      <c r="E2024">
        <v>10044405</v>
      </c>
      <c r="F2024" t="s">
        <v>2115</v>
      </c>
      <c r="G2024" t="s">
        <v>52</v>
      </c>
      <c r="H2024" t="s">
        <v>32</v>
      </c>
      <c r="I2024" t="s">
        <v>183</v>
      </c>
      <c r="J2024" t="s">
        <v>45</v>
      </c>
      <c r="K2024" t="s">
        <v>35</v>
      </c>
      <c r="L2024" t="s">
        <v>36</v>
      </c>
      <c r="M2024" t="s">
        <v>46</v>
      </c>
      <c r="N2024">
        <v>2</v>
      </c>
      <c r="O2024">
        <v>2</v>
      </c>
      <c r="P2024">
        <v>1</v>
      </c>
      <c r="Q2024">
        <v>2</v>
      </c>
      <c r="R2024">
        <v>0</v>
      </c>
      <c r="S2024" t="str">
        <f t="shared" si="155"/>
        <v>PZ: Alta Crit.</v>
      </c>
      <c r="T2024">
        <f t="shared" si="156"/>
        <v>0</v>
      </c>
      <c r="U2024">
        <f t="shared" si="157"/>
        <v>0</v>
      </c>
      <c r="V2024">
        <f t="shared" si="158"/>
        <v>1</v>
      </c>
      <c r="W2024">
        <f t="shared" si="159"/>
        <v>0</v>
      </c>
      <c r="X2024">
        <v>1</v>
      </c>
      <c r="Y2024" s="2">
        <v>45768</v>
      </c>
      <c r="Z2024" s="3" t="s">
        <v>47</v>
      </c>
      <c r="AA2024" t="s">
        <v>39</v>
      </c>
      <c r="AB2024" t="s">
        <v>40</v>
      </c>
      <c r="AC2024" t="s">
        <v>40</v>
      </c>
      <c r="AD2024" t="s">
        <v>184</v>
      </c>
    </row>
    <row r="2025" spans="2:30">
      <c r="B2025">
        <v>0</v>
      </c>
      <c r="C2025">
        <v>1020</v>
      </c>
      <c r="D2025" t="s">
        <v>181</v>
      </c>
      <c r="E2025">
        <v>10044414</v>
      </c>
      <c r="F2025" t="s">
        <v>2116</v>
      </c>
      <c r="G2025" t="s">
        <v>43</v>
      </c>
      <c r="H2025" t="s">
        <v>32</v>
      </c>
      <c r="I2025" t="s">
        <v>183</v>
      </c>
      <c r="J2025" t="s">
        <v>45</v>
      </c>
      <c r="K2025" t="s">
        <v>35</v>
      </c>
      <c r="L2025" t="s">
        <v>36</v>
      </c>
      <c r="M2025" t="s">
        <v>46</v>
      </c>
      <c r="N2025">
        <v>6</v>
      </c>
      <c r="O2025">
        <v>3</v>
      </c>
      <c r="P2025">
        <v>1</v>
      </c>
      <c r="Q2025">
        <v>6</v>
      </c>
      <c r="R2025" s="4">
        <v>1800.25</v>
      </c>
      <c r="S2025" t="str">
        <f t="shared" si="155"/>
        <v>PY: Media Crit.</v>
      </c>
      <c r="T2025">
        <f t="shared" si="156"/>
        <v>0</v>
      </c>
      <c r="U2025">
        <f t="shared" si="157"/>
        <v>0</v>
      </c>
      <c r="V2025">
        <f t="shared" si="158"/>
        <v>1</v>
      </c>
      <c r="W2025">
        <f t="shared" si="159"/>
        <v>0</v>
      </c>
      <c r="X2025">
        <v>1</v>
      </c>
      <c r="Y2025" s="2">
        <v>45768</v>
      </c>
      <c r="Z2025" s="3" t="s">
        <v>47</v>
      </c>
      <c r="AA2025" t="s">
        <v>39</v>
      </c>
      <c r="AB2025" t="s">
        <v>40</v>
      </c>
      <c r="AC2025" t="s">
        <v>40</v>
      </c>
      <c r="AD2025" t="s">
        <v>184</v>
      </c>
    </row>
    <row r="2026" spans="2:30">
      <c r="B2026">
        <v>0</v>
      </c>
      <c r="C2026">
        <v>1020</v>
      </c>
      <c r="D2026" t="s">
        <v>384</v>
      </c>
      <c r="E2026">
        <v>10044421</v>
      </c>
      <c r="F2026" t="s">
        <v>2117</v>
      </c>
      <c r="G2026" t="s">
        <v>43</v>
      </c>
      <c r="H2026" t="s">
        <v>32</v>
      </c>
      <c r="I2026" t="s">
        <v>386</v>
      </c>
      <c r="J2026" t="s">
        <v>45</v>
      </c>
      <c r="K2026" t="s">
        <v>35</v>
      </c>
      <c r="L2026" t="s">
        <v>175</v>
      </c>
      <c r="M2026" t="s">
        <v>46</v>
      </c>
      <c r="N2026">
        <v>0</v>
      </c>
      <c r="O2026">
        <v>0</v>
      </c>
      <c r="P2026">
        <v>0</v>
      </c>
      <c r="Q2026">
        <v>4</v>
      </c>
      <c r="R2026">
        <v>0</v>
      </c>
      <c r="S2026" t="str">
        <f t="shared" si="155"/>
        <v>PY: Media Crit.</v>
      </c>
      <c r="T2026">
        <f t="shared" si="156"/>
        <v>0</v>
      </c>
      <c r="U2026">
        <f t="shared" si="157"/>
        <v>0</v>
      </c>
      <c r="V2026">
        <f t="shared" si="158"/>
        <v>0</v>
      </c>
      <c r="W2026">
        <f t="shared" si="159"/>
        <v>1</v>
      </c>
      <c r="X2026">
        <v>1</v>
      </c>
      <c r="Y2026" s="2">
        <v>45768</v>
      </c>
      <c r="Z2026" s="3" t="s">
        <v>47</v>
      </c>
      <c r="AA2026" t="s">
        <v>39</v>
      </c>
      <c r="AB2026" t="s">
        <v>40</v>
      </c>
      <c r="AC2026" t="s">
        <v>40</v>
      </c>
      <c r="AD2026" t="s">
        <v>387</v>
      </c>
    </row>
    <row r="2027" spans="2:30">
      <c r="B2027">
        <v>0</v>
      </c>
      <c r="C2027">
        <v>1020</v>
      </c>
      <c r="D2027" t="s">
        <v>181</v>
      </c>
      <c r="E2027">
        <v>10044430</v>
      </c>
      <c r="F2027" t="s">
        <v>2118</v>
      </c>
      <c r="G2027" t="s">
        <v>43</v>
      </c>
      <c r="H2027" t="s">
        <v>32</v>
      </c>
      <c r="I2027" t="s">
        <v>183</v>
      </c>
      <c r="J2027" t="s">
        <v>45</v>
      </c>
      <c r="K2027" t="s">
        <v>35</v>
      </c>
      <c r="L2027" t="s">
        <v>36</v>
      </c>
      <c r="M2027" t="s">
        <v>46</v>
      </c>
      <c r="N2027">
        <v>10</v>
      </c>
      <c r="O2027">
        <v>6</v>
      </c>
      <c r="P2027">
        <v>1</v>
      </c>
      <c r="Q2027">
        <v>10</v>
      </c>
      <c r="R2027">
        <v>0</v>
      </c>
      <c r="S2027" t="str">
        <f t="shared" si="155"/>
        <v>PY: Media Crit.</v>
      </c>
      <c r="T2027">
        <f t="shared" si="156"/>
        <v>0</v>
      </c>
      <c r="U2027">
        <f t="shared" si="157"/>
        <v>0</v>
      </c>
      <c r="V2027">
        <f t="shared" si="158"/>
        <v>1</v>
      </c>
      <c r="W2027">
        <f t="shared" si="159"/>
        <v>0</v>
      </c>
      <c r="X2027">
        <v>1</v>
      </c>
      <c r="Y2027" s="2">
        <v>45768</v>
      </c>
      <c r="Z2027" s="3" t="s">
        <v>47</v>
      </c>
      <c r="AA2027" t="s">
        <v>39</v>
      </c>
      <c r="AB2027" t="s">
        <v>40</v>
      </c>
      <c r="AC2027" t="s">
        <v>40</v>
      </c>
      <c r="AD2027" t="s">
        <v>184</v>
      </c>
    </row>
    <row r="2028" spans="2:30">
      <c r="B2028">
        <v>0</v>
      </c>
      <c r="C2028">
        <v>1020</v>
      </c>
      <c r="D2028" t="s">
        <v>384</v>
      </c>
      <c r="E2028">
        <v>10044436</v>
      </c>
      <c r="F2028" t="s">
        <v>2119</v>
      </c>
      <c r="G2028" t="s">
        <v>52</v>
      </c>
      <c r="H2028" t="s">
        <v>32</v>
      </c>
      <c r="I2028" t="s">
        <v>386</v>
      </c>
      <c r="J2028" t="s">
        <v>45</v>
      </c>
      <c r="K2028" t="s">
        <v>35</v>
      </c>
      <c r="L2028" t="s">
        <v>175</v>
      </c>
      <c r="M2028" t="s">
        <v>46</v>
      </c>
      <c r="N2028">
        <v>0</v>
      </c>
      <c r="O2028">
        <v>0</v>
      </c>
      <c r="P2028">
        <v>0</v>
      </c>
      <c r="Q2028">
        <v>5</v>
      </c>
      <c r="R2028">
        <v>0</v>
      </c>
      <c r="S2028" t="str">
        <f t="shared" si="155"/>
        <v>PZ: Alta Crit.</v>
      </c>
      <c r="T2028">
        <f t="shared" si="156"/>
        <v>0</v>
      </c>
      <c r="U2028">
        <f t="shared" si="157"/>
        <v>0</v>
      </c>
      <c r="V2028">
        <f t="shared" si="158"/>
        <v>0</v>
      </c>
      <c r="W2028">
        <f t="shared" si="159"/>
        <v>1</v>
      </c>
      <c r="X2028">
        <v>1</v>
      </c>
      <c r="Y2028" s="2">
        <v>45768</v>
      </c>
      <c r="Z2028" s="3" t="s">
        <v>47</v>
      </c>
      <c r="AA2028" t="s">
        <v>39</v>
      </c>
      <c r="AB2028" t="s">
        <v>40</v>
      </c>
      <c r="AC2028" t="s">
        <v>40</v>
      </c>
      <c r="AD2028" t="s">
        <v>387</v>
      </c>
    </row>
    <row r="2029" spans="2:30">
      <c r="B2029">
        <v>0</v>
      </c>
      <c r="C2029">
        <v>1020</v>
      </c>
      <c r="D2029" t="s">
        <v>181</v>
      </c>
      <c r="E2029">
        <v>10044438</v>
      </c>
      <c r="F2029" t="s">
        <v>2120</v>
      </c>
      <c r="G2029" t="s">
        <v>31</v>
      </c>
      <c r="H2029" t="s">
        <v>60</v>
      </c>
      <c r="I2029" t="s">
        <v>183</v>
      </c>
      <c r="J2029" t="s">
        <v>45</v>
      </c>
      <c r="K2029" t="s">
        <v>35</v>
      </c>
      <c r="L2029" t="s">
        <v>36</v>
      </c>
      <c r="M2029" t="s">
        <v>46</v>
      </c>
      <c r="N2029">
        <v>2</v>
      </c>
      <c r="O2029">
        <v>1</v>
      </c>
      <c r="P2029">
        <v>0</v>
      </c>
      <c r="Q2029">
        <v>2</v>
      </c>
      <c r="R2029">
        <v>0</v>
      </c>
      <c r="S2029" t="str">
        <f t="shared" si="155"/>
        <v>PX: Baja Crit.</v>
      </c>
      <c r="T2029">
        <f t="shared" si="156"/>
        <v>0</v>
      </c>
      <c r="U2029">
        <f t="shared" si="157"/>
        <v>0</v>
      </c>
      <c r="V2029">
        <f t="shared" si="158"/>
        <v>1</v>
      </c>
      <c r="W2029">
        <f t="shared" si="159"/>
        <v>0</v>
      </c>
      <c r="X2029">
        <v>1</v>
      </c>
      <c r="Y2029" s="2">
        <v>45768</v>
      </c>
      <c r="Z2029" s="3" t="s">
        <v>47</v>
      </c>
      <c r="AA2029" t="s">
        <v>39</v>
      </c>
      <c r="AB2029" t="s">
        <v>40</v>
      </c>
      <c r="AC2029" t="s">
        <v>40</v>
      </c>
      <c r="AD2029" t="s">
        <v>184</v>
      </c>
    </row>
    <row r="2030" spans="2:30">
      <c r="B2030">
        <v>0</v>
      </c>
      <c r="C2030">
        <v>1020</v>
      </c>
      <c r="D2030" t="s">
        <v>181</v>
      </c>
      <c r="E2030">
        <v>10044439</v>
      </c>
      <c r="F2030" t="s">
        <v>2121</v>
      </c>
      <c r="G2030" t="s">
        <v>43</v>
      </c>
      <c r="H2030" t="s">
        <v>60</v>
      </c>
      <c r="I2030" t="s">
        <v>183</v>
      </c>
      <c r="J2030" t="s">
        <v>45</v>
      </c>
      <c r="K2030" t="s">
        <v>35</v>
      </c>
      <c r="L2030" t="s">
        <v>36</v>
      </c>
      <c r="M2030" t="s">
        <v>46</v>
      </c>
      <c r="N2030">
        <v>1</v>
      </c>
      <c r="O2030">
        <v>1</v>
      </c>
      <c r="P2030">
        <v>0</v>
      </c>
      <c r="Q2030">
        <v>1</v>
      </c>
      <c r="R2030">
        <v>0</v>
      </c>
      <c r="S2030" t="str">
        <f t="shared" si="155"/>
        <v>PY: Media Crit.</v>
      </c>
      <c r="T2030">
        <f t="shared" si="156"/>
        <v>0</v>
      </c>
      <c r="U2030">
        <f t="shared" si="157"/>
        <v>0</v>
      </c>
      <c r="V2030">
        <f t="shared" si="158"/>
        <v>1</v>
      </c>
      <c r="W2030">
        <f t="shared" si="159"/>
        <v>0</v>
      </c>
      <c r="X2030">
        <v>1</v>
      </c>
      <c r="Y2030" s="2">
        <v>45768</v>
      </c>
      <c r="Z2030" s="3" t="s">
        <v>47</v>
      </c>
      <c r="AA2030" t="s">
        <v>39</v>
      </c>
      <c r="AB2030" t="s">
        <v>40</v>
      </c>
      <c r="AC2030" t="s">
        <v>40</v>
      </c>
      <c r="AD2030" t="s">
        <v>184</v>
      </c>
    </row>
    <row r="2031" spans="2:30">
      <c r="B2031">
        <v>0</v>
      </c>
      <c r="C2031">
        <v>1020</v>
      </c>
      <c r="D2031" t="s">
        <v>388</v>
      </c>
      <c r="E2031">
        <v>10044603</v>
      </c>
      <c r="F2031" t="s">
        <v>2122</v>
      </c>
      <c r="G2031" t="s">
        <v>52</v>
      </c>
      <c r="H2031" t="s">
        <v>32</v>
      </c>
      <c r="I2031" t="s">
        <v>390</v>
      </c>
      <c r="J2031" t="s">
        <v>45</v>
      </c>
      <c r="K2031" t="s">
        <v>35</v>
      </c>
      <c r="L2031" t="s">
        <v>175</v>
      </c>
      <c r="M2031" t="s">
        <v>69</v>
      </c>
      <c r="N2031">
        <v>0</v>
      </c>
      <c r="O2031">
        <v>0</v>
      </c>
      <c r="P2031">
        <v>1</v>
      </c>
      <c r="Q2031">
        <v>1</v>
      </c>
      <c r="R2031">
        <v>0</v>
      </c>
      <c r="S2031" t="str">
        <f t="shared" si="155"/>
        <v>PZ: Alta Crit.</v>
      </c>
      <c r="T2031">
        <f t="shared" si="156"/>
        <v>0</v>
      </c>
      <c r="U2031">
        <f t="shared" si="157"/>
        <v>1</v>
      </c>
      <c r="V2031">
        <f t="shared" si="158"/>
        <v>0</v>
      </c>
      <c r="W2031">
        <f t="shared" si="159"/>
        <v>1</v>
      </c>
      <c r="X2031">
        <v>1</v>
      </c>
      <c r="Y2031" s="2">
        <v>45768</v>
      </c>
      <c r="Z2031" s="3" t="s">
        <v>70</v>
      </c>
      <c r="AA2031" t="s">
        <v>39</v>
      </c>
      <c r="AB2031" t="s">
        <v>40</v>
      </c>
      <c r="AC2031" t="s">
        <v>40</v>
      </c>
      <c r="AD2031" t="s">
        <v>391</v>
      </c>
    </row>
    <row r="2032" spans="2:30">
      <c r="B2032">
        <v>0</v>
      </c>
      <c r="C2032">
        <v>1020</v>
      </c>
      <c r="D2032" t="s">
        <v>384</v>
      </c>
      <c r="E2032">
        <v>10044611</v>
      </c>
      <c r="F2032" t="s">
        <v>2123</v>
      </c>
      <c r="G2032" t="s">
        <v>52</v>
      </c>
      <c r="H2032" t="s">
        <v>32</v>
      </c>
      <c r="I2032" t="s">
        <v>386</v>
      </c>
      <c r="J2032" t="s">
        <v>45</v>
      </c>
      <c r="K2032" t="s">
        <v>35</v>
      </c>
      <c r="L2032" t="s">
        <v>175</v>
      </c>
      <c r="M2032" t="s">
        <v>69</v>
      </c>
      <c r="N2032">
        <v>0</v>
      </c>
      <c r="O2032">
        <v>0</v>
      </c>
      <c r="P2032">
        <v>0</v>
      </c>
      <c r="Q2032">
        <v>1</v>
      </c>
      <c r="R2032">
        <v>0</v>
      </c>
      <c r="S2032" t="str">
        <f t="shared" si="155"/>
        <v>PZ: Alta Crit.</v>
      </c>
      <c r="T2032">
        <f t="shared" si="156"/>
        <v>0</v>
      </c>
      <c r="U2032">
        <f t="shared" si="157"/>
        <v>0</v>
      </c>
      <c r="V2032">
        <f t="shared" si="158"/>
        <v>0</v>
      </c>
      <c r="W2032">
        <f t="shared" si="159"/>
        <v>1</v>
      </c>
      <c r="X2032">
        <v>1</v>
      </c>
      <c r="Y2032" s="2">
        <v>45768</v>
      </c>
      <c r="Z2032" s="3" t="s">
        <v>70</v>
      </c>
      <c r="AA2032" t="s">
        <v>39</v>
      </c>
      <c r="AB2032" t="s">
        <v>40</v>
      </c>
      <c r="AC2032" t="s">
        <v>40</v>
      </c>
      <c r="AD2032" t="s">
        <v>387</v>
      </c>
    </row>
    <row r="2033" spans="2:30">
      <c r="B2033">
        <v>0</v>
      </c>
      <c r="C2033">
        <v>1020</v>
      </c>
      <c r="D2033" t="s">
        <v>388</v>
      </c>
      <c r="E2033">
        <v>10044613</v>
      </c>
      <c r="F2033" t="s">
        <v>2124</v>
      </c>
      <c r="G2033" t="s">
        <v>52</v>
      </c>
      <c r="H2033" t="s">
        <v>32</v>
      </c>
      <c r="I2033" t="s">
        <v>390</v>
      </c>
      <c r="J2033" t="s">
        <v>45</v>
      </c>
      <c r="K2033" t="s">
        <v>35</v>
      </c>
      <c r="L2033" t="s">
        <v>175</v>
      </c>
      <c r="M2033" t="s">
        <v>69</v>
      </c>
      <c r="N2033">
        <v>0</v>
      </c>
      <c r="O2033">
        <v>0</v>
      </c>
      <c r="P2033">
        <v>2</v>
      </c>
      <c r="Q2033">
        <v>2</v>
      </c>
      <c r="R2033">
        <v>0</v>
      </c>
      <c r="S2033" t="str">
        <f t="shared" si="155"/>
        <v>PZ: Alta Crit.</v>
      </c>
      <c r="T2033">
        <f t="shared" si="156"/>
        <v>0</v>
      </c>
      <c r="U2033">
        <f t="shared" si="157"/>
        <v>1</v>
      </c>
      <c r="V2033">
        <f t="shared" si="158"/>
        <v>0</v>
      </c>
      <c r="W2033">
        <f t="shared" si="159"/>
        <v>1</v>
      </c>
      <c r="X2033">
        <v>1</v>
      </c>
      <c r="Y2033" s="2">
        <v>45768</v>
      </c>
      <c r="Z2033" s="3" t="s">
        <v>70</v>
      </c>
      <c r="AA2033" t="s">
        <v>39</v>
      </c>
      <c r="AB2033" t="s">
        <v>40</v>
      </c>
      <c r="AC2033" t="s">
        <v>40</v>
      </c>
      <c r="AD2033" t="s">
        <v>391</v>
      </c>
    </row>
    <row r="2034" spans="2:30">
      <c r="B2034">
        <v>0</v>
      </c>
      <c r="C2034">
        <v>1020</v>
      </c>
      <c r="D2034" t="s">
        <v>388</v>
      </c>
      <c r="E2034">
        <v>10044615</v>
      </c>
      <c r="F2034" t="s">
        <v>2125</v>
      </c>
      <c r="G2034" t="s">
        <v>52</v>
      </c>
      <c r="H2034" t="s">
        <v>32</v>
      </c>
      <c r="I2034" t="s">
        <v>390</v>
      </c>
      <c r="J2034" t="s">
        <v>45</v>
      </c>
      <c r="K2034" t="s">
        <v>35</v>
      </c>
      <c r="L2034" t="s">
        <v>175</v>
      </c>
      <c r="M2034" t="s">
        <v>69</v>
      </c>
      <c r="N2034">
        <v>0</v>
      </c>
      <c r="O2034">
        <v>0</v>
      </c>
      <c r="P2034">
        <v>1</v>
      </c>
      <c r="Q2034">
        <v>1</v>
      </c>
      <c r="R2034" s="4">
        <v>1885.37</v>
      </c>
      <c r="S2034" t="str">
        <f t="shared" si="155"/>
        <v>PZ: Alta Crit.</v>
      </c>
      <c r="T2034">
        <f t="shared" si="156"/>
        <v>0</v>
      </c>
      <c r="U2034">
        <f t="shared" si="157"/>
        <v>1</v>
      </c>
      <c r="V2034">
        <f t="shared" si="158"/>
        <v>0</v>
      </c>
      <c r="W2034">
        <f t="shared" si="159"/>
        <v>1</v>
      </c>
      <c r="X2034">
        <v>1</v>
      </c>
      <c r="Y2034" s="2">
        <v>45768</v>
      </c>
      <c r="Z2034" s="3" t="s">
        <v>70</v>
      </c>
      <c r="AA2034" t="s">
        <v>39</v>
      </c>
      <c r="AB2034" t="s">
        <v>40</v>
      </c>
      <c r="AC2034" t="s">
        <v>40</v>
      </c>
      <c r="AD2034" t="s">
        <v>391</v>
      </c>
    </row>
    <row r="2035" spans="2:30">
      <c r="B2035">
        <v>0</v>
      </c>
      <c r="C2035">
        <v>1020</v>
      </c>
      <c r="D2035" t="s">
        <v>388</v>
      </c>
      <c r="E2035">
        <v>10044618</v>
      </c>
      <c r="F2035" t="s">
        <v>2126</v>
      </c>
      <c r="G2035" t="s">
        <v>52</v>
      </c>
      <c r="H2035" t="s">
        <v>32</v>
      </c>
      <c r="I2035" t="s">
        <v>390</v>
      </c>
      <c r="J2035" t="s">
        <v>45</v>
      </c>
      <c r="K2035" t="s">
        <v>35</v>
      </c>
      <c r="L2035" t="s">
        <v>175</v>
      </c>
      <c r="M2035" t="s">
        <v>69</v>
      </c>
      <c r="N2035">
        <v>0</v>
      </c>
      <c r="O2035">
        <v>0</v>
      </c>
      <c r="P2035">
        <v>1</v>
      </c>
      <c r="Q2035">
        <v>1</v>
      </c>
      <c r="R2035">
        <v>0</v>
      </c>
      <c r="S2035" t="str">
        <f t="shared" si="155"/>
        <v>PZ: Alta Crit.</v>
      </c>
      <c r="T2035">
        <f t="shared" si="156"/>
        <v>0</v>
      </c>
      <c r="U2035">
        <f t="shared" si="157"/>
        <v>1</v>
      </c>
      <c r="V2035">
        <f t="shared" si="158"/>
        <v>0</v>
      </c>
      <c r="W2035">
        <f t="shared" si="159"/>
        <v>1</v>
      </c>
      <c r="X2035">
        <v>1</v>
      </c>
      <c r="Y2035" s="2">
        <v>45768</v>
      </c>
      <c r="Z2035" s="3" t="s">
        <v>70</v>
      </c>
      <c r="AA2035" t="s">
        <v>39</v>
      </c>
      <c r="AB2035" t="s">
        <v>40</v>
      </c>
      <c r="AC2035" t="s">
        <v>40</v>
      </c>
      <c r="AD2035" t="s">
        <v>391</v>
      </c>
    </row>
    <row r="2036" spans="2:30">
      <c r="B2036">
        <v>0</v>
      </c>
      <c r="C2036">
        <v>1020</v>
      </c>
      <c r="D2036" t="s">
        <v>388</v>
      </c>
      <c r="E2036">
        <v>10044621</v>
      </c>
      <c r="F2036" t="s">
        <v>2127</v>
      </c>
      <c r="G2036" t="s">
        <v>52</v>
      </c>
      <c r="H2036" t="s">
        <v>32</v>
      </c>
      <c r="I2036" t="s">
        <v>390</v>
      </c>
      <c r="J2036" t="s">
        <v>45</v>
      </c>
      <c r="K2036" t="s">
        <v>35</v>
      </c>
      <c r="L2036" t="s">
        <v>175</v>
      </c>
      <c r="M2036" t="s">
        <v>69</v>
      </c>
      <c r="N2036">
        <v>0</v>
      </c>
      <c r="O2036">
        <v>0</v>
      </c>
      <c r="P2036">
        <v>1</v>
      </c>
      <c r="Q2036">
        <v>1</v>
      </c>
      <c r="R2036">
        <v>0</v>
      </c>
      <c r="S2036" t="str">
        <f t="shared" si="155"/>
        <v>PZ: Alta Crit.</v>
      </c>
      <c r="T2036">
        <f t="shared" si="156"/>
        <v>0</v>
      </c>
      <c r="U2036">
        <f t="shared" si="157"/>
        <v>1</v>
      </c>
      <c r="V2036">
        <f t="shared" si="158"/>
        <v>0</v>
      </c>
      <c r="W2036">
        <f t="shared" si="159"/>
        <v>1</v>
      </c>
      <c r="X2036">
        <v>1</v>
      </c>
      <c r="Y2036" s="2">
        <v>45768</v>
      </c>
      <c r="Z2036" s="3" t="s">
        <v>70</v>
      </c>
      <c r="AA2036" t="s">
        <v>39</v>
      </c>
      <c r="AB2036" t="s">
        <v>40</v>
      </c>
      <c r="AC2036" t="s">
        <v>40</v>
      </c>
      <c r="AD2036" t="s">
        <v>391</v>
      </c>
    </row>
    <row r="2037" spans="2:30">
      <c r="B2037">
        <v>0</v>
      </c>
      <c r="C2037">
        <v>1020</v>
      </c>
      <c r="D2037" t="s">
        <v>384</v>
      </c>
      <c r="E2037">
        <v>10044624</v>
      </c>
      <c r="F2037" t="s">
        <v>2122</v>
      </c>
      <c r="G2037" t="s">
        <v>52</v>
      </c>
      <c r="H2037" t="s">
        <v>32</v>
      </c>
      <c r="I2037" t="s">
        <v>386</v>
      </c>
      <c r="J2037" t="s">
        <v>45</v>
      </c>
      <c r="K2037" t="s">
        <v>35</v>
      </c>
      <c r="L2037" t="s">
        <v>175</v>
      </c>
      <c r="M2037" t="s">
        <v>69</v>
      </c>
      <c r="N2037">
        <v>0</v>
      </c>
      <c r="O2037">
        <v>0</v>
      </c>
      <c r="P2037">
        <v>1</v>
      </c>
      <c r="Q2037">
        <v>1</v>
      </c>
      <c r="R2037">
        <v>0</v>
      </c>
      <c r="S2037" t="str">
        <f t="shared" si="155"/>
        <v>PZ: Alta Crit.</v>
      </c>
      <c r="T2037">
        <f t="shared" si="156"/>
        <v>0</v>
      </c>
      <c r="U2037">
        <f t="shared" si="157"/>
        <v>1</v>
      </c>
      <c r="V2037">
        <f t="shared" si="158"/>
        <v>0</v>
      </c>
      <c r="W2037">
        <f t="shared" si="159"/>
        <v>1</v>
      </c>
      <c r="X2037">
        <v>1</v>
      </c>
      <c r="Y2037" s="2">
        <v>45768</v>
      </c>
      <c r="Z2037" s="3" t="s">
        <v>70</v>
      </c>
      <c r="AA2037" t="s">
        <v>39</v>
      </c>
      <c r="AB2037" t="s">
        <v>40</v>
      </c>
      <c r="AC2037" t="s">
        <v>40</v>
      </c>
      <c r="AD2037" t="s">
        <v>387</v>
      </c>
    </row>
    <row r="2038" spans="2:30">
      <c r="B2038">
        <v>0</v>
      </c>
      <c r="C2038">
        <v>1020</v>
      </c>
      <c r="D2038" t="s">
        <v>388</v>
      </c>
      <c r="E2038">
        <v>10044626</v>
      </c>
      <c r="F2038" t="s">
        <v>2128</v>
      </c>
      <c r="G2038" t="s">
        <v>52</v>
      </c>
      <c r="H2038" t="s">
        <v>32</v>
      </c>
      <c r="I2038" t="s">
        <v>390</v>
      </c>
      <c r="J2038" t="s">
        <v>45</v>
      </c>
      <c r="K2038" t="s">
        <v>35</v>
      </c>
      <c r="L2038" t="s">
        <v>175</v>
      </c>
      <c r="M2038" t="s">
        <v>69</v>
      </c>
      <c r="N2038">
        <v>0</v>
      </c>
      <c r="O2038">
        <v>0</v>
      </c>
      <c r="P2038">
        <v>1</v>
      </c>
      <c r="Q2038">
        <v>1</v>
      </c>
      <c r="R2038">
        <v>0</v>
      </c>
      <c r="S2038" t="str">
        <f t="shared" si="155"/>
        <v>PZ: Alta Crit.</v>
      </c>
      <c r="T2038">
        <f t="shared" si="156"/>
        <v>0</v>
      </c>
      <c r="U2038">
        <f t="shared" si="157"/>
        <v>1</v>
      </c>
      <c r="V2038">
        <f t="shared" si="158"/>
        <v>0</v>
      </c>
      <c r="W2038">
        <f t="shared" si="159"/>
        <v>1</v>
      </c>
      <c r="X2038">
        <v>1</v>
      </c>
      <c r="Y2038" s="2">
        <v>45768</v>
      </c>
      <c r="Z2038" s="3" t="s">
        <v>70</v>
      </c>
      <c r="AA2038" t="s">
        <v>39</v>
      </c>
      <c r="AB2038" t="s">
        <v>40</v>
      </c>
      <c r="AC2038" t="s">
        <v>40</v>
      </c>
      <c r="AD2038" t="s">
        <v>391</v>
      </c>
    </row>
    <row r="2039" spans="2:30">
      <c r="B2039">
        <v>0</v>
      </c>
      <c r="C2039">
        <v>1020</v>
      </c>
      <c r="D2039" t="s">
        <v>388</v>
      </c>
      <c r="E2039">
        <v>10044627</v>
      </c>
      <c r="F2039" t="s">
        <v>2129</v>
      </c>
      <c r="G2039" t="s">
        <v>52</v>
      </c>
      <c r="H2039" t="s">
        <v>32</v>
      </c>
      <c r="I2039" t="s">
        <v>390</v>
      </c>
      <c r="J2039" t="s">
        <v>45</v>
      </c>
      <c r="K2039" t="s">
        <v>35</v>
      </c>
      <c r="L2039" t="s">
        <v>175</v>
      </c>
      <c r="M2039" t="s">
        <v>69</v>
      </c>
      <c r="N2039">
        <v>0</v>
      </c>
      <c r="O2039">
        <v>0</v>
      </c>
      <c r="P2039">
        <v>5</v>
      </c>
      <c r="Q2039">
        <v>5</v>
      </c>
      <c r="R2039">
        <v>0</v>
      </c>
      <c r="S2039" t="str">
        <f t="shared" si="155"/>
        <v>PZ: Alta Crit.</v>
      </c>
      <c r="T2039">
        <f t="shared" si="156"/>
        <v>0</v>
      </c>
      <c r="U2039">
        <f t="shared" si="157"/>
        <v>1</v>
      </c>
      <c r="V2039">
        <f t="shared" si="158"/>
        <v>0</v>
      </c>
      <c r="W2039">
        <f t="shared" si="159"/>
        <v>1</v>
      </c>
      <c r="X2039">
        <v>1</v>
      </c>
      <c r="Y2039" s="2">
        <v>45768</v>
      </c>
      <c r="Z2039" s="3" t="s">
        <v>70</v>
      </c>
      <c r="AA2039" t="s">
        <v>39</v>
      </c>
      <c r="AB2039" t="s">
        <v>40</v>
      </c>
      <c r="AC2039" t="s">
        <v>40</v>
      </c>
      <c r="AD2039" t="s">
        <v>391</v>
      </c>
    </row>
    <row r="2040" spans="2:30">
      <c r="B2040">
        <v>0</v>
      </c>
      <c r="C2040">
        <v>1020</v>
      </c>
      <c r="D2040" t="s">
        <v>388</v>
      </c>
      <c r="E2040">
        <v>10044632</v>
      </c>
      <c r="F2040" t="s">
        <v>2130</v>
      </c>
      <c r="G2040" t="s">
        <v>52</v>
      </c>
      <c r="H2040" t="s">
        <v>32</v>
      </c>
      <c r="I2040" t="s">
        <v>390</v>
      </c>
      <c r="J2040" t="s">
        <v>45</v>
      </c>
      <c r="K2040" t="s">
        <v>35</v>
      </c>
      <c r="L2040" t="s">
        <v>175</v>
      </c>
      <c r="M2040" t="s">
        <v>69</v>
      </c>
      <c r="N2040">
        <v>0</v>
      </c>
      <c r="O2040">
        <v>0</v>
      </c>
      <c r="P2040">
        <v>1</v>
      </c>
      <c r="Q2040">
        <v>1</v>
      </c>
      <c r="R2040">
        <v>0</v>
      </c>
      <c r="S2040" t="str">
        <f t="shared" si="155"/>
        <v>PZ: Alta Crit.</v>
      </c>
      <c r="T2040">
        <f t="shared" si="156"/>
        <v>0</v>
      </c>
      <c r="U2040">
        <f t="shared" si="157"/>
        <v>1</v>
      </c>
      <c r="V2040">
        <f t="shared" si="158"/>
        <v>0</v>
      </c>
      <c r="W2040">
        <f t="shared" si="159"/>
        <v>1</v>
      </c>
      <c r="X2040">
        <v>1</v>
      </c>
      <c r="Y2040" s="2">
        <v>45768</v>
      </c>
      <c r="Z2040" s="3" t="s">
        <v>70</v>
      </c>
      <c r="AA2040" t="s">
        <v>39</v>
      </c>
      <c r="AB2040" t="s">
        <v>40</v>
      </c>
      <c r="AC2040" t="s">
        <v>40</v>
      </c>
      <c r="AD2040" t="s">
        <v>391</v>
      </c>
    </row>
    <row r="2041" spans="2:30">
      <c r="B2041">
        <v>0</v>
      </c>
      <c r="C2041">
        <v>1020</v>
      </c>
      <c r="D2041" t="s">
        <v>388</v>
      </c>
      <c r="E2041">
        <v>10044635</v>
      </c>
      <c r="F2041" t="s">
        <v>2131</v>
      </c>
      <c r="G2041" t="s">
        <v>52</v>
      </c>
      <c r="H2041" t="s">
        <v>32</v>
      </c>
      <c r="I2041" t="s">
        <v>390</v>
      </c>
      <c r="J2041" t="s">
        <v>45</v>
      </c>
      <c r="K2041" t="s">
        <v>35</v>
      </c>
      <c r="L2041" t="s">
        <v>175</v>
      </c>
      <c r="M2041" t="s">
        <v>69</v>
      </c>
      <c r="N2041">
        <v>0</v>
      </c>
      <c r="O2041">
        <v>0</v>
      </c>
      <c r="P2041">
        <v>2</v>
      </c>
      <c r="Q2041">
        <v>2</v>
      </c>
      <c r="R2041">
        <v>0</v>
      </c>
      <c r="S2041" t="str">
        <f t="shared" si="155"/>
        <v>PZ: Alta Crit.</v>
      </c>
      <c r="T2041">
        <f t="shared" si="156"/>
        <v>0</v>
      </c>
      <c r="U2041">
        <f t="shared" si="157"/>
        <v>1</v>
      </c>
      <c r="V2041">
        <f t="shared" si="158"/>
        <v>0</v>
      </c>
      <c r="W2041">
        <f t="shared" si="159"/>
        <v>1</v>
      </c>
      <c r="X2041">
        <v>1</v>
      </c>
      <c r="Y2041" s="2">
        <v>45768</v>
      </c>
      <c r="Z2041" s="3" t="s">
        <v>70</v>
      </c>
      <c r="AA2041" t="s">
        <v>39</v>
      </c>
      <c r="AB2041" t="s">
        <v>40</v>
      </c>
      <c r="AC2041" t="s">
        <v>40</v>
      </c>
      <c r="AD2041" t="s">
        <v>391</v>
      </c>
    </row>
    <row r="2042" spans="2:30">
      <c r="B2042">
        <v>0</v>
      </c>
      <c r="C2042">
        <v>1020</v>
      </c>
      <c r="D2042" t="s">
        <v>388</v>
      </c>
      <c r="E2042">
        <v>10044636</v>
      </c>
      <c r="F2042" t="s">
        <v>2124</v>
      </c>
      <c r="G2042" t="s">
        <v>52</v>
      </c>
      <c r="H2042" t="s">
        <v>32</v>
      </c>
      <c r="I2042" t="s">
        <v>390</v>
      </c>
      <c r="J2042" t="s">
        <v>45</v>
      </c>
      <c r="K2042" t="s">
        <v>35</v>
      </c>
      <c r="L2042" t="s">
        <v>175</v>
      </c>
      <c r="M2042" t="s">
        <v>69</v>
      </c>
      <c r="N2042">
        <v>0</v>
      </c>
      <c r="O2042">
        <v>0</v>
      </c>
      <c r="P2042">
        <v>1</v>
      </c>
      <c r="Q2042">
        <v>1</v>
      </c>
      <c r="R2042">
        <v>0</v>
      </c>
      <c r="S2042" t="str">
        <f t="shared" si="155"/>
        <v>PZ: Alta Crit.</v>
      </c>
      <c r="T2042">
        <f t="shared" si="156"/>
        <v>0</v>
      </c>
      <c r="U2042">
        <f t="shared" si="157"/>
        <v>1</v>
      </c>
      <c r="V2042">
        <f t="shared" si="158"/>
        <v>0</v>
      </c>
      <c r="W2042">
        <f t="shared" si="159"/>
        <v>1</v>
      </c>
      <c r="X2042">
        <v>1</v>
      </c>
      <c r="Y2042" s="2">
        <v>45768</v>
      </c>
      <c r="Z2042" s="3" t="s">
        <v>70</v>
      </c>
      <c r="AA2042" t="s">
        <v>39</v>
      </c>
      <c r="AB2042" t="s">
        <v>40</v>
      </c>
      <c r="AC2042" t="s">
        <v>40</v>
      </c>
      <c r="AD2042" t="s">
        <v>391</v>
      </c>
    </row>
    <row r="2043" spans="2:30">
      <c r="B2043">
        <v>0</v>
      </c>
      <c r="C2043">
        <v>1020</v>
      </c>
      <c r="D2043" t="s">
        <v>388</v>
      </c>
      <c r="E2043">
        <v>10044637</v>
      </c>
      <c r="F2043" t="s">
        <v>2132</v>
      </c>
      <c r="G2043" t="s">
        <v>52</v>
      </c>
      <c r="H2043" t="s">
        <v>32</v>
      </c>
      <c r="I2043" t="s">
        <v>390</v>
      </c>
      <c r="J2043" t="s">
        <v>45</v>
      </c>
      <c r="K2043" t="s">
        <v>35</v>
      </c>
      <c r="L2043" t="s">
        <v>175</v>
      </c>
      <c r="M2043" t="s">
        <v>69</v>
      </c>
      <c r="N2043">
        <v>0</v>
      </c>
      <c r="O2043">
        <v>0</v>
      </c>
      <c r="P2043">
        <v>2</v>
      </c>
      <c r="Q2043">
        <v>2</v>
      </c>
      <c r="R2043">
        <v>0</v>
      </c>
      <c r="S2043" t="str">
        <f t="shared" si="155"/>
        <v>PZ: Alta Crit.</v>
      </c>
      <c r="T2043">
        <f t="shared" si="156"/>
        <v>0</v>
      </c>
      <c r="U2043">
        <f t="shared" si="157"/>
        <v>1</v>
      </c>
      <c r="V2043">
        <f t="shared" si="158"/>
        <v>0</v>
      </c>
      <c r="W2043">
        <f t="shared" si="159"/>
        <v>1</v>
      </c>
      <c r="X2043">
        <v>1</v>
      </c>
      <c r="Y2043" s="2">
        <v>45768</v>
      </c>
      <c r="Z2043" s="3" t="s">
        <v>70</v>
      </c>
      <c r="AA2043" t="s">
        <v>39</v>
      </c>
      <c r="AB2043" t="s">
        <v>40</v>
      </c>
      <c r="AC2043" t="s">
        <v>40</v>
      </c>
      <c r="AD2043" t="s">
        <v>391</v>
      </c>
    </row>
    <row r="2044" spans="2:30">
      <c r="B2044">
        <v>0</v>
      </c>
      <c r="C2044">
        <v>1020</v>
      </c>
      <c r="D2044" t="s">
        <v>388</v>
      </c>
      <c r="E2044">
        <v>10044676</v>
      </c>
      <c r="F2044" t="s">
        <v>2133</v>
      </c>
      <c r="G2044" t="s">
        <v>52</v>
      </c>
      <c r="H2044" t="s">
        <v>32</v>
      </c>
      <c r="I2044" t="s">
        <v>390</v>
      </c>
      <c r="J2044" t="s">
        <v>45</v>
      </c>
      <c r="K2044" t="s">
        <v>35</v>
      </c>
      <c r="L2044" t="s">
        <v>175</v>
      </c>
      <c r="M2044" t="s">
        <v>69</v>
      </c>
      <c r="N2044">
        <v>0</v>
      </c>
      <c r="O2044">
        <v>0</v>
      </c>
      <c r="P2044">
        <v>1</v>
      </c>
      <c r="Q2044">
        <v>1</v>
      </c>
      <c r="R2044">
        <v>0</v>
      </c>
      <c r="S2044" t="str">
        <f t="shared" si="155"/>
        <v>PZ: Alta Crit.</v>
      </c>
      <c r="T2044">
        <f t="shared" si="156"/>
        <v>0</v>
      </c>
      <c r="U2044">
        <f t="shared" si="157"/>
        <v>1</v>
      </c>
      <c r="V2044">
        <f t="shared" si="158"/>
        <v>0</v>
      </c>
      <c r="W2044">
        <f t="shared" si="159"/>
        <v>1</v>
      </c>
      <c r="X2044">
        <v>1</v>
      </c>
      <c r="Y2044" s="2">
        <v>45768</v>
      </c>
      <c r="Z2044" s="3" t="s">
        <v>70</v>
      </c>
      <c r="AA2044" t="s">
        <v>39</v>
      </c>
      <c r="AB2044" t="s">
        <v>40</v>
      </c>
      <c r="AC2044" t="s">
        <v>40</v>
      </c>
      <c r="AD2044" t="s">
        <v>391</v>
      </c>
    </row>
    <row r="2045" spans="2:30">
      <c r="B2045">
        <v>0</v>
      </c>
      <c r="C2045">
        <v>1020</v>
      </c>
      <c r="D2045" t="s">
        <v>693</v>
      </c>
      <c r="E2045">
        <v>10044680</v>
      </c>
      <c r="F2045" t="s">
        <v>2134</v>
      </c>
      <c r="G2045" t="s">
        <v>52</v>
      </c>
      <c r="H2045" t="s">
        <v>32</v>
      </c>
      <c r="I2045" t="s">
        <v>695</v>
      </c>
      <c r="J2045" t="s">
        <v>45</v>
      </c>
      <c r="K2045" t="s">
        <v>35</v>
      </c>
      <c r="L2045" t="s">
        <v>175</v>
      </c>
      <c r="M2045" t="s">
        <v>69</v>
      </c>
      <c r="N2045">
        <v>0</v>
      </c>
      <c r="O2045">
        <v>0</v>
      </c>
      <c r="P2045">
        <v>0</v>
      </c>
      <c r="Q2045">
        <v>3</v>
      </c>
      <c r="R2045">
        <v>0</v>
      </c>
      <c r="S2045" t="str">
        <f t="shared" si="155"/>
        <v>PZ: Alta Crit.</v>
      </c>
      <c r="T2045">
        <f t="shared" si="156"/>
        <v>0</v>
      </c>
      <c r="U2045">
        <f t="shared" si="157"/>
        <v>0</v>
      </c>
      <c r="V2045">
        <f t="shared" si="158"/>
        <v>0</v>
      </c>
      <c r="W2045">
        <f t="shared" si="159"/>
        <v>1</v>
      </c>
      <c r="X2045">
        <v>1</v>
      </c>
      <c r="Y2045" s="2">
        <v>45768</v>
      </c>
      <c r="Z2045" s="3" t="s">
        <v>70</v>
      </c>
      <c r="AA2045" t="s">
        <v>39</v>
      </c>
      <c r="AB2045" t="s">
        <v>40</v>
      </c>
      <c r="AC2045" t="s">
        <v>40</v>
      </c>
      <c r="AD2045" t="s">
        <v>696</v>
      </c>
    </row>
    <row r="2046" spans="2:30">
      <c r="B2046">
        <v>0</v>
      </c>
      <c r="C2046">
        <v>1020</v>
      </c>
      <c r="D2046" t="s">
        <v>181</v>
      </c>
      <c r="E2046">
        <v>10044785</v>
      </c>
      <c r="F2046" t="s">
        <v>2135</v>
      </c>
      <c r="G2046" t="s">
        <v>52</v>
      </c>
      <c r="H2046" t="s">
        <v>44</v>
      </c>
      <c r="I2046" t="s">
        <v>183</v>
      </c>
      <c r="J2046" t="s">
        <v>45</v>
      </c>
      <c r="K2046" t="s">
        <v>35</v>
      </c>
      <c r="L2046" t="s">
        <v>36</v>
      </c>
      <c r="M2046" t="s">
        <v>37</v>
      </c>
      <c r="N2046">
        <v>1</v>
      </c>
      <c r="O2046">
        <v>1</v>
      </c>
      <c r="P2046">
        <v>0</v>
      </c>
      <c r="Q2046">
        <v>1</v>
      </c>
      <c r="R2046">
        <v>0</v>
      </c>
      <c r="S2046" t="str">
        <f t="shared" si="155"/>
        <v>PZ: Alta Crit.</v>
      </c>
      <c r="T2046">
        <f t="shared" si="156"/>
        <v>0</v>
      </c>
      <c r="U2046">
        <f t="shared" si="157"/>
        <v>0</v>
      </c>
      <c r="V2046">
        <f t="shared" si="158"/>
        <v>1</v>
      </c>
      <c r="W2046">
        <f t="shared" si="159"/>
        <v>0</v>
      </c>
      <c r="X2046">
        <v>1</v>
      </c>
      <c r="Y2046" s="2">
        <v>45768</v>
      </c>
      <c r="Z2046" s="3" t="s">
        <v>38</v>
      </c>
      <c r="AA2046" t="s">
        <v>39</v>
      </c>
      <c r="AB2046" t="s">
        <v>40</v>
      </c>
      <c r="AC2046" t="s">
        <v>40</v>
      </c>
      <c r="AD2046" t="s">
        <v>184</v>
      </c>
    </row>
    <row r="2047" spans="2:30">
      <c r="B2047">
        <v>0</v>
      </c>
      <c r="C2047">
        <v>1020</v>
      </c>
      <c r="D2047" t="s">
        <v>693</v>
      </c>
      <c r="E2047">
        <v>10044795</v>
      </c>
      <c r="F2047" t="s">
        <v>2136</v>
      </c>
      <c r="G2047" t="s">
        <v>52</v>
      </c>
      <c r="H2047" t="s">
        <v>32</v>
      </c>
      <c r="I2047" t="s">
        <v>695</v>
      </c>
      <c r="J2047" t="s">
        <v>45</v>
      </c>
      <c r="K2047" t="s">
        <v>35</v>
      </c>
      <c r="L2047" t="s">
        <v>175</v>
      </c>
      <c r="M2047" t="s">
        <v>117</v>
      </c>
      <c r="N2047">
        <v>0</v>
      </c>
      <c r="O2047">
        <v>0</v>
      </c>
      <c r="P2047">
        <v>0</v>
      </c>
      <c r="Q2047">
        <v>18</v>
      </c>
      <c r="R2047">
        <v>0</v>
      </c>
      <c r="S2047" t="str">
        <f t="shared" si="155"/>
        <v>PZ: Alta Crit.</v>
      </c>
      <c r="T2047">
        <f t="shared" si="156"/>
        <v>0</v>
      </c>
      <c r="U2047">
        <f t="shared" si="157"/>
        <v>0</v>
      </c>
      <c r="V2047">
        <f t="shared" si="158"/>
        <v>0</v>
      </c>
      <c r="W2047">
        <f t="shared" si="159"/>
        <v>1</v>
      </c>
      <c r="X2047">
        <v>1</v>
      </c>
      <c r="Y2047" s="2">
        <v>45768</v>
      </c>
      <c r="Z2047" s="3" t="s">
        <v>118</v>
      </c>
      <c r="AA2047" t="s">
        <v>39</v>
      </c>
      <c r="AB2047" t="s">
        <v>40</v>
      </c>
      <c r="AC2047" t="s">
        <v>40</v>
      </c>
      <c r="AD2047" t="s">
        <v>696</v>
      </c>
    </row>
    <row r="2048" spans="2:30">
      <c r="B2048">
        <v>0</v>
      </c>
      <c r="C2048">
        <v>1020</v>
      </c>
      <c r="D2048" t="s">
        <v>693</v>
      </c>
      <c r="E2048">
        <v>10044835</v>
      </c>
      <c r="F2048" t="s">
        <v>2137</v>
      </c>
      <c r="G2048" t="s">
        <v>43</v>
      </c>
      <c r="H2048" t="s">
        <v>32</v>
      </c>
      <c r="I2048" t="s">
        <v>695</v>
      </c>
      <c r="J2048" t="s">
        <v>45</v>
      </c>
      <c r="K2048" t="s">
        <v>35</v>
      </c>
      <c r="L2048" t="s">
        <v>175</v>
      </c>
      <c r="M2048" t="s">
        <v>117</v>
      </c>
      <c r="N2048">
        <v>0</v>
      </c>
      <c r="O2048">
        <v>0</v>
      </c>
      <c r="P2048">
        <v>0</v>
      </c>
      <c r="Q2048">
        <v>6</v>
      </c>
      <c r="R2048">
        <v>0</v>
      </c>
      <c r="S2048" t="str">
        <f t="shared" si="155"/>
        <v>PY: Media Crit.</v>
      </c>
      <c r="T2048">
        <f t="shared" si="156"/>
        <v>0</v>
      </c>
      <c r="U2048">
        <f t="shared" si="157"/>
        <v>0</v>
      </c>
      <c r="V2048">
        <f t="shared" si="158"/>
        <v>0</v>
      </c>
      <c r="W2048">
        <f t="shared" si="159"/>
        <v>1</v>
      </c>
      <c r="X2048">
        <v>1</v>
      </c>
      <c r="Y2048" s="2">
        <v>45768</v>
      </c>
      <c r="Z2048" s="3" t="s">
        <v>118</v>
      </c>
      <c r="AA2048" t="s">
        <v>39</v>
      </c>
      <c r="AB2048" t="s">
        <v>40</v>
      </c>
      <c r="AC2048" t="s">
        <v>40</v>
      </c>
      <c r="AD2048" t="s">
        <v>696</v>
      </c>
    </row>
    <row r="2049" spans="2:30">
      <c r="B2049">
        <v>0</v>
      </c>
      <c r="C2049">
        <v>1020</v>
      </c>
      <c r="D2049" t="s">
        <v>693</v>
      </c>
      <c r="E2049">
        <v>10044846</v>
      </c>
      <c r="F2049" t="s">
        <v>2138</v>
      </c>
      <c r="G2049" t="s">
        <v>52</v>
      </c>
      <c r="H2049" t="s">
        <v>44</v>
      </c>
      <c r="I2049" t="s">
        <v>695</v>
      </c>
      <c r="J2049" t="s">
        <v>45</v>
      </c>
      <c r="K2049" t="s">
        <v>35</v>
      </c>
      <c r="L2049" t="s">
        <v>175</v>
      </c>
      <c r="M2049" t="s">
        <v>117</v>
      </c>
      <c r="N2049">
        <v>0</v>
      </c>
      <c r="O2049">
        <v>0</v>
      </c>
      <c r="P2049">
        <v>0</v>
      </c>
      <c r="Q2049">
        <v>81</v>
      </c>
      <c r="R2049">
        <v>0</v>
      </c>
      <c r="S2049" t="str">
        <f t="shared" si="155"/>
        <v>PZ: Alta Crit.</v>
      </c>
      <c r="T2049">
        <f t="shared" si="156"/>
        <v>0</v>
      </c>
      <c r="U2049">
        <f t="shared" si="157"/>
        <v>0</v>
      </c>
      <c r="V2049">
        <f t="shared" si="158"/>
        <v>0</v>
      </c>
      <c r="W2049">
        <f t="shared" si="159"/>
        <v>1</v>
      </c>
      <c r="X2049">
        <v>1</v>
      </c>
      <c r="Y2049" s="2">
        <v>45768</v>
      </c>
      <c r="Z2049" s="3" t="s">
        <v>118</v>
      </c>
      <c r="AA2049" t="s">
        <v>39</v>
      </c>
      <c r="AB2049" t="s">
        <v>40</v>
      </c>
      <c r="AC2049" t="s">
        <v>40</v>
      </c>
      <c r="AD2049" t="s">
        <v>696</v>
      </c>
    </row>
    <row r="2050" spans="2:30">
      <c r="B2050">
        <v>0</v>
      </c>
      <c r="C2050">
        <v>1020</v>
      </c>
      <c r="D2050" t="s">
        <v>388</v>
      </c>
      <c r="E2050">
        <v>10044852</v>
      </c>
      <c r="F2050" t="s">
        <v>2139</v>
      </c>
      <c r="G2050" t="s">
        <v>52</v>
      </c>
      <c r="H2050" t="s">
        <v>32</v>
      </c>
      <c r="I2050" t="s">
        <v>390</v>
      </c>
      <c r="J2050" t="s">
        <v>45</v>
      </c>
      <c r="K2050" t="s">
        <v>35</v>
      </c>
      <c r="L2050" t="s">
        <v>175</v>
      </c>
      <c r="M2050" t="s">
        <v>117</v>
      </c>
      <c r="N2050">
        <v>0</v>
      </c>
      <c r="O2050">
        <v>0</v>
      </c>
      <c r="P2050">
        <v>4</v>
      </c>
      <c r="Q2050">
        <v>4</v>
      </c>
      <c r="R2050">
        <v>0</v>
      </c>
      <c r="S2050" t="str">
        <f t="shared" ref="S2050:S2113" si="160">+IF(G2050="PZ", "PZ: Alta Crit.",IF(G2050="PY","PY: Media Crit.", "PX: Baja Crit."))</f>
        <v>PZ: Alta Crit.</v>
      </c>
      <c r="T2050">
        <f t="shared" ref="T2050:T2113" si="161">+IF(Q2050=0,1,0)</f>
        <v>0</v>
      </c>
      <c r="U2050">
        <f t="shared" ref="U2050:U2113" si="162">+IF(AND(Q2050&lt;=P2050,Q2050&gt;0),1,0)</f>
        <v>1</v>
      </c>
      <c r="V2050">
        <f t="shared" ref="V2050:V2113" si="163">+IF(AND(Q2050&gt;P2050,Q2050&lt;=N2050),1,0)</f>
        <v>0</v>
      </c>
      <c r="W2050">
        <f t="shared" ref="W2050:W2113" si="164">+IF(Q2050&gt;N2050,1,0)</f>
        <v>1</v>
      </c>
      <c r="X2050">
        <v>1</v>
      </c>
      <c r="Y2050" s="2">
        <v>45768</v>
      </c>
      <c r="Z2050" s="3" t="s">
        <v>118</v>
      </c>
      <c r="AA2050" t="s">
        <v>39</v>
      </c>
      <c r="AB2050" t="s">
        <v>40</v>
      </c>
      <c r="AC2050" t="s">
        <v>40</v>
      </c>
      <c r="AD2050" t="s">
        <v>391</v>
      </c>
    </row>
    <row r="2051" spans="2:30">
      <c r="B2051">
        <v>0</v>
      </c>
      <c r="C2051">
        <v>1020</v>
      </c>
      <c r="D2051" t="s">
        <v>388</v>
      </c>
      <c r="E2051">
        <v>10044853</v>
      </c>
      <c r="F2051" t="s">
        <v>2140</v>
      </c>
      <c r="G2051" t="s">
        <v>31</v>
      </c>
      <c r="H2051" t="s">
        <v>32</v>
      </c>
      <c r="I2051" t="s">
        <v>390</v>
      </c>
      <c r="J2051" t="s">
        <v>45</v>
      </c>
      <c r="K2051" t="s">
        <v>35</v>
      </c>
      <c r="L2051" t="s">
        <v>175</v>
      </c>
      <c r="M2051" t="s">
        <v>117</v>
      </c>
      <c r="N2051">
        <v>0</v>
      </c>
      <c r="O2051">
        <v>0</v>
      </c>
      <c r="P2051">
        <v>4</v>
      </c>
      <c r="Q2051">
        <v>4</v>
      </c>
      <c r="R2051">
        <v>340</v>
      </c>
      <c r="S2051" t="str">
        <f t="shared" si="160"/>
        <v>PX: Baja Crit.</v>
      </c>
      <c r="T2051">
        <f t="shared" si="161"/>
        <v>0</v>
      </c>
      <c r="U2051">
        <f t="shared" si="162"/>
        <v>1</v>
      </c>
      <c r="V2051">
        <f t="shared" si="163"/>
        <v>0</v>
      </c>
      <c r="W2051">
        <f t="shared" si="164"/>
        <v>1</v>
      </c>
      <c r="X2051">
        <v>1</v>
      </c>
      <c r="Y2051" s="2">
        <v>45768</v>
      </c>
      <c r="Z2051" s="3" t="s">
        <v>118</v>
      </c>
      <c r="AA2051" t="s">
        <v>39</v>
      </c>
      <c r="AB2051" t="s">
        <v>40</v>
      </c>
      <c r="AC2051" t="s">
        <v>40</v>
      </c>
      <c r="AD2051" t="s">
        <v>391</v>
      </c>
    </row>
    <row r="2052" spans="2:30">
      <c r="B2052">
        <v>0</v>
      </c>
      <c r="C2052">
        <v>1020</v>
      </c>
      <c r="D2052" t="s">
        <v>693</v>
      </c>
      <c r="E2052">
        <v>10044875</v>
      </c>
      <c r="F2052" t="s">
        <v>2141</v>
      </c>
      <c r="G2052" t="s">
        <v>43</v>
      </c>
      <c r="H2052" t="s">
        <v>44</v>
      </c>
      <c r="I2052" t="s">
        <v>695</v>
      </c>
      <c r="J2052" t="s">
        <v>45</v>
      </c>
      <c r="K2052" t="s">
        <v>35</v>
      </c>
      <c r="L2052" t="s">
        <v>175</v>
      </c>
      <c r="M2052" t="s">
        <v>117</v>
      </c>
      <c r="N2052">
        <v>0</v>
      </c>
      <c r="O2052">
        <v>0</v>
      </c>
      <c r="P2052">
        <v>0</v>
      </c>
      <c r="Q2052">
        <v>4</v>
      </c>
      <c r="R2052">
        <v>0</v>
      </c>
      <c r="S2052" t="str">
        <f t="shared" si="160"/>
        <v>PY: Media Crit.</v>
      </c>
      <c r="T2052">
        <f t="shared" si="161"/>
        <v>0</v>
      </c>
      <c r="U2052">
        <f t="shared" si="162"/>
        <v>0</v>
      </c>
      <c r="V2052">
        <f t="shared" si="163"/>
        <v>0</v>
      </c>
      <c r="W2052">
        <f t="shared" si="164"/>
        <v>1</v>
      </c>
      <c r="X2052">
        <v>1</v>
      </c>
      <c r="Y2052" s="2">
        <v>45768</v>
      </c>
      <c r="Z2052" s="3" t="s">
        <v>118</v>
      </c>
      <c r="AA2052" t="s">
        <v>39</v>
      </c>
      <c r="AB2052" t="s">
        <v>40</v>
      </c>
      <c r="AC2052" t="s">
        <v>40</v>
      </c>
      <c r="AD2052" t="s">
        <v>696</v>
      </c>
    </row>
    <row r="2053" spans="2:30">
      <c r="B2053">
        <v>0</v>
      </c>
      <c r="C2053">
        <v>1020</v>
      </c>
      <c r="D2053" t="s">
        <v>181</v>
      </c>
      <c r="E2053">
        <v>10044892</v>
      </c>
      <c r="F2053" t="s">
        <v>2142</v>
      </c>
      <c r="G2053" t="s">
        <v>43</v>
      </c>
      <c r="H2053" t="s">
        <v>32</v>
      </c>
      <c r="I2053" t="s">
        <v>183</v>
      </c>
      <c r="J2053" t="s">
        <v>45</v>
      </c>
      <c r="K2053" t="s">
        <v>35</v>
      </c>
      <c r="L2053" t="s">
        <v>36</v>
      </c>
      <c r="M2053" t="s">
        <v>117</v>
      </c>
      <c r="N2053">
        <v>2</v>
      </c>
      <c r="O2053">
        <v>2</v>
      </c>
      <c r="P2053">
        <v>0</v>
      </c>
      <c r="Q2053">
        <v>2</v>
      </c>
      <c r="R2053">
        <v>0</v>
      </c>
      <c r="S2053" t="str">
        <f t="shared" si="160"/>
        <v>PY: Media Crit.</v>
      </c>
      <c r="T2053">
        <f t="shared" si="161"/>
        <v>0</v>
      </c>
      <c r="U2053">
        <f t="shared" si="162"/>
        <v>0</v>
      </c>
      <c r="V2053">
        <f t="shared" si="163"/>
        <v>1</v>
      </c>
      <c r="W2053">
        <f t="shared" si="164"/>
        <v>0</v>
      </c>
      <c r="X2053">
        <v>1</v>
      </c>
      <c r="Y2053" s="2">
        <v>45768</v>
      </c>
      <c r="Z2053" s="3" t="s">
        <v>118</v>
      </c>
      <c r="AA2053" t="s">
        <v>39</v>
      </c>
      <c r="AB2053" t="s">
        <v>40</v>
      </c>
      <c r="AC2053" t="s">
        <v>40</v>
      </c>
      <c r="AD2053" t="s">
        <v>184</v>
      </c>
    </row>
    <row r="2054" spans="2:30">
      <c r="B2054">
        <v>0</v>
      </c>
      <c r="C2054">
        <v>1020</v>
      </c>
      <c r="D2054" t="s">
        <v>388</v>
      </c>
      <c r="E2054">
        <v>10044894</v>
      </c>
      <c r="F2054" t="s">
        <v>2143</v>
      </c>
      <c r="G2054" t="s">
        <v>52</v>
      </c>
      <c r="H2054" t="s">
        <v>32</v>
      </c>
      <c r="I2054" t="s">
        <v>390</v>
      </c>
      <c r="J2054" t="s">
        <v>45</v>
      </c>
      <c r="K2054" t="s">
        <v>260</v>
      </c>
      <c r="L2054" t="s">
        <v>175</v>
      </c>
      <c r="M2054" t="s">
        <v>117</v>
      </c>
      <c r="N2054">
        <v>0</v>
      </c>
      <c r="O2054">
        <v>0</v>
      </c>
      <c r="P2054">
        <v>2</v>
      </c>
      <c r="Q2054">
        <v>2</v>
      </c>
      <c r="R2054" s="4">
        <v>32732.2</v>
      </c>
      <c r="S2054" t="str">
        <f t="shared" si="160"/>
        <v>PZ: Alta Crit.</v>
      </c>
      <c r="T2054">
        <f t="shared" si="161"/>
        <v>0</v>
      </c>
      <c r="U2054">
        <f t="shared" si="162"/>
        <v>1</v>
      </c>
      <c r="V2054">
        <f t="shared" si="163"/>
        <v>0</v>
      </c>
      <c r="W2054">
        <f t="shared" si="164"/>
        <v>1</v>
      </c>
      <c r="X2054">
        <v>1</v>
      </c>
      <c r="Y2054" s="2">
        <v>45768</v>
      </c>
      <c r="Z2054" s="3" t="s">
        <v>118</v>
      </c>
      <c r="AA2054" t="s">
        <v>39</v>
      </c>
      <c r="AB2054" t="s">
        <v>40</v>
      </c>
      <c r="AC2054" t="s">
        <v>40</v>
      </c>
      <c r="AD2054" t="s">
        <v>391</v>
      </c>
    </row>
    <row r="2055" spans="2:30">
      <c r="B2055">
        <v>0</v>
      </c>
      <c r="C2055">
        <v>1020</v>
      </c>
      <c r="D2055" t="s">
        <v>388</v>
      </c>
      <c r="E2055">
        <v>10044897</v>
      </c>
      <c r="F2055" t="s">
        <v>2144</v>
      </c>
      <c r="G2055" t="s">
        <v>52</v>
      </c>
      <c r="H2055" t="s">
        <v>32</v>
      </c>
      <c r="I2055" t="s">
        <v>390</v>
      </c>
      <c r="J2055" t="s">
        <v>45</v>
      </c>
      <c r="K2055" t="s">
        <v>260</v>
      </c>
      <c r="L2055" t="s">
        <v>175</v>
      </c>
      <c r="M2055" t="s">
        <v>117</v>
      </c>
      <c r="N2055">
        <v>0</v>
      </c>
      <c r="O2055">
        <v>0</v>
      </c>
      <c r="P2055">
        <v>1</v>
      </c>
      <c r="Q2055">
        <v>1</v>
      </c>
      <c r="R2055" s="4">
        <v>12575.33</v>
      </c>
      <c r="S2055" t="str">
        <f t="shared" si="160"/>
        <v>PZ: Alta Crit.</v>
      </c>
      <c r="T2055">
        <f t="shared" si="161"/>
        <v>0</v>
      </c>
      <c r="U2055">
        <f t="shared" si="162"/>
        <v>1</v>
      </c>
      <c r="V2055">
        <f t="shared" si="163"/>
        <v>0</v>
      </c>
      <c r="W2055">
        <f t="shared" si="164"/>
        <v>1</v>
      </c>
      <c r="X2055">
        <v>1</v>
      </c>
      <c r="Y2055" s="2">
        <v>45768</v>
      </c>
      <c r="Z2055" s="3" t="s">
        <v>118</v>
      </c>
      <c r="AA2055" t="s">
        <v>39</v>
      </c>
      <c r="AB2055" t="s">
        <v>40</v>
      </c>
      <c r="AC2055" t="s">
        <v>40</v>
      </c>
      <c r="AD2055" t="s">
        <v>391</v>
      </c>
    </row>
    <row r="2056" spans="2:30">
      <c r="B2056">
        <v>0</v>
      </c>
      <c r="C2056">
        <v>1020</v>
      </c>
      <c r="D2056" t="s">
        <v>181</v>
      </c>
      <c r="E2056">
        <v>10044908</v>
      </c>
      <c r="F2056" t="s">
        <v>2145</v>
      </c>
      <c r="G2056" t="s">
        <v>31</v>
      </c>
      <c r="H2056" t="s">
        <v>44</v>
      </c>
      <c r="I2056" t="s">
        <v>183</v>
      </c>
      <c r="J2056" t="s">
        <v>45</v>
      </c>
      <c r="K2056" t="s">
        <v>35</v>
      </c>
      <c r="L2056" t="s">
        <v>36</v>
      </c>
      <c r="M2056" t="s">
        <v>117</v>
      </c>
      <c r="N2056">
        <v>4</v>
      </c>
      <c r="O2056">
        <v>2</v>
      </c>
      <c r="P2056">
        <v>0</v>
      </c>
      <c r="Q2056">
        <v>2</v>
      </c>
      <c r="R2056">
        <v>0</v>
      </c>
      <c r="S2056" t="str">
        <f t="shared" si="160"/>
        <v>PX: Baja Crit.</v>
      </c>
      <c r="T2056">
        <f t="shared" si="161"/>
        <v>0</v>
      </c>
      <c r="U2056">
        <f t="shared" si="162"/>
        <v>0</v>
      </c>
      <c r="V2056">
        <f t="shared" si="163"/>
        <v>1</v>
      </c>
      <c r="W2056">
        <f t="shared" si="164"/>
        <v>0</v>
      </c>
      <c r="X2056">
        <v>1</v>
      </c>
      <c r="Y2056" s="2">
        <v>45768</v>
      </c>
      <c r="Z2056" s="3" t="s">
        <v>118</v>
      </c>
      <c r="AA2056" t="s">
        <v>39</v>
      </c>
      <c r="AB2056" t="s">
        <v>40</v>
      </c>
      <c r="AC2056" t="s">
        <v>40</v>
      </c>
      <c r="AD2056" t="s">
        <v>184</v>
      </c>
    </row>
    <row r="2057" spans="2:30">
      <c r="B2057">
        <v>0</v>
      </c>
      <c r="C2057">
        <v>1020</v>
      </c>
      <c r="D2057" t="s">
        <v>181</v>
      </c>
      <c r="E2057">
        <v>10044909</v>
      </c>
      <c r="F2057" t="s">
        <v>2145</v>
      </c>
      <c r="G2057" t="s">
        <v>31</v>
      </c>
      <c r="H2057" t="s">
        <v>44</v>
      </c>
      <c r="I2057" t="s">
        <v>183</v>
      </c>
      <c r="J2057" t="s">
        <v>45</v>
      </c>
      <c r="K2057" t="s">
        <v>35</v>
      </c>
      <c r="L2057" t="s">
        <v>36</v>
      </c>
      <c r="M2057" t="s">
        <v>117</v>
      </c>
      <c r="N2057">
        <v>4</v>
      </c>
      <c r="O2057">
        <v>2</v>
      </c>
      <c r="P2057">
        <v>0</v>
      </c>
      <c r="Q2057">
        <v>2</v>
      </c>
      <c r="R2057">
        <v>0</v>
      </c>
      <c r="S2057" t="str">
        <f t="shared" si="160"/>
        <v>PX: Baja Crit.</v>
      </c>
      <c r="T2057">
        <f t="shared" si="161"/>
        <v>0</v>
      </c>
      <c r="U2057">
        <f t="shared" si="162"/>
        <v>0</v>
      </c>
      <c r="V2057">
        <f t="shared" si="163"/>
        <v>1</v>
      </c>
      <c r="W2057">
        <f t="shared" si="164"/>
        <v>0</v>
      </c>
      <c r="X2057">
        <v>1</v>
      </c>
      <c r="Y2057" s="2">
        <v>45768</v>
      </c>
      <c r="Z2057" s="3" t="s">
        <v>118</v>
      </c>
      <c r="AA2057" t="s">
        <v>39</v>
      </c>
      <c r="AB2057" t="s">
        <v>40</v>
      </c>
      <c r="AC2057" t="s">
        <v>40</v>
      </c>
      <c r="AD2057" t="s">
        <v>184</v>
      </c>
    </row>
    <row r="2058" spans="2:30">
      <c r="B2058">
        <v>0</v>
      </c>
      <c r="C2058">
        <v>1020</v>
      </c>
      <c r="D2058" t="s">
        <v>388</v>
      </c>
      <c r="E2058">
        <v>10044910</v>
      </c>
      <c r="F2058" t="s">
        <v>2146</v>
      </c>
      <c r="G2058" t="s">
        <v>52</v>
      </c>
      <c r="H2058" t="s">
        <v>32</v>
      </c>
      <c r="I2058" t="s">
        <v>390</v>
      </c>
      <c r="J2058" t="s">
        <v>45</v>
      </c>
      <c r="K2058" t="s">
        <v>35</v>
      </c>
      <c r="L2058" t="s">
        <v>175</v>
      </c>
      <c r="M2058" t="s">
        <v>117</v>
      </c>
      <c r="N2058">
        <v>0</v>
      </c>
      <c r="O2058">
        <v>0</v>
      </c>
      <c r="P2058">
        <v>4</v>
      </c>
      <c r="Q2058">
        <v>4</v>
      </c>
      <c r="R2058">
        <v>0</v>
      </c>
      <c r="S2058" t="str">
        <f t="shared" si="160"/>
        <v>PZ: Alta Crit.</v>
      </c>
      <c r="T2058">
        <f t="shared" si="161"/>
        <v>0</v>
      </c>
      <c r="U2058">
        <f t="shared" si="162"/>
        <v>1</v>
      </c>
      <c r="V2058">
        <f t="shared" si="163"/>
        <v>0</v>
      </c>
      <c r="W2058">
        <f t="shared" si="164"/>
        <v>1</v>
      </c>
      <c r="X2058">
        <v>1</v>
      </c>
      <c r="Y2058" s="2">
        <v>45768</v>
      </c>
      <c r="Z2058" s="3" t="s">
        <v>118</v>
      </c>
      <c r="AA2058" t="s">
        <v>39</v>
      </c>
      <c r="AB2058" t="s">
        <v>40</v>
      </c>
      <c r="AC2058" t="s">
        <v>40</v>
      </c>
      <c r="AD2058" t="s">
        <v>391</v>
      </c>
    </row>
    <row r="2059" spans="2:30">
      <c r="B2059">
        <v>0</v>
      </c>
      <c r="C2059">
        <v>1020</v>
      </c>
      <c r="D2059" t="s">
        <v>388</v>
      </c>
      <c r="E2059">
        <v>10044911</v>
      </c>
      <c r="F2059" t="s">
        <v>2147</v>
      </c>
      <c r="G2059" t="s">
        <v>52</v>
      </c>
      <c r="H2059" t="s">
        <v>32</v>
      </c>
      <c r="I2059" t="s">
        <v>390</v>
      </c>
      <c r="J2059" t="s">
        <v>45</v>
      </c>
      <c r="K2059" t="s">
        <v>35</v>
      </c>
      <c r="L2059" t="s">
        <v>175</v>
      </c>
      <c r="M2059" t="s">
        <v>117</v>
      </c>
      <c r="N2059">
        <v>0</v>
      </c>
      <c r="O2059">
        <v>0</v>
      </c>
      <c r="P2059">
        <v>4</v>
      </c>
      <c r="Q2059">
        <v>4</v>
      </c>
      <c r="R2059">
        <v>0</v>
      </c>
      <c r="S2059" t="str">
        <f t="shared" si="160"/>
        <v>PZ: Alta Crit.</v>
      </c>
      <c r="T2059">
        <f t="shared" si="161"/>
        <v>0</v>
      </c>
      <c r="U2059">
        <f t="shared" si="162"/>
        <v>1</v>
      </c>
      <c r="V2059">
        <f t="shared" si="163"/>
        <v>0</v>
      </c>
      <c r="W2059">
        <f t="shared" si="164"/>
        <v>1</v>
      </c>
      <c r="X2059">
        <v>1</v>
      </c>
      <c r="Y2059" s="2">
        <v>45768</v>
      </c>
      <c r="Z2059" s="3" t="s">
        <v>118</v>
      </c>
      <c r="AA2059" t="s">
        <v>39</v>
      </c>
      <c r="AB2059" t="s">
        <v>40</v>
      </c>
      <c r="AC2059" t="s">
        <v>40</v>
      </c>
      <c r="AD2059" t="s">
        <v>391</v>
      </c>
    </row>
    <row r="2060" spans="2:30">
      <c r="B2060">
        <v>0</v>
      </c>
      <c r="C2060">
        <v>1020</v>
      </c>
      <c r="D2060" t="s">
        <v>693</v>
      </c>
      <c r="E2060">
        <v>10044943</v>
      </c>
      <c r="F2060" t="s">
        <v>2148</v>
      </c>
      <c r="G2060" t="s">
        <v>52</v>
      </c>
      <c r="H2060" t="s">
        <v>32</v>
      </c>
      <c r="I2060" t="s">
        <v>695</v>
      </c>
      <c r="J2060" t="s">
        <v>45</v>
      </c>
      <c r="K2060" t="s">
        <v>35</v>
      </c>
      <c r="L2060" t="s">
        <v>175</v>
      </c>
      <c r="M2060" t="s">
        <v>117</v>
      </c>
      <c r="N2060">
        <v>0</v>
      </c>
      <c r="O2060">
        <v>0</v>
      </c>
      <c r="P2060">
        <v>0</v>
      </c>
      <c r="Q2060">
        <v>1</v>
      </c>
      <c r="R2060">
        <v>0</v>
      </c>
      <c r="S2060" t="str">
        <f t="shared" si="160"/>
        <v>PZ: Alta Crit.</v>
      </c>
      <c r="T2060">
        <f t="shared" si="161"/>
        <v>0</v>
      </c>
      <c r="U2060">
        <f t="shared" si="162"/>
        <v>0</v>
      </c>
      <c r="V2060">
        <f t="shared" si="163"/>
        <v>0</v>
      </c>
      <c r="W2060">
        <f t="shared" si="164"/>
        <v>1</v>
      </c>
      <c r="X2060">
        <v>1</v>
      </c>
      <c r="Y2060" s="2">
        <v>45768</v>
      </c>
      <c r="Z2060" s="3" t="s">
        <v>118</v>
      </c>
      <c r="AA2060" t="s">
        <v>39</v>
      </c>
      <c r="AB2060" t="s">
        <v>40</v>
      </c>
      <c r="AC2060" t="s">
        <v>40</v>
      </c>
      <c r="AD2060" t="s">
        <v>696</v>
      </c>
    </row>
    <row r="2061" spans="2:30">
      <c r="B2061">
        <v>0</v>
      </c>
      <c r="C2061">
        <v>1020</v>
      </c>
      <c r="D2061" t="s">
        <v>384</v>
      </c>
      <c r="E2061">
        <v>10044956</v>
      </c>
      <c r="F2061" t="s">
        <v>2149</v>
      </c>
      <c r="G2061" t="s">
        <v>43</v>
      </c>
      <c r="H2061" t="s">
        <v>32</v>
      </c>
      <c r="I2061" t="s">
        <v>386</v>
      </c>
      <c r="J2061" t="s">
        <v>45</v>
      </c>
      <c r="K2061" t="s">
        <v>35</v>
      </c>
      <c r="L2061" t="s">
        <v>175</v>
      </c>
      <c r="M2061" t="s">
        <v>117</v>
      </c>
      <c r="N2061">
        <v>0</v>
      </c>
      <c r="O2061">
        <v>0</v>
      </c>
      <c r="P2061">
        <v>0</v>
      </c>
      <c r="Q2061">
        <v>30</v>
      </c>
      <c r="R2061">
        <v>0</v>
      </c>
      <c r="S2061" t="str">
        <f t="shared" si="160"/>
        <v>PY: Media Crit.</v>
      </c>
      <c r="T2061">
        <f t="shared" si="161"/>
        <v>0</v>
      </c>
      <c r="U2061">
        <f t="shared" si="162"/>
        <v>0</v>
      </c>
      <c r="V2061">
        <f t="shared" si="163"/>
        <v>0</v>
      </c>
      <c r="W2061">
        <f t="shared" si="164"/>
        <v>1</v>
      </c>
      <c r="X2061">
        <v>1</v>
      </c>
      <c r="Y2061" s="2">
        <v>45768</v>
      </c>
      <c r="Z2061" s="3" t="s">
        <v>118</v>
      </c>
      <c r="AA2061" t="s">
        <v>39</v>
      </c>
      <c r="AB2061" t="s">
        <v>40</v>
      </c>
      <c r="AC2061" t="s">
        <v>40</v>
      </c>
      <c r="AD2061" t="s">
        <v>387</v>
      </c>
    </row>
    <row r="2062" spans="2:30">
      <c r="B2062">
        <v>0</v>
      </c>
      <c r="C2062">
        <v>1020</v>
      </c>
      <c r="D2062" t="s">
        <v>384</v>
      </c>
      <c r="E2062">
        <v>10044958</v>
      </c>
      <c r="F2062" t="s">
        <v>2150</v>
      </c>
      <c r="G2062" t="s">
        <v>43</v>
      </c>
      <c r="H2062" t="s">
        <v>32</v>
      </c>
      <c r="I2062" t="s">
        <v>386</v>
      </c>
      <c r="J2062" t="s">
        <v>45</v>
      </c>
      <c r="K2062" t="s">
        <v>35</v>
      </c>
      <c r="L2062" t="s">
        <v>175</v>
      </c>
      <c r="M2062" t="s">
        <v>117</v>
      </c>
      <c r="N2062">
        <v>0</v>
      </c>
      <c r="O2062">
        <v>0</v>
      </c>
      <c r="P2062">
        <v>0</v>
      </c>
      <c r="Q2062">
        <v>20</v>
      </c>
      <c r="R2062">
        <v>0</v>
      </c>
      <c r="S2062" t="str">
        <f t="shared" si="160"/>
        <v>PY: Media Crit.</v>
      </c>
      <c r="T2062">
        <f t="shared" si="161"/>
        <v>0</v>
      </c>
      <c r="U2062">
        <f t="shared" si="162"/>
        <v>0</v>
      </c>
      <c r="V2062">
        <f t="shared" si="163"/>
        <v>0</v>
      </c>
      <c r="W2062">
        <f t="shared" si="164"/>
        <v>1</v>
      </c>
      <c r="X2062">
        <v>1</v>
      </c>
      <c r="Y2062" s="2">
        <v>45768</v>
      </c>
      <c r="Z2062" s="3" t="s">
        <v>118</v>
      </c>
      <c r="AA2062" t="s">
        <v>39</v>
      </c>
      <c r="AB2062" t="s">
        <v>40</v>
      </c>
      <c r="AC2062" t="s">
        <v>40</v>
      </c>
      <c r="AD2062" t="s">
        <v>387</v>
      </c>
    </row>
    <row r="2063" spans="2:30">
      <c r="B2063">
        <v>0</v>
      </c>
      <c r="C2063">
        <v>1020</v>
      </c>
      <c r="D2063" t="s">
        <v>384</v>
      </c>
      <c r="E2063">
        <v>10044967</v>
      </c>
      <c r="F2063" t="s">
        <v>2151</v>
      </c>
      <c r="G2063" t="s">
        <v>43</v>
      </c>
      <c r="H2063" t="s">
        <v>32</v>
      </c>
      <c r="I2063" t="s">
        <v>386</v>
      </c>
      <c r="J2063" t="s">
        <v>45</v>
      </c>
      <c r="K2063" t="s">
        <v>35</v>
      </c>
      <c r="L2063" t="s">
        <v>175</v>
      </c>
      <c r="M2063" t="s">
        <v>117</v>
      </c>
      <c r="N2063">
        <v>0</v>
      </c>
      <c r="O2063">
        <v>0</v>
      </c>
      <c r="P2063">
        <v>0</v>
      </c>
      <c r="Q2063">
        <v>15</v>
      </c>
      <c r="R2063">
        <v>0</v>
      </c>
      <c r="S2063" t="str">
        <f t="shared" si="160"/>
        <v>PY: Media Crit.</v>
      </c>
      <c r="T2063">
        <f t="shared" si="161"/>
        <v>0</v>
      </c>
      <c r="U2063">
        <f t="shared" si="162"/>
        <v>0</v>
      </c>
      <c r="V2063">
        <f t="shared" si="163"/>
        <v>0</v>
      </c>
      <c r="W2063">
        <f t="shared" si="164"/>
        <v>1</v>
      </c>
      <c r="X2063">
        <v>1</v>
      </c>
      <c r="Y2063" s="2">
        <v>45768</v>
      </c>
      <c r="Z2063" s="3" t="s">
        <v>118</v>
      </c>
      <c r="AA2063" t="s">
        <v>39</v>
      </c>
      <c r="AB2063" t="s">
        <v>40</v>
      </c>
      <c r="AC2063" t="s">
        <v>40</v>
      </c>
      <c r="AD2063" t="s">
        <v>387</v>
      </c>
    </row>
    <row r="2064" spans="2:30">
      <c r="B2064">
        <v>0</v>
      </c>
      <c r="C2064">
        <v>1020</v>
      </c>
      <c r="D2064" t="s">
        <v>384</v>
      </c>
      <c r="E2064">
        <v>10044969</v>
      </c>
      <c r="F2064" t="s">
        <v>2152</v>
      </c>
      <c r="G2064" t="s">
        <v>43</v>
      </c>
      <c r="H2064" t="s">
        <v>32</v>
      </c>
      <c r="I2064" t="s">
        <v>386</v>
      </c>
      <c r="J2064" t="s">
        <v>45</v>
      </c>
      <c r="K2064" t="s">
        <v>35</v>
      </c>
      <c r="L2064" t="s">
        <v>175</v>
      </c>
      <c r="M2064" t="s">
        <v>117</v>
      </c>
      <c r="N2064">
        <v>0</v>
      </c>
      <c r="O2064">
        <v>0</v>
      </c>
      <c r="P2064">
        <v>0</v>
      </c>
      <c r="Q2064">
        <v>20</v>
      </c>
      <c r="R2064">
        <v>0</v>
      </c>
      <c r="S2064" t="str">
        <f t="shared" si="160"/>
        <v>PY: Media Crit.</v>
      </c>
      <c r="T2064">
        <f t="shared" si="161"/>
        <v>0</v>
      </c>
      <c r="U2064">
        <f t="shared" si="162"/>
        <v>0</v>
      </c>
      <c r="V2064">
        <f t="shared" si="163"/>
        <v>0</v>
      </c>
      <c r="W2064">
        <f t="shared" si="164"/>
        <v>1</v>
      </c>
      <c r="X2064">
        <v>1</v>
      </c>
      <c r="Y2064" s="2">
        <v>45768</v>
      </c>
      <c r="Z2064" s="3" t="s">
        <v>118</v>
      </c>
      <c r="AA2064" t="s">
        <v>39</v>
      </c>
      <c r="AB2064" t="s">
        <v>40</v>
      </c>
      <c r="AC2064" t="s">
        <v>40</v>
      </c>
      <c r="AD2064" t="s">
        <v>387</v>
      </c>
    </row>
    <row r="2065" spans="2:30">
      <c r="B2065">
        <v>0</v>
      </c>
      <c r="C2065">
        <v>1020</v>
      </c>
      <c r="D2065" t="s">
        <v>693</v>
      </c>
      <c r="E2065">
        <v>10044980</v>
      </c>
      <c r="F2065" t="s">
        <v>2153</v>
      </c>
      <c r="G2065" t="s">
        <v>52</v>
      </c>
      <c r="H2065" t="s">
        <v>44</v>
      </c>
      <c r="I2065" t="s">
        <v>695</v>
      </c>
      <c r="J2065" t="s">
        <v>45</v>
      </c>
      <c r="K2065" t="s">
        <v>35</v>
      </c>
      <c r="L2065" t="s">
        <v>175</v>
      </c>
      <c r="M2065" t="s">
        <v>117</v>
      </c>
      <c r="N2065">
        <v>0</v>
      </c>
      <c r="O2065">
        <v>0</v>
      </c>
      <c r="P2065">
        <v>0</v>
      </c>
      <c r="Q2065">
        <v>8</v>
      </c>
      <c r="R2065">
        <v>0</v>
      </c>
      <c r="S2065" t="str">
        <f t="shared" si="160"/>
        <v>PZ: Alta Crit.</v>
      </c>
      <c r="T2065">
        <f t="shared" si="161"/>
        <v>0</v>
      </c>
      <c r="U2065">
        <f t="shared" si="162"/>
        <v>0</v>
      </c>
      <c r="V2065">
        <f t="shared" si="163"/>
        <v>0</v>
      </c>
      <c r="W2065">
        <f t="shared" si="164"/>
        <v>1</v>
      </c>
      <c r="X2065">
        <v>1</v>
      </c>
      <c r="Y2065" s="2">
        <v>45768</v>
      </c>
      <c r="Z2065" s="3" t="s">
        <v>118</v>
      </c>
      <c r="AA2065" t="s">
        <v>39</v>
      </c>
      <c r="AB2065" t="s">
        <v>40</v>
      </c>
      <c r="AC2065" t="s">
        <v>40</v>
      </c>
      <c r="AD2065" t="s">
        <v>696</v>
      </c>
    </row>
    <row r="2066" spans="2:30">
      <c r="B2066">
        <v>0</v>
      </c>
      <c r="C2066">
        <v>1020</v>
      </c>
      <c r="D2066" t="s">
        <v>384</v>
      </c>
      <c r="E2066">
        <v>10044981</v>
      </c>
      <c r="F2066" t="s">
        <v>2154</v>
      </c>
      <c r="G2066" t="s">
        <v>43</v>
      </c>
      <c r="H2066" t="s">
        <v>32</v>
      </c>
      <c r="I2066" t="s">
        <v>386</v>
      </c>
      <c r="J2066" t="s">
        <v>582</v>
      </c>
      <c r="K2066" t="s">
        <v>35</v>
      </c>
      <c r="L2066" t="s">
        <v>175</v>
      </c>
      <c r="M2066" t="s">
        <v>117</v>
      </c>
      <c r="N2066">
        <v>0</v>
      </c>
      <c r="O2066">
        <v>0</v>
      </c>
      <c r="P2066">
        <v>0</v>
      </c>
      <c r="Q2066">
        <v>8</v>
      </c>
      <c r="R2066" s="4">
        <v>3497.28</v>
      </c>
      <c r="S2066" t="str">
        <f t="shared" si="160"/>
        <v>PY: Media Crit.</v>
      </c>
      <c r="T2066">
        <f t="shared" si="161"/>
        <v>0</v>
      </c>
      <c r="U2066">
        <f t="shared" si="162"/>
        <v>0</v>
      </c>
      <c r="V2066">
        <f t="shared" si="163"/>
        <v>0</v>
      </c>
      <c r="W2066">
        <f t="shared" si="164"/>
        <v>1</v>
      </c>
      <c r="X2066">
        <v>1</v>
      </c>
      <c r="Y2066" s="2">
        <v>45768</v>
      </c>
      <c r="Z2066" s="3" t="s">
        <v>118</v>
      </c>
      <c r="AA2066" t="s">
        <v>39</v>
      </c>
      <c r="AB2066" t="s">
        <v>40</v>
      </c>
      <c r="AC2066" t="s">
        <v>40</v>
      </c>
      <c r="AD2066" t="s">
        <v>387</v>
      </c>
    </row>
    <row r="2067" spans="2:30">
      <c r="B2067">
        <v>0</v>
      </c>
      <c r="C2067">
        <v>1020</v>
      </c>
      <c r="D2067" t="s">
        <v>693</v>
      </c>
      <c r="E2067">
        <v>10045056</v>
      </c>
      <c r="F2067" t="s">
        <v>2155</v>
      </c>
      <c r="G2067" t="s">
        <v>43</v>
      </c>
      <c r="H2067" t="s">
        <v>32</v>
      </c>
      <c r="I2067" t="s">
        <v>695</v>
      </c>
      <c r="J2067" t="s">
        <v>45</v>
      </c>
      <c r="K2067" t="s">
        <v>35</v>
      </c>
      <c r="L2067" t="s">
        <v>175</v>
      </c>
      <c r="M2067" t="s">
        <v>117</v>
      </c>
      <c r="N2067">
        <v>0</v>
      </c>
      <c r="O2067">
        <v>0</v>
      </c>
      <c r="P2067">
        <v>0</v>
      </c>
      <c r="Q2067">
        <v>4</v>
      </c>
      <c r="R2067">
        <v>0</v>
      </c>
      <c r="S2067" t="str">
        <f t="shared" si="160"/>
        <v>PY: Media Crit.</v>
      </c>
      <c r="T2067">
        <f t="shared" si="161"/>
        <v>0</v>
      </c>
      <c r="U2067">
        <f t="shared" si="162"/>
        <v>0</v>
      </c>
      <c r="V2067">
        <f t="shared" si="163"/>
        <v>0</v>
      </c>
      <c r="W2067">
        <f t="shared" si="164"/>
        <v>1</v>
      </c>
      <c r="X2067">
        <v>1</v>
      </c>
      <c r="Y2067" s="2">
        <v>45768</v>
      </c>
      <c r="Z2067" s="3" t="s">
        <v>118</v>
      </c>
      <c r="AA2067" t="s">
        <v>39</v>
      </c>
      <c r="AB2067" t="s">
        <v>40</v>
      </c>
      <c r="AC2067" t="s">
        <v>40</v>
      </c>
      <c r="AD2067" t="s">
        <v>696</v>
      </c>
    </row>
    <row r="2068" spans="2:30">
      <c r="B2068">
        <v>0</v>
      </c>
      <c r="C2068">
        <v>1020</v>
      </c>
      <c r="D2068" t="s">
        <v>693</v>
      </c>
      <c r="E2068">
        <v>10045072</v>
      </c>
      <c r="F2068" t="s">
        <v>2156</v>
      </c>
      <c r="G2068" t="s">
        <v>31</v>
      </c>
      <c r="H2068" t="s">
        <v>32</v>
      </c>
      <c r="I2068" t="s">
        <v>695</v>
      </c>
      <c r="J2068" t="s">
        <v>45</v>
      </c>
      <c r="K2068" t="s">
        <v>35</v>
      </c>
      <c r="L2068" t="s">
        <v>175</v>
      </c>
      <c r="M2068" t="s">
        <v>117</v>
      </c>
      <c r="N2068">
        <v>0</v>
      </c>
      <c r="O2068">
        <v>0</v>
      </c>
      <c r="P2068">
        <v>0</v>
      </c>
      <c r="Q2068">
        <v>0</v>
      </c>
      <c r="R2068">
        <v>0</v>
      </c>
      <c r="S2068" t="str">
        <f t="shared" si="160"/>
        <v>PX: Baja Crit.</v>
      </c>
      <c r="T2068">
        <f t="shared" si="161"/>
        <v>1</v>
      </c>
      <c r="U2068">
        <f t="shared" si="162"/>
        <v>0</v>
      </c>
      <c r="V2068">
        <f t="shared" si="163"/>
        <v>0</v>
      </c>
      <c r="W2068">
        <f t="shared" si="164"/>
        <v>0</v>
      </c>
      <c r="X2068">
        <v>1</v>
      </c>
      <c r="Y2068" s="2">
        <v>45768</v>
      </c>
      <c r="Z2068" s="3" t="s">
        <v>118</v>
      </c>
      <c r="AA2068" t="s">
        <v>39</v>
      </c>
      <c r="AB2068" t="s">
        <v>40</v>
      </c>
      <c r="AC2068" t="s">
        <v>40</v>
      </c>
      <c r="AD2068" t="s">
        <v>696</v>
      </c>
    </row>
    <row r="2069" spans="2:30">
      <c r="B2069">
        <v>0</v>
      </c>
      <c r="C2069">
        <v>1020</v>
      </c>
      <c r="D2069" t="s">
        <v>388</v>
      </c>
      <c r="E2069">
        <v>10045077</v>
      </c>
      <c r="F2069" t="s">
        <v>2157</v>
      </c>
      <c r="G2069" t="s">
        <v>43</v>
      </c>
      <c r="H2069" t="s">
        <v>32</v>
      </c>
      <c r="I2069" t="s">
        <v>390</v>
      </c>
      <c r="J2069" t="s">
        <v>45</v>
      </c>
      <c r="K2069" t="s">
        <v>35</v>
      </c>
      <c r="L2069" t="s">
        <v>175</v>
      </c>
      <c r="M2069" t="s">
        <v>69</v>
      </c>
      <c r="N2069">
        <v>0</v>
      </c>
      <c r="O2069">
        <v>0</v>
      </c>
      <c r="P2069">
        <v>4</v>
      </c>
      <c r="Q2069">
        <v>4</v>
      </c>
      <c r="R2069">
        <v>0</v>
      </c>
      <c r="S2069" t="str">
        <f t="shared" si="160"/>
        <v>PY: Media Crit.</v>
      </c>
      <c r="T2069">
        <f t="shared" si="161"/>
        <v>0</v>
      </c>
      <c r="U2069">
        <f t="shared" si="162"/>
        <v>1</v>
      </c>
      <c r="V2069">
        <f t="shared" si="163"/>
        <v>0</v>
      </c>
      <c r="W2069">
        <f t="shared" si="164"/>
        <v>1</v>
      </c>
      <c r="X2069">
        <v>1</v>
      </c>
      <c r="Y2069" s="2">
        <v>45768</v>
      </c>
      <c r="Z2069" s="3" t="s">
        <v>70</v>
      </c>
      <c r="AA2069" t="s">
        <v>39</v>
      </c>
      <c r="AB2069" t="s">
        <v>40</v>
      </c>
      <c r="AC2069" t="s">
        <v>40</v>
      </c>
      <c r="AD2069" t="s">
        <v>391</v>
      </c>
    </row>
    <row r="2070" spans="2:30">
      <c r="B2070">
        <v>0</v>
      </c>
      <c r="C2070">
        <v>1020</v>
      </c>
      <c r="D2070" t="s">
        <v>181</v>
      </c>
      <c r="E2070">
        <v>10045079</v>
      </c>
      <c r="F2070" t="s">
        <v>2158</v>
      </c>
      <c r="G2070" t="s">
        <v>43</v>
      </c>
      <c r="H2070" t="s">
        <v>32</v>
      </c>
      <c r="I2070" t="s">
        <v>183</v>
      </c>
      <c r="J2070" t="s">
        <v>45</v>
      </c>
      <c r="K2070" t="s">
        <v>35</v>
      </c>
      <c r="L2070" t="s">
        <v>36</v>
      </c>
      <c r="M2070" t="s">
        <v>69</v>
      </c>
      <c r="N2070">
        <v>6</v>
      </c>
      <c r="O2070">
        <v>3</v>
      </c>
      <c r="P2070">
        <v>2</v>
      </c>
      <c r="Q2070">
        <v>6</v>
      </c>
      <c r="R2070" s="4">
        <v>1119.43</v>
      </c>
      <c r="S2070" t="str">
        <f t="shared" si="160"/>
        <v>PY: Media Crit.</v>
      </c>
      <c r="T2070">
        <f t="shared" si="161"/>
        <v>0</v>
      </c>
      <c r="U2070">
        <f t="shared" si="162"/>
        <v>0</v>
      </c>
      <c r="V2070">
        <f t="shared" si="163"/>
        <v>1</v>
      </c>
      <c r="W2070">
        <f t="shared" si="164"/>
        <v>0</v>
      </c>
      <c r="X2070">
        <v>1</v>
      </c>
      <c r="Y2070" s="2">
        <v>45768</v>
      </c>
      <c r="Z2070" s="3" t="s">
        <v>70</v>
      </c>
      <c r="AA2070" t="s">
        <v>39</v>
      </c>
      <c r="AB2070" t="s">
        <v>40</v>
      </c>
      <c r="AC2070" t="s">
        <v>40</v>
      </c>
      <c r="AD2070" t="s">
        <v>184</v>
      </c>
    </row>
    <row r="2071" spans="2:30">
      <c r="B2071">
        <v>0</v>
      </c>
      <c r="C2071">
        <v>1020</v>
      </c>
      <c r="D2071" t="s">
        <v>693</v>
      </c>
      <c r="E2071">
        <v>10045085</v>
      </c>
      <c r="F2071" t="s">
        <v>2159</v>
      </c>
      <c r="G2071" t="s">
        <v>52</v>
      </c>
      <c r="H2071" t="s">
        <v>32</v>
      </c>
      <c r="I2071" t="s">
        <v>695</v>
      </c>
      <c r="J2071" t="s">
        <v>45</v>
      </c>
      <c r="K2071" t="s">
        <v>35</v>
      </c>
      <c r="L2071" t="s">
        <v>175</v>
      </c>
      <c r="M2071" t="s">
        <v>117</v>
      </c>
      <c r="N2071">
        <v>0</v>
      </c>
      <c r="O2071">
        <v>0</v>
      </c>
      <c r="P2071">
        <v>0</v>
      </c>
      <c r="Q2071">
        <v>12</v>
      </c>
      <c r="R2071">
        <v>0</v>
      </c>
      <c r="S2071" t="str">
        <f t="shared" si="160"/>
        <v>PZ: Alta Crit.</v>
      </c>
      <c r="T2071">
        <f t="shared" si="161"/>
        <v>0</v>
      </c>
      <c r="U2071">
        <f t="shared" si="162"/>
        <v>0</v>
      </c>
      <c r="V2071">
        <f t="shared" si="163"/>
        <v>0</v>
      </c>
      <c r="W2071">
        <f t="shared" si="164"/>
        <v>1</v>
      </c>
      <c r="X2071">
        <v>1</v>
      </c>
      <c r="Y2071" s="2">
        <v>45768</v>
      </c>
      <c r="Z2071" s="3" t="s">
        <v>118</v>
      </c>
      <c r="AA2071" t="s">
        <v>39</v>
      </c>
      <c r="AB2071" t="s">
        <v>40</v>
      </c>
      <c r="AC2071" t="s">
        <v>40</v>
      </c>
      <c r="AD2071" t="s">
        <v>696</v>
      </c>
    </row>
    <row r="2072" spans="2:30">
      <c r="B2072">
        <v>0</v>
      </c>
      <c r="C2072">
        <v>1020</v>
      </c>
      <c r="D2072" t="s">
        <v>384</v>
      </c>
      <c r="E2072">
        <v>10045105</v>
      </c>
      <c r="F2072" t="s">
        <v>2160</v>
      </c>
      <c r="G2072" t="s">
        <v>52</v>
      </c>
      <c r="H2072" t="s">
        <v>32</v>
      </c>
      <c r="I2072" t="s">
        <v>386</v>
      </c>
      <c r="J2072" t="s">
        <v>45</v>
      </c>
      <c r="K2072" t="s">
        <v>35</v>
      </c>
      <c r="L2072" t="s">
        <v>175</v>
      </c>
      <c r="M2072" t="s">
        <v>37</v>
      </c>
      <c r="N2072">
        <v>0</v>
      </c>
      <c r="O2072">
        <v>0</v>
      </c>
      <c r="P2072">
        <v>0</v>
      </c>
      <c r="Q2072">
        <v>12</v>
      </c>
      <c r="R2072">
        <v>0</v>
      </c>
      <c r="S2072" t="str">
        <f t="shared" si="160"/>
        <v>PZ: Alta Crit.</v>
      </c>
      <c r="T2072">
        <f t="shared" si="161"/>
        <v>0</v>
      </c>
      <c r="U2072">
        <f t="shared" si="162"/>
        <v>0</v>
      </c>
      <c r="V2072">
        <f t="shared" si="163"/>
        <v>0</v>
      </c>
      <c r="W2072">
        <f t="shared" si="164"/>
        <v>1</v>
      </c>
      <c r="X2072">
        <v>1</v>
      </c>
      <c r="Y2072" s="2">
        <v>45768</v>
      </c>
      <c r="Z2072" s="3" t="s">
        <v>38</v>
      </c>
      <c r="AA2072" t="s">
        <v>39</v>
      </c>
      <c r="AB2072" t="s">
        <v>40</v>
      </c>
      <c r="AC2072" t="s">
        <v>40</v>
      </c>
      <c r="AD2072" t="s">
        <v>387</v>
      </c>
    </row>
    <row r="2073" spans="2:30">
      <c r="B2073">
        <v>0</v>
      </c>
      <c r="C2073">
        <v>1020</v>
      </c>
      <c r="D2073" t="s">
        <v>181</v>
      </c>
      <c r="E2073">
        <v>10045170</v>
      </c>
      <c r="F2073" t="s">
        <v>2161</v>
      </c>
      <c r="G2073" t="s">
        <v>52</v>
      </c>
      <c r="H2073" t="s">
        <v>44</v>
      </c>
      <c r="I2073" t="s">
        <v>183</v>
      </c>
      <c r="J2073" t="s">
        <v>45</v>
      </c>
      <c r="K2073" t="s">
        <v>35</v>
      </c>
      <c r="L2073" t="s">
        <v>36</v>
      </c>
      <c r="M2073" t="s">
        <v>117</v>
      </c>
      <c r="N2073">
        <v>40</v>
      </c>
      <c r="O2073">
        <v>21</v>
      </c>
      <c r="P2073">
        <v>16</v>
      </c>
      <c r="Q2073">
        <v>37</v>
      </c>
      <c r="R2073" s="4">
        <v>20941.060000000001</v>
      </c>
      <c r="S2073" t="str">
        <f t="shared" si="160"/>
        <v>PZ: Alta Crit.</v>
      </c>
      <c r="T2073">
        <f t="shared" si="161"/>
        <v>0</v>
      </c>
      <c r="U2073">
        <f t="shared" si="162"/>
        <v>0</v>
      </c>
      <c r="V2073">
        <f t="shared" si="163"/>
        <v>1</v>
      </c>
      <c r="W2073">
        <f t="shared" si="164"/>
        <v>0</v>
      </c>
      <c r="X2073">
        <v>1</v>
      </c>
      <c r="Y2073" s="2">
        <v>45768</v>
      </c>
      <c r="Z2073" s="3" t="s">
        <v>118</v>
      </c>
      <c r="AA2073" t="s">
        <v>39</v>
      </c>
      <c r="AB2073" t="s">
        <v>40</v>
      </c>
      <c r="AC2073" t="s">
        <v>40</v>
      </c>
      <c r="AD2073" t="s">
        <v>184</v>
      </c>
    </row>
    <row r="2074" spans="2:30">
      <c r="B2074">
        <v>0</v>
      </c>
      <c r="C2074">
        <v>1020</v>
      </c>
      <c r="D2074" t="s">
        <v>693</v>
      </c>
      <c r="E2074">
        <v>10045203</v>
      </c>
      <c r="F2074" t="s">
        <v>2162</v>
      </c>
      <c r="G2074" t="s">
        <v>52</v>
      </c>
      <c r="H2074" t="s">
        <v>32</v>
      </c>
      <c r="I2074" t="s">
        <v>695</v>
      </c>
      <c r="J2074" t="s">
        <v>45</v>
      </c>
      <c r="K2074" t="s">
        <v>35</v>
      </c>
      <c r="L2074" t="s">
        <v>175</v>
      </c>
      <c r="M2074" t="s">
        <v>117</v>
      </c>
      <c r="N2074">
        <v>0</v>
      </c>
      <c r="O2074">
        <v>0</v>
      </c>
      <c r="P2074">
        <v>0</v>
      </c>
      <c r="Q2074">
        <v>90</v>
      </c>
      <c r="R2074">
        <v>0</v>
      </c>
      <c r="S2074" t="str">
        <f t="shared" si="160"/>
        <v>PZ: Alta Crit.</v>
      </c>
      <c r="T2074">
        <f t="shared" si="161"/>
        <v>0</v>
      </c>
      <c r="U2074">
        <f t="shared" si="162"/>
        <v>0</v>
      </c>
      <c r="V2074">
        <f t="shared" si="163"/>
        <v>0</v>
      </c>
      <c r="W2074">
        <f t="shared" si="164"/>
        <v>1</v>
      </c>
      <c r="X2074">
        <v>1</v>
      </c>
      <c r="Y2074" s="2">
        <v>45768</v>
      </c>
      <c r="Z2074" s="3" t="s">
        <v>118</v>
      </c>
      <c r="AA2074" t="s">
        <v>39</v>
      </c>
      <c r="AB2074" t="s">
        <v>40</v>
      </c>
      <c r="AC2074" t="s">
        <v>40</v>
      </c>
      <c r="AD2074" t="s">
        <v>696</v>
      </c>
    </row>
    <row r="2075" spans="2:30">
      <c r="B2075">
        <v>0</v>
      </c>
      <c r="C2075">
        <v>1020</v>
      </c>
      <c r="D2075" t="s">
        <v>693</v>
      </c>
      <c r="E2075">
        <v>10045426</v>
      </c>
      <c r="F2075" t="s">
        <v>2163</v>
      </c>
      <c r="G2075" t="s">
        <v>31</v>
      </c>
      <c r="H2075" t="s">
        <v>44</v>
      </c>
      <c r="I2075" t="s">
        <v>695</v>
      </c>
      <c r="J2075" t="s">
        <v>45</v>
      </c>
      <c r="K2075" t="s">
        <v>35</v>
      </c>
      <c r="L2075" t="s">
        <v>175</v>
      </c>
      <c r="M2075" t="s">
        <v>88</v>
      </c>
      <c r="N2075">
        <v>0</v>
      </c>
      <c r="O2075">
        <v>0</v>
      </c>
      <c r="P2075">
        <v>0</v>
      </c>
      <c r="Q2075">
        <v>18</v>
      </c>
      <c r="R2075">
        <v>0</v>
      </c>
      <c r="S2075" t="str">
        <f t="shared" si="160"/>
        <v>PX: Baja Crit.</v>
      </c>
      <c r="T2075">
        <f t="shared" si="161"/>
        <v>0</v>
      </c>
      <c r="U2075">
        <f t="shared" si="162"/>
        <v>0</v>
      </c>
      <c r="V2075">
        <f t="shared" si="163"/>
        <v>0</v>
      </c>
      <c r="W2075">
        <f t="shared" si="164"/>
        <v>1</v>
      </c>
      <c r="X2075">
        <v>1</v>
      </c>
      <c r="Y2075" s="2">
        <v>45768</v>
      </c>
      <c r="Z2075" s="3" t="s">
        <v>89</v>
      </c>
      <c r="AA2075" t="s">
        <v>39</v>
      </c>
      <c r="AB2075" t="s">
        <v>40</v>
      </c>
      <c r="AC2075" t="s">
        <v>40</v>
      </c>
      <c r="AD2075" t="s">
        <v>696</v>
      </c>
    </row>
    <row r="2076" spans="2:30">
      <c r="B2076">
        <v>0</v>
      </c>
      <c r="C2076">
        <v>1020</v>
      </c>
      <c r="D2076" t="s">
        <v>693</v>
      </c>
      <c r="E2076">
        <v>10045467</v>
      </c>
      <c r="F2076" t="s">
        <v>2164</v>
      </c>
      <c r="G2076" t="s">
        <v>31</v>
      </c>
      <c r="H2076" t="s">
        <v>32</v>
      </c>
      <c r="I2076" t="s">
        <v>695</v>
      </c>
      <c r="J2076" t="s">
        <v>45</v>
      </c>
      <c r="K2076" t="s">
        <v>35</v>
      </c>
      <c r="L2076" t="s">
        <v>175</v>
      </c>
      <c r="M2076" t="s">
        <v>88</v>
      </c>
      <c r="N2076">
        <v>0</v>
      </c>
      <c r="O2076">
        <v>0</v>
      </c>
      <c r="P2076">
        <v>0</v>
      </c>
      <c r="Q2076">
        <v>18</v>
      </c>
      <c r="R2076">
        <v>0</v>
      </c>
      <c r="S2076" t="str">
        <f t="shared" si="160"/>
        <v>PX: Baja Crit.</v>
      </c>
      <c r="T2076">
        <f t="shared" si="161"/>
        <v>0</v>
      </c>
      <c r="U2076">
        <f t="shared" si="162"/>
        <v>0</v>
      </c>
      <c r="V2076">
        <f t="shared" si="163"/>
        <v>0</v>
      </c>
      <c r="W2076">
        <f t="shared" si="164"/>
        <v>1</v>
      </c>
      <c r="X2076">
        <v>1</v>
      </c>
      <c r="Y2076" s="2">
        <v>45768</v>
      </c>
      <c r="Z2076" s="3" t="s">
        <v>89</v>
      </c>
      <c r="AA2076" t="s">
        <v>39</v>
      </c>
      <c r="AB2076" t="s">
        <v>40</v>
      </c>
      <c r="AC2076" t="s">
        <v>40</v>
      </c>
      <c r="AD2076" t="s">
        <v>696</v>
      </c>
    </row>
    <row r="2077" spans="2:30">
      <c r="B2077">
        <v>0</v>
      </c>
      <c r="C2077">
        <v>1020</v>
      </c>
      <c r="D2077" t="s">
        <v>693</v>
      </c>
      <c r="E2077">
        <v>10045542</v>
      </c>
      <c r="F2077" t="s">
        <v>2165</v>
      </c>
      <c r="G2077" t="s">
        <v>31</v>
      </c>
      <c r="H2077" t="s">
        <v>44</v>
      </c>
      <c r="I2077" t="s">
        <v>695</v>
      </c>
      <c r="J2077" t="s">
        <v>45</v>
      </c>
      <c r="K2077" t="s">
        <v>35</v>
      </c>
      <c r="L2077" t="s">
        <v>175</v>
      </c>
      <c r="M2077" t="s">
        <v>88</v>
      </c>
      <c r="N2077">
        <v>0</v>
      </c>
      <c r="O2077">
        <v>0</v>
      </c>
      <c r="P2077">
        <v>0</v>
      </c>
      <c r="Q2077">
        <v>38</v>
      </c>
      <c r="R2077">
        <v>0</v>
      </c>
      <c r="S2077" t="str">
        <f t="shared" si="160"/>
        <v>PX: Baja Crit.</v>
      </c>
      <c r="T2077">
        <f t="shared" si="161"/>
        <v>0</v>
      </c>
      <c r="U2077">
        <f t="shared" si="162"/>
        <v>0</v>
      </c>
      <c r="V2077">
        <f t="shared" si="163"/>
        <v>0</v>
      </c>
      <c r="W2077">
        <f t="shared" si="164"/>
        <v>1</v>
      </c>
      <c r="X2077">
        <v>1</v>
      </c>
      <c r="Y2077" s="2">
        <v>45768</v>
      </c>
      <c r="Z2077" s="3" t="s">
        <v>89</v>
      </c>
      <c r="AA2077" t="s">
        <v>39</v>
      </c>
      <c r="AB2077" t="s">
        <v>40</v>
      </c>
      <c r="AC2077" t="s">
        <v>40</v>
      </c>
      <c r="AD2077" t="s">
        <v>696</v>
      </c>
    </row>
    <row r="2078" spans="2:30">
      <c r="B2078">
        <v>0</v>
      </c>
      <c r="C2078">
        <v>1020</v>
      </c>
      <c r="D2078" t="s">
        <v>693</v>
      </c>
      <c r="E2078">
        <v>10045678</v>
      </c>
      <c r="F2078" t="s">
        <v>2166</v>
      </c>
      <c r="G2078" t="s">
        <v>31</v>
      </c>
      <c r="H2078" t="s">
        <v>44</v>
      </c>
      <c r="I2078" t="s">
        <v>695</v>
      </c>
      <c r="J2078" t="s">
        <v>45</v>
      </c>
      <c r="K2078" t="s">
        <v>35</v>
      </c>
      <c r="L2078" t="s">
        <v>175</v>
      </c>
      <c r="M2078" t="s">
        <v>88</v>
      </c>
      <c r="N2078">
        <v>0</v>
      </c>
      <c r="O2078">
        <v>0</v>
      </c>
      <c r="P2078">
        <v>0</v>
      </c>
      <c r="Q2078">
        <v>0</v>
      </c>
      <c r="R2078">
        <v>0</v>
      </c>
      <c r="S2078" t="str">
        <f t="shared" si="160"/>
        <v>PX: Baja Crit.</v>
      </c>
      <c r="T2078">
        <f t="shared" si="161"/>
        <v>1</v>
      </c>
      <c r="U2078">
        <f t="shared" si="162"/>
        <v>0</v>
      </c>
      <c r="V2078">
        <f t="shared" si="163"/>
        <v>0</v>
      </c>
      <c r="W2078">
        <f t="shared" si="164"/>
        <v>0</v>
      </c>
      <c r="X2078">
        <v>1</v>
      </c>
      <c r="Y2078" s="2">
        <v>45768</v>
      </c>
      <c r="Z2078" s="3" t="s">
        <v>89</v>
      </c>
      <c r="AA2078" t="s">
        <v>39</v>
      </c>
      <c r="AB2078" t="s">
        <v>40</v>
      </c>
      <c r="AC2078" t="s">
        <v>40</v>
      </c>
      <c r="AD2078" t="s">
        <v>696</v>
      </c>
    </row>
    <row r="2079" spans="2:30">
      <c r="B2079">
        <v>0</v>
      </c>
      <c r="C2079">
        <v>1020</v>
      </c>
      <c r="D2079" t="s">
        <v>693</v>
      </c>
      <c r="E2079">
        <v>10045694</v>
      </c>
      <c r="F2079" t="s">
        <v>2167</v>
      </c>
      <c r="G2079" t="s">
        <v>31</v>
      </c>
      <c r="H2079" t="s">
        <v>32</v>
      </c>
      <c r="I2079" t="s">
        <v>695</v>
      </c>
      <c r="J2079" t="s">
        <v>45</v>
      </c>
      <c r="K2079" t="s">
        <v>35</v>
      </c>
      <c r="L2079" t="s">
        <v>175</v>
      </c>
      <c r="M2079" t="s">
        <v>88</v>
      </c>
      <c r="N2079">
        <v>0</v>
      </c>
      <c r="O2079">
        <v>0</v>
      </c>
      <c r="P2079">
        <v>0</v>
      </c>
      <c r="Q2079">
        <v>71</v>
      </c>
      <c r="R2079">
        <v>0</v>
      </c>
      <c r="S2079" t="str">
        <f t="shared" si="160"/>
        <v>PX: Baja Crit.</v>
      </c>
      <c r="T2079">
        <f t="shared" si="161"/>
        <v>0</v>
      </c>
      <c r="U2079">
        <f t="shared" si="162"/>
        <v>0</v>
      </c>
      <c r="V2079">
        <f t="shared" si="163"/>
        <v>0</v>
      </c>
      <c r="W2079">
        <f t="shared" si="164"/>
        <v>1</v>
      </c>
      <c r="X2079">
        <v>1</v>
      </c>
      <c r="Y2079" s="2">
        <v>45768</v>
      </c>
      <c r="Z2079" s="3" t="s">
        <v>89</v>
      </c>
      <c r="AA2079" t="s">
        <v>39</v>
      </c>
      <c r="AB2079" t="s">
        <v>40</v>
      </c>
      <c r="AC2079" t="s">
        <v>40</v>
      </c>
      <c r="AD2079" t="s">
        <v>696</v>
      </c>
    </row>
    <row r="2080" spans="2:30">
      <c r="B2080">
        <v>0</v>
      </c>
      <c r="C2080">
        <v>1020</v>
      </c>
      <c r="D2080" t="s">
        <v>693</v>
      </c>
      <c r="E2080">
        <v>10046312</v>
      </c>
      <c r="F2080" t="s">
        <v>2168</v>
      </c>
      <c r="G2080" t="s">
        <v>52</v>
      </c>
      <c r="H2080" t="s">
        <v>32</v>
      </c>
      <c r="I2080" t="s">
        <v>695</v>
      </c>
      <c r="J2080" t="s">
        <v>45</v>
      </c>
      <c r="K2080" t="s">
        <v>35</v>
      </c>
      <c r="L2080" t="s">
        <v>175</v>
      </c>
      <c r="M2080" t="s">
        <v>117</v>
      </c>
      <c r="N2080">
        <v>0</v>
      </c>
      <c r="O2080">
        <v>0</v>
      </c>
      <c r="P2080">
        <v>0</v>
      </c>
      <c r="Q2080">
        <v>2</v>
      </c>
      <c r="R2080">
        <v>0</v>
      </c>
      <c r="S2080" t="str">
        <f t="shared" si="160"/>
        <v>PZ: Alta Crit.</v>
      </c>
      <c r="T2080">
        <f t="shared" si="161"/>
        <v>0</v>
      </c>
      <c r="U2080">
        <f t="shared" si="162"/>
        <v>0</v>
      </c>
      <c r="V2080">
        <f t="shared" si="163"/>
        <v>0</v>
      </c>
      <c r="W2080">
        <f t="shared" si="164"/>
        <v>1</v>
      </c>
      <c r="X2080">
        <v>1</v>
      </c>
      <c r="Y2080" s="2">
        <v>45768</v>
      </c>
      <c r="Z2080" s="3" t="s">
        <v>118</v>
      </c>
      <c r="AA2080" t="s">
        <v>39</v>
      </c>
      <c r="AB2080" t="s">
        <v>40</v>
      </c>
      <c r="AC2080" t="s">
        <v>40</v>
      </c>
      <c r="AD2080" t="s">
        <v>696</v>
      </c>
    </row>
    <row r="2081" spans="2:30">
      <c r="B2081">
        <v>0</v>
      </c>
      <c r="C2081">
        <v>1020</v>
      </c>
      <c r="D2081" t="s">
        <v>693</v>
      </c>
      <c r="E2081">
        <v>10046314</v>
      </c>
      <c r="F2081" t="s">
        <v>2169</v>
      </c>
      <c r="G2081" t="s">
        <v>52</v>
      </c>
      <c r="H2081" t="s">
        <v>32</v>
      </c>
      <c r="I2081" t="s">
        <v>695</v>
      </c>
      <c r="J2081" t="s">
        <v>45</v>
      </c>
      <c r="K2081" t="s">
        <v>35</v>
      </c>
      <c r="L2081" t="s">
        <v>175</v>
      </c>
      <c r="M2081" t="s">
        <v>117</v>
      </c>
      <c r="N2081">
        <v>0</v>
      </c>
      <c r="O2081">
        <v>0</v>
      </c>
      <c r="P2081">
        <v>0</v>
      </c>
      <c r="Q2081">
        <v>1</v>
      </c>
      <c r="R2081">
        <v>0</v>
      </c>
      <c r="S2081" t="str">
        <f t="shared" si="160"/>
        <v>PZ: Alta Crit.</v>
      </c>
      <c r="T2081">
        <f t="shared" si="161"/>
        <v>0</v>
      </c>
      <c r="U2081">
        <f t="shared" si="162"/>
        <v>0</v>
      </c>
      <c r="V2081">
        <f t="shared" si="163"/>
        <v>0</v>
      </c>
      <c r="W2081">
        <f t="shared" si="164"/>
        <v>1</v>
      </c>
      <c r="X2081">
        <v>1</v>
      </c>
      <c r="Y2081" s="2">
        <v>45768</v>
      </c>
      <c r="Z2081" s="3" t="s">
        <v>118</v>
      </c>
      <c r="AA2081" t="s">
        <v>39</v>
      </c>
      <c r="AB2081" t="s">
        <v>40</v>
      </c>
      <c r="AC2081" t="s">
        <v>40</v>
      </c>
      <c r="AD2081" t="s">
        <v>696</v>
      </c>
    </row>
    <row r="2082" spans="2:30">
      <c r="B2082">
        <v>0</v>
      </c>
      <c r="C2082">
        <v>1020</v>
      </c>
      <c r="D2082" t="s">
        <v>181</v>
      </c>
      <c r="E2082">
        <v>10046352</v>
      </c>
      <c r="F2082" t="s">
        <v>2170</v>
      </c>
      <c r="G2082" t="s">
        <v>31</v>
      </c>
      <c r="H2082" t="s">
        <v>60</v>
      </c>
      <c r="I2082" t="s">
        <v>183</v>
      </c>
      <c r="J2082" t="s">
        <v>45</v>
      </c>
      <c r="K2082" t="s">
        <v>35</v>
      </c>
      <c r="L2082" t="s">
        <v>36</v>
      </c>
      <c r="M2082" t="s">
        <v>88</v>
      </c>
      <c r="N2082">
        <v>3</v>
      </c>
      <c r="O2082">
        <v>2</v>
      </c>
      <c r="P2082">
        <v>0</v>
      </c>
      <c r="Q2082">
        <v>3</v>
      </c>
      <c r="R2082">
        <v>0</v>
      </c>
      <c r="S2082" t="str">
        <f t="shared" si="160"/>
        <v>PX: Baja Crit.</v>
      </c>
      <c r="T2082">
        <f t="shared" si="161"/>
        <v>0</v>
      </c>
      <c r="U2082">
        <f t="shared" si="162"/>
        <v>0</v>
      </c>
      <c r="V2082">
        <f t="shared" si="163"/>
        <v>1</v>
      </c>
      <c r="W2082">
        <f t="shared" si="164"/>
        <v>0</v>
      </c>
      <c r="X2082">
        <v>1</v>
      </c>
      <c r="Y2082" s="2">
        <v>45768</v>
      </c>
      <c r="Z2082" s="3" t="s">
        <v>89</v>
      </c>
      <c r="AA2082" t="s">
        <v>39</v>
      </c>
      <c r="AB2082" t="s">
        <v>40</v>
      </c>
      <c r="AC2082" t="s">
        <v>40</v>
      </c>
      <c r="AD2082" t="s">
        <v>184</v>
      </c>
    </row>
    <row r="2083" spans="2:30">
      <c r="B2083">
        <v>0</v>
      </c>
      <c r="C2083">
        <v>1020</v>
      </c>
      <c r="D2083" t="s">
        <v>388</v>
      </c>
      <c r="E2083">
        <v>10046559</v>
      </c>
      <c r="F2083" t="s">
        <v>2171</v>
      </c>
      <c r="G2083" t="s">
        <v>52</v>
      </c>
      <c r="H2083" t="s">
        <v>32</v>
      </c>
      <c r="I2083" t="s">
        <v>390</v>
      </c>
      <c r="J2083" t="s">
        <v>45</v>
      </c>
      <c r="K2083" t="s">
        <v>35</v>
      </c>
      <c r="L2083" t="s">
        <v>175</v>
      </c>
      <c r="M2083" t="s">
        <v>37</v>
      </c>
      <c r="N2083">
        <v>0</v>
      </c>
      <c r="O2083">
        <v>0</v>
      </c>
      <c r="P2083">
        <v>1</v>
      </c>
      <c r="Q2083">
        <v>1</v>
      </c>
      <c r="R2083">
        <v>0</v>
      </c>
      <c r="S2083" t="str">
        <f t="shared" si="160"/>
        <v>PZ: Alta Crit.</v>
      </c>
      <c r="T2083">
        <f t="shared" si="161"/>
        <v>0</v>
      </c>
      <c r="U2083">
        <f t="shared" si="162"/>
        <v>1</v>
      </c>
      <c r="V2083">
        <f t="shared" si="163"/>
        <v>0</v>
      </c>
      <c r="W2083">
        <f t="shared" si="164"/>
        <v>1</v>
      </c>
      <c r="X2083">
        <v>1</v>
      </c>
      <c r="Y2083" s="2">
        <v>45768</v>
      </c>
      <c r="Z2083" s="3" t="s">
        <v>38</v>
      </c>
      <c r="AA2083" t="s">
        <v>39</v>
      </c>
      <c r="AB2083" t="s">
        <v>40</v>
      </c>
      <c r="AC2083" t="s">
        <v>40</v>
      </c>
      <c r="AD2083" t="s">
        <v>391</v>
      </c>
    </row>
    <row r="2084" spans="2:30">
      <c r="B2084">
        <v>0</v>
      </c>
      <c r="C2084">
        <v>1020</v>
      </c>
      <c r="D2084" t="s">
        <v>384</v>
      </c>
      <c r="E2084">
        <v>10046579</v>
      </c>
      <c r="F2084" t="s">
        <v>2172</v>
      </c>
      <c r="G2084" t="s">
        <v>43</v>
      </c>
      <c r="H2084" t="s">
        <v>60</v>
      </c>
      <c r="I2084" t="s">
        <v>386</v>
      </c>
      <c r="J2084" t="s">
        <v>45</v>
      </c>
      <c r="K2084" t="s">
        <v>35</v>
      </c>
      <c r="L2084" t="s">
        <v>175</v>
      </c>
      <c r="M2084" t="s">
        <v>117</v>
      </c>
      <c r="N2084">
        <v>0</v>
      </c>
      <c r="O2084">
        <v>0</v>
      </c>
      <c r="P2084">
        <v>0</v>
      </c>
      <c r="Q2084">
        <v>20</v>
      </c>
      <c r="R2084" s="4">
        <v>2108.5700000000002</v>
      </c>
      <c r="S2084" t="str">
        <f t="shared" si="160"/>
        <v>PY: Media Crit.</v>
      </c>
      <c r="T2084">
        <f t="shared" si="161"/>
        <v>0</v>
      </c>
      <c r="U2084">
        <f t="shared" si="162"/>
        <v>0</v>
      </c>
      <c r="V2084">
        <f t="shared" si="163"/>
        <v>0</v>
      </c>
      <c r="W2084">
        <f t="shared" si="164"/>
        <v>1</v>
      </c>
      <c r="X2084">
        <v>1</v>
      </c>
      <c r="Y2084" s="2">
        <v>45768</v>
      </c>
      <c r="Z2084" s="3" t="s">
        <v>118</v>
      </c>
      <c r="AA2084" t="s">
        <v>39</v>
      </c>
      <c r="AB2084" t="s">
        <v>40</v>
      </c>
      <c r="AC2084" t="s">
        <v>40</v>
      </c>
      <c r="AD2084" t="s">
        <v>387</v>
      </c>
    </row>
    <row r="2085" spans="2:30">
      <c r="B2085">
        <v>0</v>
      </c>
      <c r="C2085">
        <v>1020</v>
      </c>
      <c r="D2085" t="s">
        <v>384</v>
      </c>
      <c r="E2085">
        <v>10046581</v>
      </c>
      <c r="F2085" t="s">
        <v>2173</v>
      </c>
      <c r="G2085" t="s">
        <v>52</v>
      </c>
      <c r="H2085" t="s">
        <v>32</v>
      </c>
      <c r="I2085" t="s">
        <v>386</v>
      </c>
      <c r="J2085" t="s">
        <v>45</v>
      </c>
      <c r="K2085" t="s">
        <v>35</v>
      </c>
      <c r="L2085" t="s">
        <v>175</v>
      </c>
      <c r="M2085" t="s">
        <v>69</v>
      </c>
      <c r="N2085">
        <v>0</v>
      </c>
      <c r="O2085">
        <v>0</v>
      </c>
      <c r="P2085">
        <v>0</v>
      </c>
      <c r="Q2085">
        <v>1</v>
      </c>
      <c r="R2085">
        <v>0</v>
      </c>
      <c r="S2085" t="str">
        <f t="shared" si="160"/>
        <v>PZ: Alta Crit.</v>
      </c>
      <c r="T2085">
        <f t="shared" si="161"/>
        <v>0</v>
      </c>
      <c r="U2085">
        <f t="shared" si="162"/>
        <v>0</v>
      </c>
      <c r="V2085">
        <f t="shared" si="163"/>
        <v>0</v>
      </c>
      <c r="W2085">
        <f t="shared" si="164"/>
        <v>1</v>
      </c>
      <c r="X2085">
        <v>1</v>
      </c>
      <c r="Y2085" s="2">
        <v>45768</v>
      </c>
      <c r="Z2085" s="3" t="s">
        <v>70</v>
      </c>
      <c r="AA2085" t="s">
        <v>39</v>
      </c>
      <c r="AB2085" t="s">
        <v>40</v>
      </c>
      <c r="AC2085" t="s">
        <v>40</v>
      </c>
      <c r="AD2085" t="s">
        <v>387</v>
      </c>
    </row>
    <row r="2086" spans="2:30">
      <c r="B2086">
        <v>0</v>
      </c>
      <c r="C2086">
        <v>1020</v>
      </c>
      <c r="D2086" t="s">
        <v>181</v>
      </c>
      <c r="E2086">
        <v>10046645</v>
      </c>
      <c r="F2086" t="s">
        <v>2174</v>
      </c>
      <c r="G2086" t="s">
        <v>31</v>
      </c>
      <c r="H2086" t="s">
        <v>32</v>
      </c>
      <c r="I2086" t="s">
        <v>183</v>
      </c>
      <c r="J2086" t="s">
        <v>45</v>
      </c>
      <c r="K2086" t="s">
        <v>35</v>
      </c>
      <c r="L2086" t="s">
        <v>36</v>
      </c>
      <c r="M2086" t="s">
        <v>37</v>
      </c>
      <c r="N2086">
        <v>5</v>
      </c>
      <c r="O2086">
        <v>3</v>
      </c>
      <c r="P2086">
        <v>1</v>
      </c>
      <c r="Q2086">
        <v>4</v>
      </c>
      <c r="R2086">
        <v>0</v>
      </c>
      <c r="S2086" t="str">
        <f t="shared" si="160"/>
        <v>PX: Baja Crit.</v>
      </c>
      <c r="T2086">
        <f t="shared" si="161"/>
        <v>0</v>
      </c>
      <c r="U2086">
        <f t="shared" si="162"/>
        <v>0</v>
      </c>
      <c r="V2086">
        <f t="shared" si="163"/>
        <v>1</v>
      </c>
      <c r="W2086">
        <f t="shared" si="164"/>
        <v>0</v>
      </c>
      <c r="X2086">
        <v>1</v>
      </c>
      <c r="Y2086" s="2">
        <v>45768</v>
      </c>
      <c r="Z2086" s="3" t="s">
        <v>38</v>
      </c>
      <c r="AA2086" t="s">
        <v>39</v>
      </c>
      <c r="AB2086" t="s">
        <v>40</v>
      </c>
      <c r="AC2086" t="s">
        <v>40</v>
      </c>
      <c r="AD2086" t="s">
        <v>184</v>
      </c>
    </row>
    <row r="2087" spans="2:30">
      <c r="B2087">
        <v>0</v>
      </c>
      <c r="C2087">
        <v>1020</v>
      </c>
      <c r="D2087" t="s">
        <v>181</v>
      </c>
      <c r="E2087">
        <v>10046654</v>
      </c>
      <c r="F2087" t="s">
        <v>2175</v>
      </c>
      <c r="G2087" t="s">
        <v>43</v>
      </c>
      <c r="H2087" t="s">
        <v>44</v>
      </c>
      <c r="I2087" t="s">
        <v>183</v>
      </c>
      <c r="J2087" t="s">
        <v>45</v>
      </c>
      <c r="K2087" t="s">
        <v>260</v>
      </c>
      <c r="L2087" t="s">
        <v>36</v>
      </c>
      <c r="M2087" t="s">
        <v>37</v>
      </c>
      <c r="N2087">
        <v>1</v>
      </c>
      <c r="O2087">
        <v>1</v>
      </c>
      <c r="P2087">
        <v>0</v>
      </c>
      <c r="Q2087">
        <v>2</v>
      </c>
      <c r="R2087">
        <v>0</v>
      </c>
      <c r="S2087" t="str">
        <f t="shared" si="160"/>
        <v>PY: Media Crit.</v>
      </c>
      <c r="T2087">
        <f t="shared" si="161"/>
        <v>0</v>
      </c>
      <c r="U2087">
        <f t="shared" si="162"/>
        <v>0</v>
      </c>
      <c r="V2087">
        <f t="shared" si="163"/>
        <v>0</v>
      </c>
      <c r="W2087">
        <f t="shared" si="164"/>
        <v>1</v>
      </c>
      <c r="X2087">
        <v>1</v>
      </c>
      <c r="Y2087" s="2">
        <v>45768</v>
      </c>
      <c r="Z2087" s="3" t="s">
        <v>38</v>
      </c>
      <c r="AA2087" t="s">
        <v>39</v>
      </c>
      <c r="AB2087" t="s">
        <v>40</v>
      </c>
      <c r="AC2087" t="s">
        <v>40</v>
      </c>
      <c r="AD2087" t="s">
        <v>184</v>
      </c>
    </row>
    <row r="2088" spans="2:30">
      <c r="B2088">
        <v>0</v>
      </c>
      <c r="C2088">
        <v>1020</v>
      </c>
      <c r="D2088" t="s">
        <v>384</v>
      </c>
      <c r="E2088">
        <v>10046841</v>
      </c>
      <c r="F2088" t="s">
        <v>2176</v>
      </c>
      <c r="G2088" t="s">
        <v>52</v>
      </c>
      <c r="H2088" t="s">
        <v>32</v>
      </c>
      <c r="I2088" t="s">
        <v>386</v>
      </c>
      <c r="J2088" t="s">
        <v>45</v>
      </c>
      <c r="K2088" t="s">
        <v>35</v>
      </c>
      <c r="L2088" t="s">
        <v>175</v>
      </c>
      <c r="M2088" t="s">
        <v>88</v>
      </c>
      <c r="N2088">
        <v>0</v>
      </c>
      <c r="O2088">
        <v>0</v>
      </c>
      <c r="P2088">
        <v>0</v>
      </c>
      <c r="Q2088">
        <v>14</v>
      </c>
      <c r="R2088">
        <v>0</v>
      </c>
      <c r="S2088" t="str">
        <f t="shared" si="160"/>
        <v>PZ: Alta Crit.</v>
      </c>
      <c r="T2088">
        <f t="shared" si="161"/>
        <v>0</v>
      </c>
      <c r="U2088">
        <f t="shared" si="162"/>
        <v>0</v>
      </c>
      <c r="V2088">
        <f t="shared" si="163"/>
        <v>0</v>
      </c>
      <c r="W2088">
        <f t="shared" si="164"/>
        <v>1</v>
      </c>
      <c r="X2088">
        <v>1</v>
      </c>
      <c r="Y2088" s="2">
        <v>45768</v>
      </c>
      <c r="Z2088" s="3" t="s">
        <v>89</v>
      </c>
      <c r="AA2088" t="s">
        <v>39</v>
      </c>
      <c r="AB2088" t="s">
        <v>40</v>
      </c>
      <c r="AC2088" t="s">
        <v>40</v>
      </c>
      <c r="AD2088" t="s">
        <v>387</v>
      </c>
    </row>
    <row r="2089" spans="2:30">
      <c r="B2089">
        <v>0</v>
      </c>
      <c r="C2089">
        <v>1020</v>
      </c>
      <c r="D2089" t="s">
        <v>693</v>
      </c>
      <c r="E2089">
        <v>10047018</v>
      </c>
      <c r="F2089" t="s">
        <v>2177</v>
      </c>
      <c r="G2089" t="s">
        <v>43</v>
      </c>
      <c r="H2089" t="s">
        <v>32</v>
      </c>
      <c r="I2089" t="s">
        <v>695</v>
      </c>
      <c r="J2089" t="s">
        <v>45</v>
      </c>
      <c r="K2089" t="s">
        <v>35</v>
      </c>
      <c r="L2089" t="s">
        <v>175</v>
      </c>
      <c r="M2089" t="s">
        <v>88</v>
      </c>
      <c r="N2089">
        <v>0</v>
      </c>
      <c r="O2089">
        <v>0</v>
      </c>
      <c r="P2089">
        <v>0</v>
      </c>
      <c r="Q2089">
        <v>2</v>
      </c>
      <c r="R2089">
        <v>0</v>
      </c>
      <c r="S2089" t="str">
        <f t="shared" si="160"/>
        <v>PY: Media Crit.</v>
      </c>
      <c r="T2089">
        <f t="shared" si="161"/>
        <v>0</v>
      </c>
      <c r="U2089">
        <f t="shared" si="162"/>
        <v>0</v>
      </c>
      <c r="V2089">
        <f t="shared" si="163"/>
        <v>0</v>
      </c>
      <c r="W2089">
        <f t="shared" si="164"/>
        <v>1</v>
      </c>
      <c r="X2089">
        <v>1</v>
      </c>
      <c r="Y2089" s="2">
        <v>45768</v>
      </c>
      <c r="Z2089" s="3" t="s">
        <v>89</v>
      </c>
      <c r="AA2089" t="s">
        <v>39</v>
      </c>
      <c r="AB2089" t="s">
        <v>40</v>
      </c>
      <c r="AC2089" t="s">
        <v>40</v>
      </c>
      <c r="AD2089" t="s">
        <v>696</v>
      </c>
    </row>
    <row r="2090" spans="2:30">
      <c r="B2090">
        <v>0</v>
      </c>
      <c r="C2090">
        <v>1020</v>
      </c>
      <c r="D2090" t="s">
        <v>181</v>
      </c>
      <c r="E2090">
        <v>10047214</v>
      </c>
      <c r="F2090" t="s">
        <v>2178</v>
      </c>
      <c r="G2090" t="s">
        <v>43</v>
      </c>
      <c r="H2090" t="s">
        <v>60</v>
      </c>
      <c r="I2090" t="s">
        <v>183</v>
      </c>
      <c r="J2090" t="s">
        <v>45</v>
      </c>
      <c r="K2090" t="s">
        <v>260</v>
      </c>
      <c r="L2090" t="s">
        <v>36</v>
      </c>
      <c r="M2090" t="s">
        <v>37</v>
      </c>
      <c r="N2090">
        <v>1</v>
      </c>
      <c r="O2090">
        <v>1</v>
      </c>
      <c r="P2090">
        <v>0</v>
      </c>
      <c r="Q2090">
        <v>1</v>
      </c>
      <c r="R2090">
        <v>0</v>
      </c>
      <c r="S2090" t="str">
        <f t="shared" si="160"/>
        <v>PY: Media Crit.</v>
      </c>
      <c r="T2090">
        <f t="shared" si="161"/>
        <v>0</v>
      </c>
      <c r="U2090">
        <f t="shared" si="162"/>
        <v>0</v>
      </c>
      <c r="V2090">
        <f t="shared" si="163"/>
        <v>1</v>
      </c>
      <c r="W2090">
        <f t="shared" si="164"/>
        <v>0</v>
      </c>
      <c r="X2090">
        <v>1</v>
      </c>
      <c r="Y2090" s="2">
        <v>45768</v>
      </c>
      <c r="Z2090" s="3" t="s">
        <v>38</v>
      </c>
      <c r="AA2090" t="s">
        <v>39</v>
      </c>
      <c r="AB2090" t="s">
        <v>40</v>
      </c>
      <c r="AC2090" t="s">
        <v>40</v>
      </c>
      <c r="AD2090" t="s">
        <v>184</v>
      </c>
    </row>
    <row r="2091" spans="2:30">
      <c r="B2091">
        <v>0</v>
      </c>
      <c r="C2091">
        <v>1020</v>
      </c>
      <c r="D2091" t="s">
        <v>181</v>
      </c>
      <c r="E2091">
        <v>10047217</v>
      </c>
      <c r="F2091" t="s">
        <v>2179</v>
      </c>
      <c r="G2091" t="s">
        <v>43</v>
      </c>
      <c r="H2091" t="s">
        <v>44</v>
      </c>
      <c r="I2091" t="s">
        <v>183</v>
      </c>
      <c r="J2091" t="s">
        <v>45</v>
      </c>
      <c r="K2091" t="s">
        <v>260</v>
      </c>
      <c r="L2091" t="s">
        <v>36</v>
      </c>
      <c r="M2091" t="s">
        <v>37</v>
      </c>
      <c r="N2091">
        <v>1</v>
      </c>
      <c r="O2091">
        <v>1</v>
      </c>
      <c r="P2091">
        <v>0</v>
      </c>
      <c r="Q2091">
        <v>1</v>
      </c>
      <c r="R2091">
        <v>0</v>
      </c>
      <c r="S2091" t="str">
        <f t="shared" si="160"/>
        <v>PY: Media Crit.</v>
      </c>
      <c r="T2091">
        <f t="shared" si="161"/>
        <v>0</v>
      </c>
      <c r="U2091">
        <f t="shared" si="162"/>
        <v>0</v>
      </c>
      <c r="V2091">
        <f t="shared" si="163"/>
        <v>1</v>
      </c>
      <c r="W2091">
        <f t="shared" si="164"/>
        <v>0</v>
      </c>
      <c r="X2091">
        <v>1</v>
      </c>
      <c r="Y2091" s="2">
        <v>45768</v>
      </c>
      <c r="Z2091" s="3" t="s">
        <v>38</v>
      </c>
      <c r="AA2091" t="s">
        <v>39</v>
      </c>
      <c r="AB2091" t="s">
        <v>40</v>
      </c>
      <c r="AC2091" t="s">
        <v>40</v>
      </c>
      <c r="AD2091" t="s">
        <v>184</v>
      </c>
    </row>
    <row r="2092" spans="2:30">
      <c r="B2092">
        <v>0</v>
      </c>
      <c r="C2092">
        <v>1020</v>
      </c>
      <c r="D2092" t="s">
        <v>693</v>
      </c>
      <c r="E2092">
        <v>10047308</v>
      </c>
      <c r="F2092" t="s">
        <v>2180</v>
      </c>
      <c r="G2092" t="s">
        <v>43</v>
      </c>
      <c r="H2092" t="s">
        <v>32</v>
      </c>
      <c r="I2092" t="s">
        <v>695</v>
      </c>
      <c r="J2092" t="s">
        <v>45</v>
      </c>
      <c r="K2092" t="s">
        <v>35</v>
      </c>
      <c r="L2092" t="s">
        <v>175</v>
      </c>
      <c r="M2092" t="s">
        <v>37</v>
      </c>
      <c r="N2092">
        <v>0</v>
      </c>
      <c r="O2092">
        <v>0</v>
      </c>
      <c r="P2092">
        <v>0</v>
      </c>
      <c r="Q2092">
        <v>2</v>
      </c>
      <c r="R2092">
        <v>0</v>
      </c>
      <c r="S2092" t="str">
        <f t="shared" si="160"/>
        <v>PY: Media Crit.</v>
      </c>
      <c r="T2092">
        <f t="shared" si="161"/>
        <v>0</v>
      </c>
      <c r="U2092">
        <f t="shared" si="162"/>
        <v>0</v>
      </c>
      <c r="V2092">
        <f t="shared" si="163"/>
        <v>0</v>
      </c>
      <c r="W2092">
        <f t="shared" si="164"/>
        <v>1</v>
      </c>
      <c r="X2092">
        <v>1</v>
      </c>
      <c r="Y2092" s="2">
        <v>45768</v>
      </c>
      <c r="Z2092" s="3" t="s">
        <v>38</v>
      </c>
      <c r="AA2092" t="s">
        <v>39</v>
      </c>
      <c r="AB2092" t="s">
        <v>40</v>
      </c>
      <c r="AC2092" t="s">
        <v>40</v>
      </c>
      <c r="AD2092" t="s">
        <v>696</v>
      </c>
    </row>
    <row r="2093" spans="2:30">
      <c r="B2093">
        <v>0</v>
      </c>
      <c r="C2093">
        <v>1020</v>
      </c>
      <c r="D2093" t="s">
        <v>693</v>
      </c>
      <c r="E2093">
        <v>10047315</v>
      </c>
      <c r="F2093" t="s">
        <v>2181</v>
      </c>
      <c r="G2093" t="s">
        <v>31</v>
      </c>
      <c r="H2093" t="s">
        <v>32</v>
      </c>
      <c r="I2093" t="s">
        <v>695</v>
      </c>
      <c r="J2093" t="s">
        <v>45</v>
      </c>
      <c r="K2093" t="s">
        <v>35</v>
      </c>
      <c r="L2093" t="s">
        <v>175</v>
      </c>
      <c r="M2093" t="s">
        <v>37</v>
      </c>
      <c r="N2093">
        <v>0</v>
      </c>
      <c r="O2093">
        <v>0</v>
      </c>
      <c r="P2093">
        <v>0</v>
      </c>
      <c r="Q2093">
        <v>6</v>
      </c>
      <c r="R2093">
        <v>0</v>
      </c>
      <c r="S2093" t="str">
        <f t="shared" si="160"/>
        <v>PX: Baja Crit.</v>
      </c>
      <c r="T2093">
        <f t="shared" si="161"/>
        <v>0</v>
      </c>
      <c r="U2093">
        <f t="shared" si="162"/>
        <v>0</v>
      </c>
      <c r="V2093">
        <f t="shared" si="163"/>
        <v>0</v>
      </c>
      <c r="W2093">
        <f t="shared" si="164"/>
        <v>1</v>
      </c>
      <c r="X2093">
        <v>1</v>
      </c>
      <c r="Y2093" s="2">
        <v>45768</v>
      </c>
      <c r="Z2093" s="3" t="s">
        <v>38</v>
      </c>
      <c r="AA2093" t="s">
        <v>39</v>
      </c>
      <c r="AB2093" t="s">
        <v>40</v>
      </c>
      <c r="AC2093" t="s">
        <v>40</v>
      </c>
      <c r="AD2093" t="s">
        <v>696</v>
      </c>
    </row>
    <row r="2094" spans="2:30">
      <c r="B2094">
        <v>0</v>
      </c>
      <c r="C2094">
        <v>1020</v>
      </c>
      <c r="D2094" t="s">
        <v>693</v>
      </c>
      <c r="E2094">
        <v>10047408</v>
      </c>
      <c r="F2094" t="s">
        <v>2182</v>
      </c>
      <c r="G2094" t="s">
        <v>43</v>
      </c>
      <c r="H2094" t="s">
        <v>32</v>
      </c>
      <c r="I2094" t="s">
        <v>695</v>
      </c>
      <c r="J2094" t="s">
        <v>45</v>
      </c>
      <c r="K2094" t="s">
        <v>35</v>
      </c>
      <c r="L2094" t="s">
        <v>175</v>
      </c>
      <c r="M2094" t="s">
        <v>37</v>
      </c>
      <c r="N2094">
        <v>0</v>
      </c>
      <c r="O2094">
        <v>0</v>
      </c>
      <c r="P2094">
        <v>0</v>
      </c>
      <c r="Q2094">
        <v>8</v>
      </c>
      <c r="R2094">
        <v>0</v>
      </c>
      <c r="S2094" t="str">
        <f t="shared" si="160"/>
        <v>PY: Media Crit.</v>
      </c>
      <c r="T2094">
        <f t="shared" si="161"/>
        <v>0</v>
      </c>
      <c r="U2094">
        <f t="shared" si="162"/>
        <v>0</v>
      </c>
      <c r="V2094">
        <f t="shared" si="163"/>
        <v>0</v>
      </c>
      <c r="W2094">
        <f t="shared" si="164"/>
        <v>1</v>
      </c>
      <c r="X2094">
        <v>1</v>
      </c>
      <c r="Y2094" s="2">
        <v>45768</v>
      </c>
      <c r="Z2094" s="3" t="s">
        <v>38</v>
      </c>
      <c r="AA2094" t="s">
        <v>39</v>
      </c>
      <c r="AB2094" t="s">
        <v>40</v>
      </c>
      <c r="AC2094" t="s">
        <v>40</v>
      </c>
      <c r="AD2094" t="s">
        <v>696</v>
      </c>
    </row>
    <row r="2095" spans="2:30">
      <c r="B2095">
        <v>0</v>
      </c>
      <c r="C2095">
        <v>1020</v>
      </c>
      <c r="D2095" t="s">
        <v>388</v>
      </c>
      <c r="E2095">
        <v>10047422</v>
      </c>
      <c r="F2095" t="s">
        <v>2183</v>
      </c>
      <c r="G2095" t="s">
        <v>43</v>
      </c>
      <c r="H2095" t="s">
        <v>32</v>
      </c>
      <c r="I2095" t="s">
        <v>390</v>
      </c>
      <c r="J2095" t="s">
        <v>45</v>
      </c>
      <c r="K2095" t="s">
        <v>35</v>
      </c>
      <c r="L2095" t="s">
        <v>175</v>
      </c>
      <c r="M2095" t="s">
        <v>37</v>
      </c>
      <c r="N2095">
        <v>0</v>
      </c>
      <c r="O2095">
        <v>0</v>
      </c>
      <c r="P2095">
        <v>1</v>
      </c>
      <c r="Q2095">
        <v>1</v>
      </c>
      <c r="R2095">
        <v>0</v>
      </c>
      <c r="S2095" t="str">
        <f t="shared" si="160"/>
        <v>PY: Media Crit.</v>
      </c>
      <c r="T2095">
        <f t="shared" si="161"/>
        <v>0</v>
      </c>
      <c r="U2095">
        <f t="shared" si="162"/>
        <v>1</v>
      </c>
      <c r="V2095">
        <f t="shared" si="163"/>
        <v>0</v>
      </c>
      <c r="W2095">
        <f t="shared" si="164"/>
        <v>1</v>
      </c>
      <c r="X2095">
        <v>1</v>
      </c>
      <c r="Y2095" s="2">
        <v>45768</v>
      </c>
      <c r="Z2095" s="3" t="s">
        <v>38</v>
      </c>
      <c r="AA2095" t="s">
        <v>39</v>
      </c>
      <c r="AB2095" t="s">
        <v>40</v>
      </c>
      <c r="AC2095" t="s">
        <v>40</v>
      </c>
      <c r="AD2095" t="s">
        <v>391</v>
      </c>
    </row>
    <row r="2096" spans="2:30">
      <c r="B2096">
        <v>0</v>
      </c>
      <c r="C2096">
        <v>1020</v>
      </c>
      <c r="D2096" t="s">
        <v>181</v>
      </c>
      <c r="E2096">
        <v>10047423</v>
      </c>
      <c r="F2096" t="s">
        <v>2184</v>
      </c>
      <c r="G2096" t="s">
        <v>43</v>
      </c>
      <c r="H2096" t="s">
        <v>32</v>
      </c>
      <c r="I2096" t="s">
        <v>183</v>
      </c>
      <c r="J2096" t="s">
        <v>45</v>
      </c>
      <c r="K2096" t="s">
        <v>35</v>
      </c>
      <c r="L2096" t="s">
        <v>36</v>
      </c>
      <c r="M2096" t="s">
        <v>37</v>
      </c>
      <c r="N2096">
        <v>2</v>
      </c>
      <c r="O2096">
        <v>2</v>
      </c>
      <c r="P2096">
        <v>1</v>
      </c>
      <c r="Q2096">
        <v>2</v>
      </c>
      <c r="R2096">
        <v>0</v>
      </c>
      <c r="S2096" t="str">
        <f t="shared" si="160"/>
        <v>PY: Media Crit.</v>
      </c>
      <c r="T2096">
        <f t="shared" si="161"/>
        <v>0</v>
      </c>
      <c r="U2096">
        <f t="shared" si="162"/>
        <v>0</v>
      </c>
      <c r="V2096">
        <f t="shared" si="163"/>
        <v>1</v>
      </c>
      <c r="W2096">
        <f t="shared" si="164"/>
        <v>0</v>
      </c>
      <c r="X2096">
        <v>1</v>
      </c>
      <c r="Y2096" s="2">
        <v>45768</v>
      </c>
      <c r="Z2096" s="3" t="s">
        <v>38</v>
      </c>
      <c r="AA2096" t="s">
        <v>39</v>
      </c>
      <c r="AB2096" t="s">
        <v>40</v>
      </c>
      <c r="AC2096" t="s">
        <v>40</v>
      </c>
      <c r="AD2096" t="s">
        <v>184</v>
      </c>
    </row>
    <row r="2097" spans="2:30">
      <c r="B2097">
        <v>0</v>
      </c>
      <c r="C2097">
        <v>1020</v>
      </c>
      <c r="D2097" t="s">
        <v>693</v>
      </c>
      <c r="E2097">
        <v>10047490</v>
      </c>
      <c r="F2097" t="s">
        <v>2185</v>
      </c>
      <c r="G2097" t="s">
        <v>31</v>
      </c>
      <c r="H2097" t="s">
        <v>32</v>
      </c>
      <c r="I2097" t="s">
        <v>695</v>
      </c>
      <c r="J2097" t="s">
        <v>45</v>
      </c>
      <c r="K2097" t="s">
        <v>35</v>
      </c>
      <c r="L2097" t="s">
        <v>175</v>
      </c>
      <c r="M2097" t="s">
        <v>37</v>
      </c>
      <c r="N2097">
        <v>0</v>
      </c>
      <c r="O2097">
        <v>0</v>
      </c>
      <c r="P2097">
        <v>0</v>
      </c>
      <c r="Q2097">
        <v>10</v>
      </c>
      <c r="R2097">
        <v>0</v>
      </c>
      <c r="S2097" t="str">
        <f t="shared" si="160"/>
        <v>PX: Baja Crit.</v>
      </c>
      <c r="T2097">
        <f t="shared" si="161"/>
        <v>0</v>
      </c>
      <c r="U2097">
        <f t="shared" si="162"/>
        <v>0</v>
      </c>
      <c r="V2097">
        <f t="shared" si="163"/>
        <v>0</v>
      </c>
      <c r="W2097">
        <f t="shared" si="164"/>
        <v>1</v>
      </c>
      <c r="X2097">
        <v>1</v>
      </c>
      <c r="Y2097" s="2">
        <v>45768</v>
      </c>
      <c r="Z2097" s="3" t="s">
        <v>38</v>
      </c>
      <c r="AA2097" t="s">
        <v>39</v>
      </c>
      <c r="AB2097" t="s">
        <v>40</v>
      </c>
      <c r="AC2097" t="s">
        <v>40</v>
      </c>
      <c r="AD2097" t="s">
        <v>696</v>
      </c>
    </row>
    <row r="2098" spans="2:30">
      <c r="B2098">
        <v>0</v>
      </c>
      <c r="C2098">
        <v>1020</v>
      </c>
      <c r="D2098" t="s">
        <v>181</v>
      </c>
      <c r="E2098">
        <v>10047493</v>
      </c>
      <c r="F2098" t="s">
        <v>2186</v>
      </c>
      <c r="G2098" t="s">
        <v>31</v>
      </c>
      <c r="H2098" t="s">
        <v>60</v>
      </c>
      <c r="I2098" t="s">
        <v>183</v>
      </c>
      <c r="J2098" t="s">
        <v>45</v>
      </c>
      <c r="K2098" t="s">
        <v>35</v>
      </c>
      <c r="L2098" t="s">
        <v>36</v>
      </c>
      <c r="M2098" t="s">
        <v>37</v>
      </c>
      <c r="N2098">
        <v>4</v>
      </c>
      <c r="O2098">
        <v>3</v>
      </c>
      <c r="P2098">
        <v>0</v>
      </c>
      <c r="Q2098">
        <v>4</v>
      </c>
      <c r="R2098">
        <v>0</v>
      </c>
      <c r="S2098" t="str">
        <f t="shared" si="160"/>
        <v>PX: Baja Crit.</v>
      </c>
      <c r="T2098">
        <f t="shared" si="161"/>
        <v>0</v>
      </c>
      <c r="U2098">
        <f t="shared" si="162"/>
        <v>0</v>
      </c>
      <c r="V2098">
        <f t="shared" si="163"/>
        <v>1</v>
      </c>
      <c r="W2098">
        <f t="shared" si="164"/>
        <v>0</v>
      </c>
      <c r="X2098">
        <v>1</v>
      </c>
      <c r="Y2098" s="2">
        <v>45768</v>
      </c>
      <c r="Z2098" s="3" t="s">
        <v>38</v>
      </c>
      <c r="AA2098" t="s">
        <v>39</v>
      </c>
      <c r="AB2098" t="s">
        <v>40</v>
      </c>
      <c r="AC2098" t="s">
        <v>40</v>
      </c>
      <c r="AD2098" t="s">
        <v>184</v>
      </c>
    </row>
    <row r="2099" spans="2:30">
      <c r="B2099">
        <v>0</v>
      </c>
      <c r="C2099">
        <v>1020</v>
      </c>
      <c r="D2099" t="s">
        <v>181</v>
      </c>
      <c r="E2099">
        <v>10047494</v>
      </c>
      <c r="F2099" t="s">
        <v>2187</v>
      </c>
      <c r="G2099" t="s">
        <v>43</v>
      </c>
      <c r="H2099" t="s">
        <v>60</v>
      </c>
      <c r="I2099" t="s">
        <v>183</v>
      </c>
      <c r="J2099" t="s">
        <v>45</v>
      </c>
      <c r="K2099" t="s">
        <v>35</v>
      </c>
      <c r="L2099" t="s">
        <v>36</v>
      </c>
      <c r="M2099" t="s">
        <v>37</v>
      </c>
      <c r="N2099">
        <v>2</v>
      </c>
      <c r="O2099">
        <v>1</v>
      </c>
      <c r="P2099">
        <v>0</v>
      </c>
      <c r="Q2099">
        <v>2</v>
      </c>
      <c r="R2099">
        <v>0</v>
      </c>
      <c r="S2099" t="str">
        <f t="shared" si="160"/>
        <v>PY: Media Crit.</v>
      </c>
      <c r="T2099">
        <f t="shared" si="161"/>
        <v>0</v>
      </c>
      <c r="U2099">
        <f t="shared" si="162"/>
        <v>0</v>
      </c>
      <c r="V2099">
        <f t="shared" si="163"/>
        <v>1</v>
      </c>
      <c r="W2099">
        <f t="shared" si="164"/>
        <v>0</v>
      </c>
      <c r="X2099">
        <v>1</v>
      </c>
      <c r="Y2099" s="2">
        <v>45768</v>
      </c>
      <c r="Z2099" s="3" t="s">
        <v>38</v>
      </c>
      <c r="AA2099" t="s">
        <v>39</v>
      </c>
      <c r="AB2099" t="s">
        <v>40</v>
      </c>
      <c r="AC2099" t="s">
        <v>40</v>
      </c>
      <c r="AD2099" t="s">
        <v>184</v>
      </c>
    </row>
    <row r="2100" spans="2:30">
      <c r="B2100">
        <v>0</v>
      </c>
      <c r="C2100">
        <v>1020</v>
      </c>
      <c r="D2100" t="s">
        <v>693</v>
      </c>
      <c r="E2100">
        <v>10047519</v>
      </c>
      <c r="F2100" t="s">
        <v>2188</v>
      </c>
      <c r="G2100" t="s">
        <v>43</v>
      </c>
      <c r="H2100" t="s">
        <v>32</v>
      </c>
      <c r="I2100" t="s">
        <v>695</v>
      </c>
      <c r="J2100" t="s">
        <v>45</v>
      </c>
      <c r="K2100" t="s">
        <v>35</v>
      </c>
      <c r="L2100" t="s">
        <v>175</v>
      </c>
      <c r="M2100" t="s">
        <v>37</v>
      </c>
      <c r="N2100">
        <v>0</v>
      </c>
      <c r="O2100">
        <v>0</v>
      </c>
      <c r="P2100">
        <v>0</v>
      </c>
      <c r="Q2100">
        <v>0</v>
      </c>
      <c r="R2100">
        <v>0</v>
      </c>
      <c r="S2100" t="str">
        <f t="shared" si="160"/>
        <v>PY: Media Crit.</v>
      </c>
      <c r="T2100">
        <f t="shared" si="161"/>
        <v>1</v>
      </c>
      <c r="U2100">
        <f t="shared" si="162"/>
        <v>0</v>
      </c>
      <c r="V2100">
        <f t="shared" si="163"/>
        <v>0</v>
      </c>
      <c r="W2100">
        <f t="shared" si="164"/>
        <v>0</v>
      </c>
      <c r="X2100">
        <v>1</v>
      </c>
      <c r="Y2100" s="2">
        <v>45768</v>
      </c>
      <c r="Z2100" s="3" t="s">
        <v>38</v>
      </c>
      <c r="AA2100" t="s">
        <v>39</v>
      </c>
      <c r="AB2100" t="s">
        <v>40</v>
      </c>
      <c r="AC2100" t="s">
        <v>40</v>
      </c>
      <c r="AD2100" t="s">
        <v>696</v>
      </c>
    </row>
    <row r="2101" spans="2:30">
      <c r="B2101">
        <v>0</v>
      </c>
      <c r="C2101">
        <v>1020</v>
      </c>
      <c r="D2101" t="s">
        <v>693</v>
      </c>
      <c r="E2101">
        <v>10047534</v>
      </c>
      <c r="F2101" t="s">
        <v>2189</v>
      </c>
      <c r="G2101" t="s">
        <v>43</v>
      </c>
      <c r="H2101" t="s">
        <v>32</v>
      </c>
      <c r="I2101" t="s">
        <v>695</v>
      </c>
      <c r="J2101" t="s">
        <v>45</v>
      </c>
      <c r="K2101" t="s">
        <v>35</v>
      </c>
      <c r="L2101" t="s">
        <v>175</v>
      </c>
      <c r="M2101" t="s">
        <v>37</v>
      </c>
      <c r="N2101">
        <v>0</v>
      </c>
      <c r="O2101">
        <v>0</v>
      </c>
      <c r="P2101">
        <v>0</v>
      </c>
      <c r="Q2101">
        <v>2</v>
      </c>
      <c r="R2101">
        <v>0</v>
      </c>
      <c r="S2101" t="str">
        <f t="shared" si="160"/>
        <v>PY: Media Crit.</v>
      </c>
      <c r="T2101">
        <f t="shared" si="161"/>
        <v>0</v>
      </c>
      <c r="U2101">
        <f t="shared" si="162"/>
        <v>0</v>
      </c>
      <c r="V2101">
        <f t="shared" si="163"/>
        <v>0</v>
      </c>
      <c r="W2101">
        <f t="shared" si="164"/>
        <v>1</v>
      </c>
      <c r="X2101">
        <v>1</v>
      </c>
      <c r="Y2101" s="2">
        <v>45768</v>
      </c>
      <c r="Z2101" s="3" t="s">
        <v>38</v>
      </c>
      <c r="AA2101" t="s">
        <v>39</v>
      </c>
      <c r="AB2101" t="s">
        <v>40</v>
      </c>
      <c r="AC2101" t="s">
        <v>40</v>
      </c>
      <c r="AD2101" t="s">
        <v>696</v>
      </c>
    </row>
    <row r="2102" spans="2:30">
      <c r="B2102">
        <v>0</v>
      </c>
      <c r="C2102">
        <v>1020</v>
      </c>
      <c r="D2102" t="s">
        <v>693</v>
      </c>
      <c r="E2102">
        <v>10047575</v>
      </c>
      <c r="F2102" t="s">
        <v>2190</v>
      </c>
      <c r="G2102" t="s">
        <v>52</v>
      </c>
      <c r="H2102" t="s">
        <v>32</v>
      </c>
      <c r="I2102" t="s">
        <v>695</v>
      </c>
      <c r="J2102" t="s">
        <v>45</v>
      </c>
      <c r="K2102" t="s">
        <v>35</v>
      </c>
      <c r="L2102" t="s">
        <v>175</v>
      </c>
      <c r="M2102" t="s">
        <v>37</v>
      </c>
      <c r="N2102">
        <v>2</v>
      </c>
      <c r="O2102">
        <v>2</v>
      </c>
      <c r="P2102">
        <v>1</v>
      </c>
      <c r="Q2102">
        <v>3</v>
      </c>
      <c r="R2102">
        <v>0</v>
      </c>
      <c r="S2102" t="str">
        <f t="shared" si="160"/>
        <v>PZ: Alta Crit.</v>
      </c>
      <c r="T2102">
        <f t="shared" si="161"/>
        <v>0</v>
      </c>
      <c r="U2102">
        <f t="shared" si="162"/>
        <v>0</v>
      </c>
      <c r="V2102">
        <f t="shared" si="163"/>
        <v>0</v>
      </c>
      <c r="W2102">
        <f t="shared" si="164"/>
        <v>1</v>
      </c>
      <c r="X2102">
        <v>1</v>
      </c>
      <c r="Y2102" s="2">
        <v>45768</v>
      </c>
      <c r="Z2102" s="3" t="s">
        <v>38</v>
      </c>
      <c r="AA2102" t="s">
        <v>39</v>
      </c>
      <c r="AB2102" t="s">
        <v>40</v>
      </c>
      <c r="AC2102" t="s">
        <v>40</v>
      </c>
      <c r="AD2102" t="s">
        <v>696</v>
      </c>
    </row>
    <row r="2103" spans="2:30">
      <c r="B2103">
        <v>0</v>
      </c>
      <c r="C2103">
        <v>1020</v>
      </c>
      <c r="D2103" t="s">
        <v>693</v>
      </c>
      <c r="E2103">
        <v>10047650</v>
      </c>
      <c r="F2103" t="s">
        <v>2191</v>
      </c>
      <c r="G2103" t="s">
        <v>52</v>
      </c>
      <c r="H2103" t="s">
        <v>32</v>
      </c>
      <c r="I2103" t="s">
        <v>695</v>
      </c>
      <c r="J2103" t="s">
        <v>45</v>
      </c>
      <c r="K2103" t="s">
        <v>35</v>
      </c>
      <c r="L2103" t="s">
        <v>175</v>
      </c>
      <c r="M2103" t="s">
        <v>37</v>
      </c>
      <c r="N2103">
        <v>0</v>
      </c>
      <c r="O2103">
        <v>0</v>
      </c>
      <c r="P2103">
        <v>0</v>
      </c>
      <c r="Q2103">
        <v>6</v>
      </c>
      <c r="R2103">
        <v>0</v>
      </c>
      <c r="S2103" t="str">
        <f t="shared" si="160"/>
        <v>PZ: Alta Crit.</v>
      </c>
      <c r="T2103">
        <f t="shared" si="161"/>
        <v>0</v>
      </c>
      <c r="U2103">
        <f t="shared" si="162"/>
        <v>0</v>
      </c>
      <c r="V2103">
        <f t="shared" si="163"/>
        <v>0</v>
      </c>
      <c r="W2103">
        <f t="shared" si="164"/>
        <v>1</v>
      </c>
      <c r="X2103">
        <v>1</v>
      </c>
      <c r="Y2103" s="2">
        <v>45768</v>
      </c>
      <c r="Z2103" s="3" t="s">
        <v>38</v>
      </c>
      <c r="AA2103" t="s">
        <v>39</v>
      </c>
      <c r="AB2103" t="s">
        <v>40</v>
      </c>
      <c r="AC2103" t="s">
        <v>40</v>
      </c>
      <c r="AD2103" t="s">
        <v>696</v>
      </c>
    </row>
    <row r="2104" spans="2:30">
      <c r="B2104">
        <v>0</v>
      </c>
      <c r="C2104">
        <v>1020</v>
      </c>
      <c r="D2104" t="s">
        <v>693</v>
      </c>
      <c r="E2104">
        <v>10047657</v>
      </c>
      <c r="F2104" t="s">
        <v>2192</v>
      </c>
      <c r="G2104" t="s">
        <v>52</v>
      </c>
      <c r="H2104" t="s">
        <v>32</v>
      </c>
      <c r="I2104" t="s">
        <v>695</v>
      </c>
      <c r="J2104" t="s">
        <v>45</v>
      </c>
      <c r="K2104" t="s">
        <v>35</v>
      </c>
      <c r="L2104" t="s">
        <v>175</v>
      </c>
      <c r="M2104" t="s">
        <v>37</v>
      </c>
      <c r="N2104">
        <v>0</v>
      </c>
      <c r="O2104">
        <v>0</v>
      </c>
      <c r="P2104">
        <v>0</v>
      </c>
      <c r="Q2104">
        <v>2</v>
      </c>
      <c r="R2104">
        <v>0</v>
      </c>
      <c r="S2104" t="str">
        <f t="shared" si="160"/>
        <v>PZ: Alta Crit.</v>
      </c>
      <c r="T2104">
        <f t="shared" si="161"/>
        <v>0</v>
      </c>
      <c r="U2104">
        <f t="shared" si="162"/>
        <v>0</v>
      </c>
      <c r="V2104">
        <f t="shared" si="163"/>
        <v>0</v>
      </c>
      <c r="W2104">
        <f t="shared" si="164"/>
        <v>1</v>
      </c>
      <c r="X2104">
        <v>1</v>
      </c>
      <c r="Y2104" s="2">
        <v>45768</v>
      </c>
      <c r="Z2104" s="3" t="s">
        <v>38</v>
      </c>
      <c r="AA2104" t="s">
        <v>39</v>
      </c>
      <c r="AB2104" t="s">
        <v>40</v>
      </c>
      <c r="AC2104" t="s">
        <v>40</v>
      </c>
      <c r="AD2104" t="s">
        <v>696</v>
      </c>
    </row>
    <row r="2105" spans="2:30">
      <c r="B2105">
        <v>0</v>
      </c>
      <c r="C2105">
        <v>1020</v>
      </c>
      <c r="D2105" t="s">
        <v>181</v>
      </c>
      <c r="E2105">
        <v>10047691</v>
      </c>
      <c r="F2105" t="s">
        <v>2193</v>
      </c>
      <c r="G2105" t="s">
        <v>31</v>
      </c>
      <c r="H2105" t="s">
        <v>32</v>
      </c>
      <c r="I2105" t="s">
        <v>183</v>
      </c>
      <c r="J2105" t="s">
        <v>45</v>
      </c>
      <c r="K2105" t="s">
        <v>35</v>
      </c>
      <c r="L2105" t="s">
        <v>36</v>
      </c>
      <c r="M2105" t="s">
        <v>117</v>
      </c>
      <c r="N2105">
        <v>4</v>
      </c>
      <c r="O2105">
        <v>2</v>
      </c>
      <c r="P2105">
        <v>0</v>
      </c>
      <c r="Q2105">
        <v>4</v>
      </c>
      <c r="R2105">
        <v>0</v>
      </c>
      <c r="S2105" t="str">
        <f t="shared" si="160"/>
        <v>PX: Baja Crit.</v>
      </c>
      <c r="T2105">
        <f t="shared" si="161"/>
        <v>0</v>
      </c>
      <c r="U2105">
        <f t="shared" si="162"/>
        <v>0</v>
      </c>
      <c r="V2105">
        <f t="shared" si="163"/>
        <v>1</v>
      </c>
      <c r="W2105">
        <f t="shared" si="164"/>
        <v>0</v>
      </c>
      <c r="X2105">
        <v>1</v>
      </c>
      <c r="Y2105" s="2">
        <v>45768</v>
      </c>
      <c r="Z2105" s="3" t="s">
        <v>118</v>
      </c>
      <c r="AA2105" t="s">
        <v>39</v>
      </c>
      <c r="AB2105" t="s">
        <v>40</v>
      </c>
      <c r="AC2105" t="s">
        <v>40</v>
      </c>
      <c r="AD2105" t="s">
        <v>184</v>
      </c>
    </row>
    <row r="2106" spans="2:30">
      <c r="B2106">
        <v>0</v>
      </c>
      <c r="C2106">
        <v>1020</v>
      </c>
      <c r="D2106" t="s">
        <v>693</v>
      </c>
      <c r="E2106">
        <v>10047702</v>
      </c>
      <c r="F2106" t="s">
        <v>2194</v>
      </c>
      <c r="G2106" t="s">
        <v>43</v>
      </c>
      <c r="H2106" t="s">
        <v>32</v>
      </c>
      <c r="I2106" t="s">
        <v>695</v>
      </c>
      <c r="J2106" t="s">
        <v>45</v>
      </c>
      <c r="K2106" t="s">
        <v>35</v>
      </c>
      <c r="L2106" t="s">
        <v>175</v>
      </c>
      <c r="M2106" t="s">
        <v>46</v>
      </c>
      <c r="N2106">
        <v>0</v>
      </c>
      <c r="O2106">
        <v>0</v>
      </c>
      <c r="P2106">
        <v>0</v>
      </c>
      <c r="Q2106">
        <v>2</v>
      </c>
      <c r="R2106">
        <v>0</v>
      </c>
      <c r="S2106" t="str">
        <f t="shared" si="160"/>
        <v>PY: Media Crit.</v>
      </c>
      <c r="T2106">
        <f t="shared" si="161"/>
        <v>0</v>
      </c>
      <c r="U2106">
        <f t="shared" si="162"/>
        <v>0</v>
      </c>
      <c r="V2106">
        <f t="shared" si="163"/>
        <v>0</v>
      </c>
      <c r="W2106">
        <f t="shared" si="164"/>
        <v>1</v>
      </c>
      <c r="X2106">
        <v>1</v>
      </c>
      <c r="Y2106" s="2">
        <v>45768</v>
      </c>
      <c r="Z2106" s="3" t="s">
        <v>47</v>
      </c>
      <c r="AA2106" t="s">
        <v>39</v>
      </c>
      <c r="AB2106" t="s">
        <v>40</v>
      </c>
      <c r="AC2106" t="s">
        <v>40</v>
      </c>
      <c r="AD2106" t="s">
        <v>696</v>
      </c>
    </row>
    <row r="2107" spans="2:30">
      <c r="B2107">
        <v>0</v>
      </c>
      <c r="C2107">
        <v>1020</v>
      </c>
      <c r="D2107" t="s">
        <v>388</v>
      </c>
      <c r="E2107">
        <v>10047748</v>
      </c>
      <c r="F2107" t="s">
        <v>2195</v>
      </c>
      <c r="G2107" t="s">
        <v>52</v>
      </c>
      <c r="H2107" t="s">
        <v>32</v>
      </c>
      <c r="I2107" t="s">
        <v>390</v>
      </c>
      <c r="J2107" t="s">
        <v>45</v>
      </c>
      <c r="K2107" t="s">
        <v>35</v>
      </c>
      <c r="L2107" t="s">
        <v>175</v>
      </c>
      <c r="M2107" t="s">
        <v>46</v>
      </c>
      <c r="N2107">
        <v>0</v>
      </c>
      <c r="O2107">
        <v>0</v>
      </c>
      <c r="P2107">
        <v>4</v>
      </c>
      <c r="Q2107">
        <v>4</v>
      </c>
      <c r="R2107">
        <v>0</v>
      </c>
      <c r="S2107" t="str">
        <f t="shared" si="160"/>
        <v>PZ: Alta Crit.</v>
      </c>
      <c r="T2107">
        <f t="shared" si="161"/>
        <v>0</v>
      </c>
      <c r="U2107">
        <f t="shared" si="162"/>
        <v>1</v>
      </c>
      <c r="V2107">
        <f t="shared" si="163"/>
        <v>0</v>
      </c>
      <c r="W2107">
        <f t="shared" si="164"/>
        <v>1</v>
      </c>
      <c r="X2107">
        <v>1</v>
      </c>
      <c r="Y2107" s="2">
        <v>45768</v>
      </c>
      <c r="Z2107" s="3" t="s">
        <v>47</v>
      </c>
      <c r="AA2107" t="s">
        <v>39</v>
      </c>
      <c r="AB2107" t="s">
        <v>40</v>
      </c>
      <c r="AC2107" t="s">
        <v>40</v>
      </c>
      <c r="AD2107" t="s">
        <v>391</v>
      </c>
    </row>
    <row r="2108" spans="2:30">
      <c r="B2108">
        <v>0</v>
      </c>
      <c r="C2108">
        <v>1020</v>
      </c>
      <c r="D2108" t="s">
        <v>693</v>
      </c>
      <c r="E2108">
        <v>10047752</v>
      </c>
      <c r="F2108" t="s">
        <v>2196</v>
      </c>
      <c r="G2108" t="s">
        <v>31</v>
      </c>
      <c r="H2108" t="s">
        <v>32</v>
      </c>
      <c r="I2108" t="s">
        <v>695</v>
      </c>
      <c r="J2108" t="s">
        <v>45</v>
      </c>
      <c r="K2108" t="s">
        <v>35</v>
      </c>
      <c r="L2108" t="s">
        <v>175</v>
      </c>
      <c r="M2108" t="s">
        <v>46</v>
      </c>
      <c r="N2108">
        <v>0</v>
      </c>
      <c r="O2108">
        <v>0</v>
      </c>
      <c r="P2108">
        <v>0</v>
      </c>
      <c r="Q2108">
        <v>3</v>
      </c>
      <c r="R2108">
        <v>0</v>
      </c>
      <c r="S2108" t="str">
        <f t="shared" si="160"/>
        <v>PX: Baja Crit.</v>
      </c>
      <c r="T2108">
        <f t="shared" si="161"/>
        <v>0</v>
      </c>
      <c r="U2108">
        <f t="shared" si="162"/>
        <v>0</v>
      </c>
      <c r="V2108">
        <f t="shared" si="163"/>
        <v>0</v>
      </c>
      <c r="W2108">
        <f t="shared" si="164"/>
        <v>1</v>
      </c>
      <c r="X2108">
        <v>1</v>
      </c>
      <c r="Y2108" s="2">
        <v>45768</v>
      </c>
      <c r="Z2108" s="3" t="s">
        <v>47</v>
      </c>
      <c r="AA2108" t="s">
        <v>39</v>
      </c>
      <c r="AB2108" t="s">
        <v>40</v>
      </c>
      <c r="AC2108" t="s">
        <v>40</v>
      </c>
      <c r="AD2108" t="s">
        <v>696</v>
      </c>
    </row>
    <row r="2109" spans="2:30">
      <c r="B2109">
        <v>0</v>
      </c>
      <c r="C2109">
        <v>1020</v>
      </c>
      <c r="D2109" t="s">
        <v>693</v>
      </c>
      <c r="E2109">
        <v>10047806</v>
      </c>
      <c r="F2109" t="s">
        <v>2197</v>
      </c>
      <c r="G2109" t="s">
        <v>43</v>
      </c>
      <c r="H2109" t="s">
        <v>32</v>
      </c>
      <c r="I2109" t="s">
        <v>695</v>
      </c>
      <c r="J2109" t="s">
        <v>45</v>
      </c>
      <c r="K2109" t="s">
        <v>35</v>
      </c>
      <c r="L2109" t="s">
        <v>175</v>
      </c>
      <c r="M2109" t="s">
        <v>46</v>
      </c>
      <c r="N2109">
        <v>0</v>
      </c>
      <c r="O2109">
        <v>0</v>
      </c>
      <c r="P2109">
        <v>0</v>
      </c>
      <c r="Q2109">
        <v>1</v>
      </c>
      <c r="R2109">
        <v>0</v>
      </c>
      <c r="S2109" t="str">
        <f t="shared" si="160"/>
        <v>PY: Media Crit.</v>
      </c>
      <c r="T2109">
        <f t="shared" si="161"/>
        <v>0</v>
      </c>
      <c r="U2109">
        <f t="shared" si="162"/>
        <v>0</v>
      </c>
      <c r="V2109">
        <f t="shared" si="163"/>
        <v>0</v>
      </c>
      <c r="W2109">
        <f t="shared" si="164"/>
        <v>1</v>
      </c>
      <c r="X2109">
        <v>1</v>
      </c>
      <c r="Y2109" s="2">
        <v>45768</v>
      </c>
      <c r="Z2109" s="3" t="s">
        <v>47</v>
      </c>
      <c r="AA2109" t="s">
        <v>39</v>
      </c>
      <c r="AB2109" t="s">
        <v>40</v>
      </c>
      <c r="AC2109" t="s">
        <v>40</v>
      </c>
      <c r="AD2109" t="s">
        <v>696</v>
      </c>
    </row>
    <row r="2110" spans="2:30">
      <c r="B2110">
        <v>0</v>
      </c>
      <c r="C2110">
        <v>1020</v>
      </c>
      <c r="D2110" t="s">
        <v>693</v>
      </c>
      <c r="E2110">
        <v>10047815</v>
      </c>
      <c r="F2110" t="s">
        <v>2198</v>
      </c>
      <c r="G2110" t="s">
        <v>43</v>
      </c>
      <c r="H2110" t="s">
        <v>32</v>
      </c>
      <c r="I2110" t="s">
        <v>695</v>
      </c>
      <c r="J2110" t="s">
        <v>45</v>
      </c>
      <c r="K2110" t="s">
        <v>35</v>
      </c>
      <c r="L2110" t="s">
        <v>175</v>
      </c>
      <c r="M2110" t="s">
        <v>46</v>
      </c>
      <c r="N2110">
        <v>0</v>
      </c>
      <c r="O2110">
        <v>0</v>
      </c>
      <c r="P2110">
        <v>0</v>
      </c>
      <c r="Q2110">
        <v>7</v>
      </c>
      <c r="R2110">
        <v>0</v>
      </c>
      <c r="S2110" t="str">
        <f t="shared" si="160"/>
        <v>PY: Media Crit.</v>
      </c>
      <c r="T2110">
        <f t="shared" si="161"/>
        <v>0</v>
      </c>
      <c r="U2110">
        <f t="shared" si="162"/>
        <v>0</v>
      </c>
      <c r="V2110">
        <f t="shared" si="163"/>
        <v>0</v>
      </c>
      <c r="W2110">
        <f t="shared" si="164"/>
        <v>1</v>
      </c>
      <c r="X2110">
        <v>1</v>
      </c>
      <c r="Y2110" s="2">
        <v>45768</v>
      </c>
      <c r="Z2110" s="3" t="s">
        <v>47</v>
      </c>
      <c r="AA2110" t="s">
        <v>39</v>
      </c>
      <c r="AB2110" t="s">
        <v>40</v>
      </c>
      <c r="AC2110" t="s">
        <v>40</v>
      </c>
      <c r="AD2110" t="s">
        <v>696</v>
      </c>
    </row>
    <row r="2111" spans="2:30">
      <c r="B2111">
        <v>0</v>
      </c>
      <c r="C2111">
        <v>1020</v>
      </c>
      <c r="D2111" t="s">
        <v>693</v>
      </c>
      <c r="E2111">
        <v>10047816</v>
      </c>
      <c r="F2111" t="s">
        <v>2199</v>
      </c>
      <c r="G2111" t="s">
        <v>31</v>
      </c>
      <c r="H2111" t="s">
        <v>32</v>
      </c>
      <c r="I2111" t="s">
        <v>695</v>
      </c>
      <c r="J2111" t="s">
        <v>45</v>
      </c>
      <c r="K2111" t="s">
        <v>35</v>
      </c>
      <c r="L2111" t="s">
        <v>175</v>
      </c>
      <c r="M2111" t="s">
        <v>46</v>
      </c>
      <c r="N2111">
        <v>0</v>
      </c>
      <c r="O2111">
        <v>0</v>
      </c>
      <c r="P2111">
        <v>0</v>
      </c>
      <c r="Q2111">
        <v>3</v>
      </c>
      <c r="R2111">
        <v>0</v>
      </c>
      <c r="S2111" t="str">
        <f t="shared" si="160"/>
        <v>PX: Baja Crit.</v>
      </c>
      <c r="T2111">
        <f t="shared" si="161"/>
        <v>0</v>
      </c>
      <c r="U2111">
        <f t="shared" si="162"/>
        <v>0</v>
      </c>
      <c r="V2111">
        <f t="shared" si="163"/>
        <v>0</v>
      </c>
      <c r="W2111">
        <f t="shared" si="164"/>
        <v>1</v>
      </c>
      <c r="X2111">
        <v>1</v>
      </c>
      <c r="Y2111" s="2">
        <v>45768</v>
      </c>
      <c r="Z2111" s="3" t="s">
        <v>47</v>
      </c>
      <c r="AA2111" t="s">
        <v>39</v>
      </c>
      <c r="AB2111" t="s">
        <v>40</v>
      </c>
      <c r="AC2111" t="s">
        <v>40</v>
      </c>
      <c r="AD2111" t="s">
        <v>696</v>
      </c>
    </row>
    <row r="2112" spans="2:30">
      <c r="B2112">
        <v>0</v>
      </c>
      <c r="C2112">
        <v>1020</v>
      </c>
      <c r="D2112" t="s">
        <v>693</v>
      </c>
      <c r="E2112">
        <v>10047852</v>
      </c>
      <c r="F2112" t="s">
        <v>2200</v>
      </c>
      <c r="G2112" t="s">
        <v>43</v>
      </c>
      <c r="H2112" t="s">
        <v>32</v>
      </c>
      <c r="I2112" t="s">
        <v>695</v>
      </c>
      <c r="J2112" t="s">
        <v>45</v>
      </c>
      <c r="K2112" t="s">
        <v>35</v>
      </c>
      <c r="L2112" t="s">
        <v>175</v>
      </c>
      <c r="M2112" t="s">
        <v>46</v>
      </c>
      <c r="N2112">
        <v>0</v>
      </c>
      <c r="O2112">
        <v>0</v>
      </c>
      <c r="P2112">
        <v>0</v>
      </c>
      <c r="Q2112">
        <v>2</v>
      </c>
      <c r="R2112">
        <v>0</v>
      </c>
      <c r="S2112" t="str">
        <f t="shared" si="160"/>
        <v>PY: Media Crit.</v>
      </c>
      <c r="T2112">
        <f t="shared" si="161"/>
        <v>0</v>
      </c>
      <c r="U2112">
        <f t="shared" si="162"/>
        <v>0</v>
      </c>
      <c r="V2112">
        <f t="shared" si="163"/>
        <v>0</v>
      </c>
      <c r="W2112">
        <f t="shared" si="164"/>
        <v>1</v>
      </c>
      <c r="X2112">
        <v>1</v>
      </c>
      <c r="Y2112" s="2">
        <v>45768</v>
      </c>
      <c r="Z2112" s="3" t="s">
        <v>47</v>
      </c>
      <c r="AA2112" t="s">
        <v>39</v>
      </c>
      <c r="AB2112" t="s">
        <v>40</v>
      </c>
      <c r="AC2112" t="s">
        <v>40</v>
      </c>
      <c r="AD2112" t="s">
        <v>696</v>
      </c>
    </row>
    <row r="2113" spans="2:30">
      <c r="B2113">
        <v>0</v>
      </c>
      <c r="C2113">
        <v>1020</v>
      </c>
      <c r="D2113" t="s">
        <v>693</v>
      </c>
      <c r="E2113">
        <v>10047861</v>
      </c>
      <c r="F2113" t="s">
        <v>2201</v>
      </c>
      <c r="G2113" t="s">
        <v>52</v>
      </c>
      <c r="H2113" t="s">
        <v>32</v>
      </c>
      <c r="I2113" t="s">
        <v>695</v>
      </c>
      <c r="J2113" t="s">
        <v>45</v>
      </c>
      <c r="K2113" t="s">
        <v>35</v>
      </c>
      <c r="L2113" t="s">
        <v>175</v>
      </c>
      <c r="M2113" t="s">
        <v>46</v>
      </c>
      <c r="N2113">
        <v>0</v>
      </c>
      <c r="O2113">
        <v>0</v>
      </c>
      <c r="P2113">
        <v>0</v>
      </c>
      <c r="Q2113">
        <v>4</v>
      </c>
      <c r="R2113">
        <v>0</v>
      </c>
      <c r="S2113" t="str">
        <f t="shared" si="160"/>
        <v>PZ: Alta Crit.</v>
      </c>
      <c r="T2113">
        <f t="shared" si="161"/>
        <v>0</v>
      </c>
      <c r="U2113">
        <f t="shared" si="162"/>
        <v>0</v>
      </c>
      <c r="V2113">
        <f t="shared" si="163"/>
        <v>0</v>
      </c>
      <c r="W2113">
        <f t="shared" si="164"/>
        <v>1</v>
      </c>
      <c r="X2113">
        <v>1</v>
      </c>
      <c r="Y2113" s="2">
        <v>45768</v>
      </c>
      <c r="Z2113" s="3" t="s">
        <v>47</v>
      </c>
      <c r="AA2113" t="s">
        <v>39</v>
      </c>
      <c r="AB2113" t="s">
        <v>40</v>
      </c>
      <c r="AC2113" t="s">
        <v>40</v>
      </c>
      <c r="AD2113" t="s">
        <v>696</v>
      </c>
    </row>
    <row r="2114" spans="2:30">
      <c r="B2114">
        <v>0</v>
      </c>
      <c r="C2114">
        <v>1020</v>
      </c>
      <c r="D2114" t="s">
        <v>384</v>
      </c>
      <c r="E2114">
        <v>10047912</v>
      </c>
      <c r="F2114" t="s">
        <v>2202</v>
      </c>
      <c r="G2114" t="s">
        <v>43</v>
      </c>
      <c r="H2114" t="s">
        <v>32</v>
      </c>
      <c r="I2114" t="s">
        <v>386</v>
      </c>
      <c r="J2114" t="s">
        <v>45</v>
      </c>
      <c r="K2114" t="s">
        <v>35</v>
      </c>
      <c r="L2114" t="s">
        <v>175</v>
      </c>
      <c r="M2114" t="s">
        <v>46</v>
      </c>
      <c r="N2114">
        <v>0</v>
      </c>
      <c r="O2114">
        <v>0</v>
      </c>
      <c r="P2114">
        <v>0</v>
      </c>
      <c r="Q2114">
        <v>8</v>
      </c>
      <c r="R2114">
        <v>0</v>
      </c>
      <c r="S2114" t="str">
        <f t="shared" ref="S2114:S2177" si="165">+IF(G2114="PZ", "PZ: Alta Crit.",IF(G2114="PY","PY: Media Crit.", "PX: Baja Crit."))</f>
        <v>PY: Media Crit.</v>
      </c>
      <c r="T2114">
        <f t="shared" ref="T2114:T2177" si="166">+IF(Q2114=0,1,0)</f>
        <v>0</v>
      </c>
      <c r="U2114">
        <f t="shared" ref="U2114:U2177" si="167">+IF(AND(Q2114&lt;=P2114,Q2114&gt;0),1,0)</f>
        <v>0</v>
      </c>
      <c r="V2114">
        <f t="shared" ref="V2114:V2177" si="168">+IF(AND(Q2114&gt;P2114,Q2114&lt;=N2114),1,0)</f>
        <v>0</v>
      </c>
      <c r="W2114">
        <f t="shared" ref="W2114:W2177" si="169">+IF(Q2114&gt;N2114,1,0)</f>
        <v>1</v>
      </c>
      <c r="X2114">
        <v>1</v>
      </c>
      <c r="Y2114" s="2">
        <v>45768</v>
      </c>
      <c r="Z2114" s="3" t="s">
        <v>47</v>
      </c>
      <c r="AA2114" t="s">
        <v>39</v>
      </c>
      <c r="AB2114" t="s">
        <v>40</v>
      </c>
      <c r="AC2114" t="s">
        <v>40</v>
      </c>
      <c r="AD2114" t="s">
        <v>387</v>
      </c>
    </row>
    <row r="2115" spans="2:30">
      <c r="B2115">
        <v>0</v>
      </c>
      <c r="C2115">
        <v>1020</v>
      </c>
      <c r="D2115" t="s">
        <v>181</v>
      </c>
      <c r="E2115">
        <v>10047914</v>
      </c>
      <c r="F2115" t="s">
        <v>2203</v>
      </c>
      <c r="G2115" t="s">
        <v>43</v>
      </c>
      <c r="H2115" t="s">
        <v>32</v>
      </c>
      <c r="I2115" t="s">
        <v>183</v>
      </c>
      <c r="J2115" t="s">
        <v>45</v>
      </c>
      <c r="K2115" t="s">
        <v>35</v>
      </c>
      <c r="L2115" t="s">
        <v>36</v>
      </c>
      <c r="M2115" t="s">
        <v>46</v>
      </c>
      <c r="N2115">
        <v>2</v>
      </c>
      <c r="O2115">
        <v>1</v>
      </c>
      <c r="P2115">
        <v>0</v>
      </c>
      <c r="Q2115">
        <v>2</v>
      </c>
      <c r="R2115">
        <v>0</v>
      </c>
      <c r="S2115" t="str">
        <f t="shared" si="165"/>
        <v>PY: Media Crit.</v>
      </c>
      <c r="T2115">
        <f t="shared" si="166"/>
        <v>0</v>
      </c>
      <c r="U2115">
        <f t="shared" si="167"/>
        <v>0</v>
      </c>
      <c r="V2115">
        <f t="shared" si="168"/>
        <v>1</v>
      </c>
      <c r="W2115">
        <f t="shared" si="169"/>
        <v>0</v>
      </c>
      <c r="X2115">
        <v>1</v>
      </c>
      <c r="Y2115" s="2">
        <v>45768</v>
      </c>
      <c r="Z2115" s="3" t="s">
        <v>47</v>
      </c>
      <c r="AA2115" t="s">
        <v>39</v>
      </c>
      <c r="AB2115" t="s">
        <v>40</v>
      </c>
      <c r="AC2115" t="s">
        <v>40</v>
      </c>
      <c r="AD2115" t="s">
        <v>184</v>
      </c>
    </row>
    <row r="2116" spans="2:30">
      <c r="B2116">
        <v>0</v>
      </c>
      <c r="C2116">
        <v>1020</v>
      </c>
      <c r="D2116" t="s">
        <v>693</v>
      </c>
      <c r="E2116">
        <v>10047940</v>
      </c>
      <c r="F2116" t="s">
        <v>2204</v>
      </c>
      <c r="G2116" t="s">
        <v>43</v>
      </c>
      <c r="H2116" t="s">
        <v>32</v>
      </c>
      <c r="I2116" t="s">
        <v>695</v>
      </c>
      <c r="J2116" t="s">
        <v>45</v>
      </c>
      <c r="K2116" t="s">
        <v>35</v>
      </c>
      <c r="L2116" t="s">
        <v>175</v>
      </c>
      <c r="M2116" t="s">
        <v>46</v>
      </c>
      <c r="N2116">
        <v>0</v>
      </c>
      <c r="O2116">
        <v>0</v>
      </c>
      <c r="P2116">
        <v>0</v>
      </c>
      <c r="Q2116">
        <v>3</v>
      </c>
      <c r="R2116">
        <v>0</v>
      </c>
      <c r="S2116" t="str">
        <f t="shared" si="165"/>
        <v>PY: Media Crit.</v>
      </c>
      <c r="T2116">
        <f t="shared" si="166"/>
        <v>0</v>
      </c>
      <c r="U2116">
        <f t="shared" si="167"/>
        <v>0</v>
      </c>
      <c r="V2116">
        <f t="shared" si="168"/>
        <v>0</v>
      </c>
      <c r="W2116">
        <f t="shared" si="169"/>
        <v>1</v>
      </c>
      <c r="X2116">
        <v>1</v>
      </c>
      <c r="Y2116" s="2">
        <v>45768</v>
      </c>
      <c r="Z2116" s="3" t="s">
        <v>47</v>
      </c>
      <c r="AA2116" t="s">
        <v>39</v>
      </c>
      <c r="AB2116" t="s">
        <v>40</v>
      </c>
      <c r="AC2116" t="s">
        <v>40</v>
      </c>
      <c r="AD2116" t="s">
        <v>696</v>
      </c>
    </row>
    <row r="2117" spans="2:30">
      <c r="B2117">
        <v>0</v>
      </c>
      <c r="C2117">
        <v>1020</v>
      </c>
      <c r="D2117" t="s">
        <v>693</v>
      </c>
      <c r="E2117">
        <v>10047944</v>
      </c>
      <c r="F2117" t="s">
        <v>2205</v>
      </c>
      <c r="G2117" t="s">
        <v>43</v>
      </c>
      <c r="H2117" t="s">
        <v>32</v>
      </c>
      <c r="I2117" t="s">
        <v>695</v>
      </c>
      <c r="J2117" t="s">
        <v>45</v>
      </c>
      <c r="K2117" t="s">
        <v>35</v>
      </c>
      <c r="L2117" t="s">
        <v>175</v>
      </c>
      <c r="M2117" t="s">
        <v>46</v>
      </c>
      <c r="N2117">
        <v>0</v>
      </c>
      <c r="O2117">
        <v>0</v>
      </c>
      <c r="P2117">
        <v>0</v>
      </c>
      <c r="Q2117">
        <v>1</v>
      </c>
      <c r="R2117">
        <v>0</v>
      </c>
      <c r="S2117" t="str">
        <f t="shared" si="165"/>
        <v>PY: Media Crit.</v>
      </c>
      <c r="T2117">
        <f t="shared" si="166"/>
        <v>0</v>
      </c>
      <c r="U2117">
        <f t="shared" si="167"/>
        <v>0</v>
      </c>
      <c r="V2117">
        <f t="shared" si="168"/>
        <v>0</v>
      </c>
      <c r="W2117">
        <f t="shared" si="169"/>
        <v>1</v>
      </c>
      <c r="X2117">
        <v>1</v>
      </c>
      <c r="Y2117" s="2">
        <v>45768</v>
      </c>
      <c r="Z2117" s="3" t="s">
        <v>47</v>
      </c>
      <c r="AA2117" t="s">
        <v>39</v>
      </c>
      <c r="AB2117" t="s">
        <v>40</v>
      </c>
      <c r="AC2117" t="s">
        <v>40</v>
      </c>
      <c r="AD2117" t="s">
        <v>696</v>
      </c>
    </row>
    <row r="2118" spans="2:30">
      <c r="B2118">
        <v>0</v>
      </c>
      <c r="C2118">
        <v>1020</v>
      </c>
      <c r="D2118" t="s">
        <v>693</v>
      </c>
      <c r="E2118">
        <v>10047947</v>
      </c>
      <c r="F2118" t="s">
        <v>2206</v>
      </c>
      <c r="G2118" t="s">
        <v>43</v>
      </c>
      <c r="H2118" t="s">
        <v>32</v>
      </c>
      <c r="I2118" t="s">
        <v>695</v>
      </c>
      <c r="J2118" t="s">
        <v>45</v>
      </c>
      <c r="K2118" t="s">
        <v>35</v>
      </c>
      <c r="L2118" t="s">
        <v>175</v>
      </c>
      <c r="M2118" t="s">
        <v>46</v>
      </c>
      <c r="N2118">
        <v>0</v>
      </c>
      <c r="O2118">
        <v>0</v>
      </c>
      <c r="P2118">
        <v>0</v>
      </c>
      <c r="Q2118">
        <v>6</v>
      </c>
      <c r="R2118">
        <v>0</v>
      </c>
      <c r="S2118" t="str">
        <f t="shared" si="165"/>
        <v>PY: Media Crit.</v>
      </c>
      <c r="T2118">
        <f t="shared" si="166"/>
        <v>0</v>
      </c>
      <c r="U2118">
        <f t="shared" si="167"/>
        <v>0</v>
      </c>
      <c r="V2118">
        <f t="shared" si="168"/>
        <v>0</v>
      </c>
      <c r="W2118">
        <f t="shared" si="169"/>
        <v>1</v>
      </c>
      <c r="X2118">
        <v>1</v>
      </c>
      <c r="Y2118" s="2">
        <v>45768</v>
      </c>
      <c r="Z2118" s="3" t="s">
        <v>47</v>
      </c>
      <c r="AA2118" t="s">
        <v>39</v>
      </c>
      <c r="AB2118" t="s">
        <v>40</v>
      </c>
      <c r="AC2118" t="s">
        <v>40</v>
      </c>
      <c r="AD2118" t="s">
        <v>696</v>
      </c>
    </row>
    <row r="2119" spans="2:30">
      <c r="B2119">
        <v>0</v>
      </c>
      <c r="C2119">
        <v>1020</v>
      </c>
      <c r="D2119" t="s">
        <v>693</v>
      </c>
      <c r="E2119">
        <v>10047981</v>
      </c>
      <c r="F2119" t="s">
        <v>2207</v>
      </c>
      <c r="G2119" t="s">
        <v>31</v>
      </c>
      <c r="H2119" t="s">
        <v>32</v>
      </c>
      <c r="I2119" t="s">
        <v>695</v>
      </c>
      <c r="J2119" t="s">
        <v>45</v>
      </c>
      <c r="K2119" t="s">
        <v>35</v>
      </c>
      <c r="L2119" t="s">
        <v>175</v>
      </c>
      <c r="M2119" t="s">
        <v>46</v>
      </c>
      <c r="N2119">
        <v>0</v>
      </c>
      <c r="O2119">
        <v>0</v>
      </c>
      <c r="P2119">
        <v>0</v>
      </c>
      <c r="Q2119">
        <v>6</v>
      </c>
      <c r="R2119">
        <v>0</v>
      </c>
      <c r="S2119" t="str">
        <f t="shared" si="165"/>
        <v>PX: Baja Crit.</v>
      </c>
      <c r="T2119">
        <f t="shared" si="166"/>
        <v>0</v>
      </c>
      <c r="U2119">
        <f t="shared" si="167"/>
        <v>0</v>
      </c>
      <c r="V2119">
        <f t="shared" si="168"/>
        <v>0</v>
      </c>
      <c r="W2119">
        <f t="shared" si="169"/>
        <v>1</v>
      </c>
      <c r="X2119">
        <v>1</v>
      </c>
      <c r="Y2119" s="2">
        <v>45768</v>
      </c>
      <c r="Z2119" s="3" t="s">
        <v>47</v>
      </c>
      <c r="AA2119" t="s">
        <v>39</v>
      </c>
      <c r="AB2119" t="s">
        <v>40</v>
      </c>
      <c r="AC2119" t="s">
        <v>40</v>
      </c>
      <c r="AD2119" t="s">
        <v>696</v>
      </c>
    </row>
    <row r="2120" spans="2:30">
      <c r="B2120">
        <v>0</v>
      </c>
      <c r="C2120">
        <v>1020</v>
      </c>
      <c r="D2120" t="s">
        <v>693</v>
      </c>
      <c r="E2120">
        <v>10048003</v>
      </c>
      <c r="F2120" t="s">
        <v>2208</v>
      </c>
      <c r="G2120" t="s">
        <v>43</v>
      </c>
      <c r="H2120" t="s">
        <v>32</v>
      </c>
      <c r="I2120" t="s">
        <v>695</v>
      </c>
      <c r="J2120" t="s">
        <v>45</v>
      </c>
      <c r="K2120" t="s">
        <v>35</v>
      </c>
      <c r="L2120" t="s">
        <v>175</v>
      </c>
      <c r="M2120" t="s">
        <v>46</v>
      </c>
      <c r="N2120">
        <v>0</v>
      </c>
      <c r="O2120">
        <v>0</v>
      </c>
      <c r="P2120">
        <v>0</v>
      </c>
      <c r="Q2120">
        <v>5</v>
      </c>
      <c r="R2120">
        <v>0</v>
      </c>
      <c r="S2120" t="str">
        <f t="shared" si="165"/>
        <v>PY: Media Crit.</v>
      </c>
      <c r="T2120">
        <f t="shared" si="166"/>
        <v>0</v>
      </c>
      <c r="U2120">
        <f t="shared" si="167"/>
        <v>0</v>
      </c>
      <c r="V2120">
        <f t="shared" si="168"/>
        <v>0</v>
      </c>
      <c r="W2120">
        <f t="shared" si="169"/>
        <v>1</v>
      </c>
      <c r="X2120">
        <v>1</v>
      </c>
      <c r="Y2120" s="2">
        <v>45768</v>
      </c>
      <c r="Z2120" s="3" t="s">
        <v>47</v>
      </c>
      <c r="AA2120" t="s">
        <v>39</v>
      </c>
      <c r="AB2120" t="s">
        <v>40</v>
      </c>
      <c r="AC2120" t="s">
        <v>40</v>
      </c>
      <c r="AD2120" t="s">
        <v>696</v>
      </c>
    </row>
    <row r="2121" spans="2:30">
      <c r="B2121">
        <v>0</v>
      </c>
      <c r="C2121">
        <v>1020</v>
      </c>
      <c r="D2121" t="s">
        <v>181</v>
      </c>
      <c r="E2121">
        <v>10048031</v>
      </c>
      <c r="F2121" t="s">
        <v>2209</v>
      </c>
      <c r="G2121" t="s">
        <v>31</v>
      </c>
      <c r="H2121" t="s">
        <v>32</v>
      </c>
      <c r="I2121" t="s">
        <v>183</v>
      </c>
      <c r="J2121" t="s">
        <v>45</v>
      </c>
      <c r="K2121" t="s">
        <v>35</v>
      </c>
      <c r="L2121" t="s">
        <v>36</v>
      </c>
      <c r="M2121" t="s">
        <v>46</v>
      </c>
      <c r="N2121">
        <v>4</v>
      </c>
      <c r="O2121">
        <v>3</v>
      </c>
      <c r="P2121">
        <v>1</v>
      </c>
      <c r="Q2121">
        <v>4</v>
      </c>
      <c r="R2121">
        <v>0</v>
      </c>
      <c r="S2121" t="str">
        <f t="shared" si="165"/>
        <v>PX: Baja Crit.</v>
      </c>
      <c r="T2121">
        <f t="shared" si="166"/>
        <v>0</v>
      </c>
      <c r="U2121">
        <f t="shared" si="167"/>
        <v>0</v>
      </c>
      <c r="V2121">
        <f t="shared" si="168"/>
        <v>1</v>
      </c>
      <c r="W2121">
        <f t="shared" si="169"/>
        <v>0</v>
      </c>
      <c r="X2121">
        <v>1</v>
      </c>
      <c r="Y2121" s="2">
        <v>45768</v>
      </c>
      <c r="Z2121" s="3" t="s">
        <v>47</v>
      </c>
      <c r="AA2121" t="s">
        <v>39</v>
      </c>
      <c r="AB2121" t="s">
        <v>40</v>
      </c>
      <c r="AC2121" t="s">
        <v>40</v>
      </c>
      <c r="AD2121" t="s">
        <v>184</v>
      </c>
    </row>
    <row r="2122" spans="2:30">
      <c r="B2122">
        <v>0</v>
      </c>
      <c r="C2122">
        <v>1020</v>
      </c>
      <c r="D2122" t="s">
        <v>388</v>
      </c>
      <c r="E2122">
        <v>10048058</v>
      </c>
      <c r="F2122" t="s">
        <v>2210</v>
      </c>
      <c r="G2122" t="s">
        <v>52</v>
      </c>
      <c r="H2122" t="s">
        <v>32</v>
      </c>
      <c r="I2122" t="s">
        <v>390</v>
      </c>
      <c r="J2122" t="s">
        <v>45</v>
      </c>
      <c r="K2122" t="s">
        <v>35</v>
      </c>
      <c r="L2122" t="s">
        <v>175</v>
      </c>
      <c r="M2122" t="s">
        <v>46</v>
      </c>
      <c r="N2122">
        <v>0</v>
      </c>
      <c r="O2122">
        <v>0</v>
      </c>
      <c r="P2122">
        <v>1</v>
      </c>
      <c r="Q2122">
        <v>1</v>
      </c>
      <c r="R2122">
        <v>0</v>
      </c>
      <c r="S2122" t="str">
        <f t="shared" si="165"/>
        <v>PZ: Alta Crit.</v>
      </c>
      <c r="T2122">
        <f t="shared" si="166"/>
        <v>0</v>
      </c>
      <c r="U2122">
        <f t="shared" si="167"/>
        <v>1</v>
      </c>
      <c r="V2122">
        <f t="shared" si="168"/>
        <v>0</v>
      </c>
      <c r="W2122">
        <f t="shared" si="169"/>
        <v>1</v>
      </c>
      <c r="X2122">
        <v>1</v>
      </c>
      <c r="Y2122" s="2">
        <v>45768</v>
      </c>
      <c r="Z2122" s="3" t="s">
        <v>47</v>
      </c>
      <c r="AA2122" t="s">
        <v>39</v>
      </c>
      <c r="AB2122" t="s">
        <v>40</v>
      </c>
      <c r="AC2122" t="s">
        <v>40</v>
      </c>
      <c r="AD2122" t="s">
        <v>391</v>
      </c>
    </row>
    <row r="2123" spans="2:30">
      <c r="B2123">
        <v>0</v>
      </c>
      <c r="C2123">
        <v>1020</v>
      </c>
      <c r="D2123" t="s">
        <v>693</v>
      </c>
      <c r="E2123">
        <v>10048064</v>
      </c>
      <c r="F2123" t="s">
        <v>2211</v>
      </c>
      <c r="G2123" t="s">
        <v>43</v>
      </c>
      <c r="H2123" t="s">
        <v>32</v>
      </c>
      <c r="I2123" t="s">
        <v>695</v>
      </c>
      <c r="J2123" t="s">
        <v>45</v>
      </c>
      <c r="K2123" t="s">
        <v>35</v>
      </c>
      <c r="L2123" t="s">
        <v>175</v>
      </c>
      <c r="M2123" t="s">
        <v>46</v>
      </c>
      <c r="N2123">
        <v>0</v>
      </c>
      <c r="O2123">
        <v>0</v>
      </c>
      <c r="P2123">
        <v>0</v>
      </c>
      <c r="Q2123">
        <v>1</v>
      </c>
      <c r="R2123">
        <v>0</v>
      </c>
      <c r="S2123" t="str">
        <f t="shared" si="165"/>
        <v>PY: Media Crit.</v>
      </c>
      <c r="T2123">
        <f t="shared" si="166"/>
        <v>0</v>
      </c>
      <c r="U2123">
        <f t="shared" si="167"/>
        <v>0</v>
      </c>
      <c r="V2123">
        <f t="shared" si="168"/>
        <v>0</v>
      </c>
      <c r="W2123">
        <f t="shared" si="169"/>
        <v>1</v>
      </c>
      <c r="X2123">
        <v>1</v>
      </c>
      <c r="Y2123" s="2">
        <v>45768</v>
      </c>
      <c r="Z2123" s="3" t="s">
        <v>47</v>
      </c>
      <c r="AA2123" t="s">
        <v>39</v>
      </c>
      <c r="AB2123" t="s">
        <v>40</v>
      </c>
      <c r="AC2123" t="s">
        <v>40</v>
      </c>
      <c r="AD2123" t="s">
        <v>696</v>
      </c>
    </row>
    <row r="2124" spans="2:30">
      <c r="B2124">
        <v>0</v>
      </c>
      <c r="C2124">
        <v>1020</v>
      </c>
      <c r="D2124" t="s">
        <v>181</v>
      </c>
      <c r="E2124">
        <v>10048097</v>
      </c>
      <c r="F2124" t="s">
        <v>2212</v>
      </c>
      <c r="G2124" t="s">
        <v>43</v>
      </c>
      <c r="H2124" t="s">
        <v>44</v>
      </c>
      <c r="I2124" t="s">
        <v>183</v>
      </c>
      <c r="J2124" t="s">
        <v>45</v>
      </c>
      <c r="K2124" t="s">
        <v>35</v>
      </c>
      <c r="L2124" t="s">
        <v>36</v>
      </c>
      <c r="M2124" t="s">
        <v>46</v>
      </c>
      <c r="N2124">
        <v>4</v>
      </c>
      <c r="O2124">
        <v>2</v>
      </c>
      <c r="P2124">
        <v>0</v>
      </c>
      <c r="Q2124">
        <v>4</v>
      </c>
      <c r="R2124" s="4">
        <v>5131.7299999999996</v>
      </c>
      <c r="S2124" t="str">
        <f t="shared" si="165"/>
        <v>PY: Media Crit.</v>
      </c>
      <c r="T2124">
        <f t="shared" si="166"/>
        <v>0</v>
      </c>
      <c r="U2124">
        <f t="shared" si="167"/>
        <v>0</v>
      </c>
      <c r="V2124">
        <f t="shared" si="168"/>
        <v>1</v>
      </c>
      <c r="W2124">
        <f t="shared" si="169"/>
        <v>0</v>
      </c>
      <c r="X2124">
        <v>1</v>
      </c>
      <c r="Y2124" s="2">
        <v>45768</v>
      </c>
      <c r="Z2124" s="3" t="s">
        <v>47</v>
      </c>
      <c r="AA2124" t="s">
        <v>39</v>
      </c>
      <c r="AB2124" t="s">
        <v>40</v>
      </c>
      <c r="AC2124" t="s">
        <v>40</v>
      </c>
      <c r="AD2124" t="s">
        <v>184</v>
      </c>
    </row>
    <row r="2125" spans="2:30">
      <c r="B2125">
        <v>0</v>
      </c>
      <c r="C2125">
        <v>1020</v>
      </c>
      <c r="D2125" t="s">
        <v>693</v>
      </c>
      <c r="E2125">
        <v>10048103</v>
      </c>
      <c r="F2125" t="s">
        <v>2213</v>
      </c>
      <c r="G2125" t="s">
        <v>43</v>
      </c>
      <c r="H2125" t="s">
        <v>32</v>
      </c>
      <c r="I2125" t="s">
        <v>695</v>
      </c>
      <c r="J2125" t="s">
        <v>45</v>
      </c>
      <c r="K2125" t="s">
        <v>35</v>
      </c>
      <c r="L2125" t="s">
        <v>175</v>
      </c>
      <c r="M2125" t="s">
        <v>46</v>
      </c>
      <c r="N2125">
        <v>0</v>
      </c>
      <c r="O2125">
        <v>0</v>
      </c>
      <c r="P2125">
        <v>0</v>
      </c>
      <c r="Q2125">
        <v>4</v>
      </c>
      <c r="R2125">
        <v>0</v>
      </c>
      <c r="S2125" t="str">
        <f t="shared" si="165"/>
        <v>PY: Media Crit.</v>
      </c>
      <c r="T2125">
        <f t="shared" si="166"/>
        <v>0</v>
      </c>
      <c r="U2125">
        <f t="shared" si="167"/>
        <v>0</v>
      </c>
      <c r="V2125">
        <f t="shared" si="168"/>
        <v>0</v>
      </c>
      <c r="W2125">
        <f t="shared" si="169"/>
        <v>1</v>
      </c>
      <c r="X2125">
        <v>1</v>
      </c>
      <c r="Y2125" s="2">
        <v>45768</v>
      </c>
      <c r="Z2125" s="3" t="s">
        <v>47</v>
      </c>
      <c r="AA2125" t="s">
        <v>39</v>
      </c>
      <c r="AB2125" t="s">
        <v>40</v>
      </c>
      <c r="AC2125" t="s">
        <v>40</v>
      </c>
      <c r="AD2125" t="s">
        <v>696</v>
      </c>
    </row>
    <row r="2126" spans="2:30">
      <c r="B2126">
        <v>0</v>
      </c>
      <c r="C2126">
        <v>1020</v>
      </c>
      <c r="D2126" t="s">
        <v>693</v>
      </c>
      <c r="E2126">
        <v>10048124</v>
      </c>
      <c r="F2126" t="s">
        <v>2214</v>
      </c>
      <c r="G2126" t="s">
        <v>43</v>
      </c>
      <c r="H2126" t="s">
        <v>32</v>
      </c>
      <c r="I2126" t="s">
        <v>695</v>
      </c>
      <c r="J2126" t="s">
        <v>45</v>
      </c>
      <c r="K2126" t="s">
        <v>35</v>
      </c>
      <c r="L2126" t="s">
        <v>175</v>
      </c>
      <c r="M2126" t="s">
        <v>46</v>
      </c>
      <c r="N2126">
        <v>0</v>
      </c>
      <c r="O2126">
        <v>0</v>
      </c>
      <c r="P2126">
        <v>0</v>
      </c>
      <c r="Q2126">
        <v>6</v>
      </c>
      <c r="R2126">
        <v>0</v>
      </c>
      <c r="S2126" t="str">
        <f t="shared" si="165"/>
        <v>PY: Media Crit.</v>
      </c>
      <c r="T2126">
        <f t="shared" si="166"/>
        <v>0</v>
      </c>
      <c r="U2126">
        <f t="shared" si="167"/>
        <v>0</v>
      </c>
      <c r="V2126">
        <f t="shared" si="168"/>
        <v>0</v>
      </c>
      <c r="W2126">
        <f t="shared" si="169"/>
        <v>1</v>
      </c>
      <c r="X2126">
        <v>1</v>
      </c>
      <c r="Y2126" s="2">
        <v>45768</v>
      </c>
      <c r="Z2126" s="3" t="s">
        <v>47</v>
      </c>
      <c r="AA2126" t="s">
        <v>39</v>
      </c>
      <c r="AB2126" t="s">
        <v>40</v>
      </c>
      <c r="AC2126" t="s">
        <v>40</v>
      </c>
      <c r="AD2126" t="s">
        <v>696</v>
      </c>
    </row>
    <row r="2127" spans="2:30">
      <c r="B2127">
        <v>0</v>
      </c>
      <c r="C2127">
        <v>1020</v>
      </c>
      <c r="D2127" t="s">
        <v>693</v>
      </c>
      <c r="E2127">
        <v>10048156</v>
      </c>
      <c r="F2127" t="s">
        <v>2215</v>
      </c>
      <c r="G2127" t="s">
        <v>43</v>
      </c>
      <c r="H2127" t="s">
        <v>32</v>
      </c>
      <c r="I2127" t="s">
        <v>695</v>
      </c>
      <c r="J2127" t="s">
        <v>45</v>
      </c>
      <c r="K2127" t="s">
        <v>35</v>
      </c>
      <c r="L2127" t="s">
        <v>175</v>
      </c>
      <c r="M2127" t="s">
        <v>46</v>
      </c>
      <c r="N2127">
        <v>0</v>
      </c>
      <c r="O2127">
        <v>0</v>
      </c>
      <c r="P2127">
        <v>0</v>
      </c>
      <c r="Q2127">
        <v>6</v>
      </c>
      <c r="R2127">
        <v>0</v>
      </c>
      <c r="S2127" t="str">
        <f t="shared" si="165"/>
        <v>PY: Media Crit.</v>
      </c>
      <c r="T2127">
        <f t="shared" si="166"/>
        <v>0</v>
      </c>
      <c r="U2127">
        <f t="shared" si="167"/>
        <v>0</v>
      </c>
      <c r="V2127">
        <f t="shared" si="168"/>
        <v>0</v>
      </c>
      <c r="W2127">
        <f t="shared" si="169"/>
        <v>1</v>
      </c>
      <c r="X2127">
        <v>1</v>
      </c>
      <c r="Y2127" s="2">
        <v>45768</v>
      </c>
      <c r="Z2127" s="3" t="s">
        <v>47</v>
      </c>
      <c r="AA2127" t="s">
        <v>39</v>
      </c>
      <c r="AB2127" t="s">
        <v>40</v>
      </c>
      <c r="AC2127" t="s">
        <v>40</v>
      </c>
      <c r="AD2127" t="s">
        <v>696</v>
      </c>
    </row>
    <row r="2128" spans="2:30">
      <c r="B2128">
        <v>0</v>
      </c>
      <c r="C2128">
        <v>1020</v>
      </c>
      <c r="D2128" t="s">
        <v>693</v>
      </c>
      <c r="E2128">
        <v>10048161</v>
      </c>
      <c r="F2128" t="s">
        <v>2216</v>
      </c>
      <c r="G2128" t="s">
        <v>31</v>
      </c>
      <c r="H2128" t="s">
        <v>32</v>
      </c>
      <c r="I2128" t="s">
        <v>695</v>
      </c>
      <c r="J2128" t="s">
        <v>45</v>
      </c>
      <c r="K2128" t="s">
        <v>35</v>
      </c>
      <c r="L2128" t="s">
        <v>175</v>
      </c>
      <c r="M2128" t="s">
        <v>46</v>
      </c>
      <c r="N2128">
        <v>0</v>
      </c>
      <c r="O2128">
        <v>0</v>
      </c>
      <c r="P2128">
        <v>0</v>
      </c>
      <c r="Q2128">
        <v>4</v>
      </c>
      <c r="R2128">
        <v>0</v>
      </c>
      <c r="S2128" t="str">
        <f t="shared" si="165"/>
        <v>PX: Baja Crit.</v>
      </c>
      <c r="T2128">
        <f t="shared" si="166"/>
        <v>0</v>
      </c>
      <c r="U2128">
        <f t="shared" si="167"/>
        <v>0</v>
      </c>
      <c r="V2128">
        <f t="shared" si="168"/>
        <v>0</v>
      </c>
      <c r="W2128">
        <f t="shared" si="169"/>
        <v>1</v>
      </c>
      <c r="X2128">
        <v>1</v>
      </c>
      <c r="Y2128" s="2">
        <v>45768</v>
      </c>
      <c r="Z2128" s="3" t="s">
        <v>47</v>
      </c>
      <c r="AA2128" t="s">
        <v>39</v>
      </c>
      <c r="AB2128" t="s">
        <v>40</v>
      </c>
      <c r="AC2128" t="s">
        <v>40</v>
      </c>
      <c r="AD2128" t="s">
        <v>696</v>
      </c>
    </row>
    <row r="2129" spans="2:30">
      <c r="B2129">
        <v>0</v>
      </c>
      <c r="C2129">
        <v>1020</v>
      </c>
      <c r="D2129" t="s">
        <v>181</v>
      </c>
      <c r="E2129">
        <v>10048166</v>
      </c>
      <c r="F2129" t="s">
        <v>2217</v>
      </c>
      <c r="G2129" t="s">
        <v>43</v>
      </c>
      <c r="H2129" t="s">
        <v>32</v>
      </c>
      <c r="I2129" t="s">
        <v>183</v>
      </c>
      <c r="J2129" t="s">
        <v>45</v>
      </c>
      <c r="K2129" t="s">
        <v>35</v>
      </c>
      <c r="L2129" t="s">
        <v>36</v>
      </c>
      <c r="M2129" t="s">
        <v>46</v>
      </c>
      <c r="N2129">
        <v>4</v>
      </c>
      <c r="O2129">
        <v>3</v>
      </c>
      <c r="P2129">
        <v>1</v>
      </c>
      <c r="Q2129">
        <v>0</v>
      </c>
      <c r="R2129">
        <v>0</v>
      </c>
      <c r="S2129" t="str">
        <f t="shared" si="165"/>
        <v>PY: Media Crit.</v>
      </c>
      <c r="T2129">
        <f t="shared" si="166"/>
        <v>1</v>
      </c>
      <c r="U2129">
        <f t="shared" si="167"/>
        <v>0</v>
      </c>
      <c r="V2129">
        <f t="shared" si="168"/>
        <v>0</v>
      </c>
      <c r="W2129">
        <f t="shared" si="169"/>
        <v>0</v>
      </c>
      <c r="X2129">
        <v>1</v>
      </c>
      <c r="Y2129" s="2">
        <v>45768</v>
      </c>
      <c r="Z2129" s="3" t="s">
        <v>47</v>
      </c>
      <c r="AA2129" t="s">
        <v>39</v>
      </c>
      <c r="AB2129" t="s">
        <v>49</v>
      </c>
      <c r="AC2129" s="5" t="s">
        <v>50</v>
      </c>
      <c r="AD2129" t="s">
        <v>184</v>
      </c>
    </row>
    <row r="2130" spans="2:30">
      <c r="B2130">
        <v>0</v>
      </c>
      <c r="C2130">
        <v>1020</v>
      </c>
      <c r="D2130" t="s">
        <v>693</v>
      </c>
      <c r="E2130">
        <v>10048179</v>
      </c>
      <c r="F2130" t="s">
        <v>2218</v>
      </c>
      <c r="G2130" t="s">
        <v>43</v>
      </c>
      <c r="H2130" t="s">
        <v>32</v>
      </c>
      <c r="I2130" t="s">
        <v>695</v>
      </c>
      <c r="J2130" t="s">
        <v>45</v>
      </c>
      <c r="K2130" t="s">
        <v>35</v>
      </c>
      <c r="L2130" t="s">
        <v>175</v>
      </c>
      <c r="M2130" t="s">
        <v>46</v>
      </c>
      <c r="N2130">
        <v>0</v>
      </c>
      <c r="O2130">
        <v>0</v>
      </c>
      <c r="P2130">
        <v>0</v>
      </c>
      <c r="Q2130">
        <v>3</v>
      </c>
      <c r="R2130">
        <v>0</v>
      </c>
      <c r="S2130" t="str">
        <f t="shared" si="165"/>
        <v>PY: Media Crit.</v>
      </c>
      <c r="T2130">
        <f t="shared" si="166"/>
        <v>0</v>
      </c>
      <c r="U2130">
        <f t="shared" si="167"/>
        <v>0</v>
      </c>
      <c r="V2130">
        <f t="shared" si="168"/>
        <v>0</v>
      </c>
      <c r="W2130">
        <f t="shared" si="169"/>
        <v>1</v>
      </c>
      <c r="X2130">
        <v>1</v>
      </c>
      <c r="Y2130" s="2">
        <v>45768</v>
      </c>
      <c r="Z2130" s="3" t="s">
        <v>47</v>
      </c>
      <c r="AA2130" t="s">
        <v>39</v>
      </c>
      <c r="AB2130" t="s">
        <v>40</v>
      </c>
      <c r="AC2130" t="s">
        <v>40</v>
      </c>
      <c r="AD2130" t="s">
        <v>696</v>
      </c>
    </row>
    <row r="2131" spans="2:30">
      <c r="B2131">
        <v>0</v>
      </c>
      <c r="C2131">
        <v>1020</v>
      </c>
      <c r="D2131" t="s">
        <v>384</v>
      </c>
      <c r="E2131">
        <v>10048229</v>
      </c>
      <c r="F2131" t="s">
        <v>2219</v>
      </c>
      <c r="G2131" t="s">
        <v>43</v>
      </c>
      <c r="H2131" t="s">
        <v>32</v>
      </c>
      <c r="I2131" t="s">
        <v>386</v>
      </c>
      <c r="J2131" t="s">
        <v>45</v>
      </c>
      <c r="K2131" t="s">
        <v>35</v>
      </c>
      <c r="L2131" t="s">
        <v>175</v>
      </c>
      <c r="M2131" t="s">
        <v>46</v>
      </c>
      <c r="N2131">
        <v>0</v>
      </c>
      <c r="O2131">
        <v>0</v>
      </c>
      <c r="P2131">
        <v>0</v>
      </c>
      <c r="Q2131">
        <v>4</v>
      </c>
      <c r="R2131">
        <v>0</v>
      </c>
      <c r="S2131" t="str">
        <f t="shared" si="165"/>
        <v>PY: Media Crit.</v>
      </c>
      <c r="T2131">
        <f t="shared" si="166"/>
        <v>0</v>
      </c>
      <c r="U2131">
        <f t="shared" si="167"/>
        <v>0</v>
      </c>
      <c r="V2131">
        <f t="shared" si="168"/>
        <v>0</v>
      </c>
      <c r="W2131">
        <f t="shared" si="169"/>
        <v>1</v>
      </c>
      <c r="X2131">
        <v>1</v>
      </c>
      <c r="Y2131" s="2">
        <v>45768</v>
      </c>
      <c r="Z2131" s="3" t="s">
        <v>47</v>
      </c>
      <c r="AA2131" t="s">
        <v>39</v>
      </c>
      <c r="AB2131" t="s">
        <v>40</v>
      </c>
      <c r="AC2131" t="s">
        <v>40</v>
      </c>
      <c r="AD2131" t="s">
        <v>387</v>
      </c>
    </row>
    <row r="2132" spans="2:30">
      <c r="B2132">
        <v>0</v>
      </c>
      <c r="C2132">
        <v>1020</v>
      </c>
      <c r="D2132" t="s">
        <v>181</v>
      </c>
      <c r="E2132">
        <v>10048265</v>
      </c>
      <c r="F2132" t="s">
        <v>2220</v>
      </c>
      <c r="G2132" t="s">
        <v>43</v>
      </c>
      <c r="H2132" t="s">
        <v>44</v>
      </c>
      <c r="I2132" t="s">
        <v>183</v>
      </c>
      <c r="J2132" t="s">
        <v>45</v>
      </c>
      <c r="K2132" t="s">
        <v>35</v>
      </c>
      <c r="L2132" t="s">
        <v>36</v>
      </c>
      <c r="M2132" t="s">
        <v>46</v>
      </c>
      <c r="N2132">
        <v>2</v>
      </c>
      <c r="O2132">
        <v>1</v>
      </c>
      <c r="P2132">
        <v>0</v>
      </c>
      <c r="Q2132">
        <v>2</v>
      </c>
      <c r="R2132">
        <v>0</v>
      </c>
      <c r="S2132" t="str">
        <f t="shared" si="165"/>
        <v>PY: Media Crit.</v>
      </c>
      <c r="T2132">
        <f t="shared" si="166"/>
        <v>0</v>
      </c>
      <c r="U2132">
        <f t="shared" si="167"/>
        <v>0</v>
      </c>
      <c r="V2132">
        <f t="shared" si="168"/>
        <v>1</v>
      </c>
      <c r="W2132">
        <f t="shared" si="169"/>
        <v>0</v>
      </c>
      <c r="X2132">
        <v>1</v>
      </c>
      <c r="Y2132" s="2">
        <v>45768</v>
      </c>
      <c r="Z2132" s="3" t="s">
        <v>47</v>
      </c>
      <c r="AA2132" t="s">
        <v>39</v>
      </c>
      <c r="AB2132" t="s">
        <v>40</v>
      </c>
      <c r="AC2132" t="s">
        <v>40</v>
      </c>
      <c r="AD2132" t="s">
        <v>184</v>
      </c>
    </row>
    <row r="2133" spans="2:30">
      <c r="B2133">
        <v>0</v>
      </c>
      <c r="C2133">
        <v>1020</v>
      </c>
      <c r="D2133" t="s">
        <v>693</v>
      </c>
      <c r="E2133">
        <v>10048269</v>
      </c>
      <c r="F2133" t="s">
        <v>2221</v>
      </c>
      <c r="G2133" t="s">
        <v>43</v>
      </c>
      <c r="H2133" t="s">
        <v>32</v>
      </c>
      <c r="I2133" t="s">
        <v>695</v>
      </c>
      <c r="J2133" t="s">
        <v>45</v>
      </c>
      <c r="K2133" t="s">
        <v>35</v>
      </c>
      <c r="L2133" t="s">
        <v>175</v>
      </c>
      <c r="M2133" t="s">
        <v>46</v>
      </c>
      <c r="N2133">
        <v>0</v>
      </c>
      <c r="O2133">
        <v>0</v>
      </c>
      <c r="P2133">
        <v>0</v>
      </c>
      <c r="Q2133">
        <v>2</v>
      </c>
      <c r="R2133">
        <v>0</v>
      </c>
      <c r="S2133" t="str">
        <f t="shared" si="165"/>
        <v>PY: Media Crit.</v>
      </c>
      <c r="T2133">
        <f t="shared" si="166"/>
        <v>0</v>
      </c>
      <c r="U2133">
        <f t="shared" si="167"/>
        <v>0</v>
      </c>
      <c r="V2133">
        <f t="shared" si="168"/>
        <v>0</v>
      </c>
      <c r="W2133">
        <f t="shared" si="169"/>
        <v>1</v>
      </c>
      <c r="X2133">
        <v>1</v>
      </c>
      <c r="Y2133" s="2">
        <v>45768</v>
      </c>
      <c r="Z2133" s="3" t="s">
        <v>47</v>
      </c>
      <c r="AA2133" t="s">
        <v>39</v>
      </c>
      <c r="AB2133" t="s">
        <v>40</v>
      </c>
      <c r="AC2133" t="s">
        <v>40</v>
      </c>
      <c r="AD2133" t="s">
        <v>696</v>
      </c>
    </row>
    <row r="2134" spans="2:30">
      <c r="B2134">
        <v>0</v>
      </c>
      <c r="C2134">
        <v>1020</v>
      </c>
      <c r="D2134" t="s">
        <v>693</v>
      </c>
      <c r="E2134">
        <v>10048299</v>
      </c>
      <c r="F2134" t="s">
        <v>2222</v>
      </c>
      <c r="G2134" t="s">
        <v>52</v>
      </c>
      <c r="H2134" t="s">
        <v>32</v>
      </c>
      <c r="I2134" t="s">
        <v>695</v>
      </c>
      <c r="J2134" t="s">
        <v>45</v>
      </c>
      <c r="K2134" t="s">
        <v>35</v>
      </c>
      <c r="L2134" t="s">
        <v>175</v>
      </c>
      <c r="M2134" t="s">
        <v>46</v>
      </c>
      <c r="N2134">
        <v>0</v>
      </c>
      <c r="O2134">
        <v>0</v>
      </c>
      <c r="P2134">
        <v>0</v>
      </c>
      <c r="Q2134">
        <v>4</v>
      </c>
      <c r="R2134">
        <v>0</v>
      </c>
      <c r="S2134" t="str">
        <f t="shared" si="165"/>
        <v>PZ: Alta Crit.</v>
      </c>
      <c r="T2134">
        <f t="shared" si="166"/>
        <v>0</v>
      </c>
      <c r="U2134">
        <f t="shared" si="167"/>
        <v>0</v>
      </c>
      <c r="V2134">
        <f t="shared" si="168"/>
        <v>0</v>
      </c>
      <c r="W2134">
        <f t="shared" si="169"/>
        <v>1</v>
      </c>
      <c r="X2134">
        <v>1</v>
      </c>
      <c r="Y2134" s="2">
        <v>45768</v>
      </c>
      <c r="Z2134" s="3" t="s">
        <v>47</v>
      </c>
      <c r="AA2134" t="s">
        <v>39</v>
      </c>
      <c r="AB2134" t="s">
        <v>40</v>
      </c>
      <c r="AC2134" t="s">
        <v>40</v>
      </c>
      <c r="AD2134" t="s">
        <v>696</v>
      </c>
    </row>
    <row r="2135" spans="2:30">
      <c r="B2135">
        <v>0</v>
      </c>
      <c r="C2135">
        <v>1020</v>
      </c>
      <c r="D2135" t="s">
        <v>181</v>
      </c>
      <c r="E2135">
        <v>10048334</v>
      </c>
      <c r="F2135" t="s">
        <v>2223</v>
      </c>
      <c r="G2135" t="s">
        <v>31</v>
      </c>
      <c r="H2135" t="s">
        <v>60</v>
      </c>
      <c r="I2135" t="s">
        <v>183</v>
      </c>
      <c r="J2135" t="s">
        <v>45</v>
      </c>
      <c r="K2135" t="s">
        <v>35</v>
      </c>
      <c r="L2135" t="s">
        <v>36</v>
      </c>
      <c r="M2135" t="s">
        <v>46</v>
      </c>
      <c r="N2135">
        <v>4</v>
      </c>
      <c r="O2135">
        <v>3</v>
      </c>
      <c r="P2135">
        <v>1</v>
      </c>
      <c r="Q2135">
        <v>4</v>
      </c>
      <c r="R2135">
        <v>0</v>
      </c>
      <c r="S2135" t="str">
        <f t="shared" si="165"/>
        <v>PX: Baja Crit.</v>
      </c>
      <c r="T2135">
        <f t="shared" si="166"/>
        <v>0</v>
      </c>
      <c r="U2135">
        <f t="shared" si="167"/>
        <v>0</v>
      </c>
      <c r="V2135">
        <f t="shared" si="168"/>
        <v>1</v>
      </c>
      <c r="W2135">
        <f t="shared" si="169"/>
        <v>0</v>
      </c>
      <c r="X2135">
        <v>1</v>
      </c>
      <c r="Y2135" s="2">
        <v>45768</v>
      </c>
      <c r="Z2135" s="3" t="s">
        <v>47</v>
      </c>
      <c r="AA2135" t="s">
        <v>39</v>
      </c>
      <c r="AB2135" t="s">
        <v>40</v>
      </c>
      <c r="AC2135" t="s">
        <v>40</v>
      </c>
      <c r="AD2135" t="s">
        <v>184</v>
      </c>
    </row>
    <row r="2136" spans="2:30">
      <c r="B2136">
        <v>0</v>
      </c>
      <c r="C2136">
        <v>1020</v>
      </c>
      <c r="D2136" t="s">
        <v>693</v>
      </c>
      <c r="E2136">
        <v>10048344</v>
      </c>
      <c r="F2136" t="s">
        <v>2224</v>
      </c>
      <c r="G2136" t="s">
        <v>52</v>
      </c>
      <c r="H2136" t="s">
        <v>32</v>
      </c>
      <c r="I2136" t="s">
        <v>695</v>
      </c>
      <c r="J2136" t="s">
        <v>45</v>
      </c>
      <c r="K2136" t="s">
        <v>35</v>
      </c>
      <c r="L2136" t="s">
        <v>175</v>
      </c>
      <c r="M2136" t="s">
        <v>46</v>
      </c>
      <c r="N2136">
        <v>0</v>
      </c>
      <c r="O2136">
        <v>0</v>
      </c>
      <c r="P2136">
        <v>0</v>
      </c>
      <c r="Q2136">
        <v>16</v>
      </c>
      <c r="R2136">
        <v>0</v>
      </c>
      <c r="S2136" t="str">
        <f t="shared" si="165"/>
        <v>PZ: Alta Crit.</v>
      </c>
      <c r="T2136">
        <f t="shared" si="166"/>
        <v>0</v>
      </c>
      <c r="U2136">
        <f t="shared" si="167"/>
        <v>0</v>
      </c>
      <c r="V2136">
        <f t="shared" si="168"/>
        <v>0</v>
      </c>
      <c r="W2136">
        <f t="shared" si="169"/>
        <v>1</v>
      </c>
      <c r="X2136">
        <v>1</v>
      </c>
      <c r="Y2136" s="2">
        <v>45768</v>
      </c>
      <c r="Z2136" s="3" t="s">
        <v>47</v>
      </c>
      <c r="AA2136" t="s">
        <v>39</v>
      </c>
      <c r="AB2136" t="s">
        <v>40</v>
      </c>
      <c r="AC2136" t="s">
        <v>40</v>
      </c>
      <c r="AD2136" t="s">
        <v>696</v>
      </c>
    </row>
    <row r="2137" spans="2:30">
      <c r="B2137">
        <v>0</v>
      </c>
      <c r="C2137">
        <v>1020</v>
      </c>
      <c r="D2137" t="s">
        <v>693</v>
      </c>
      <c r="E2137">
        <v>10048350</v>
      </c>
      <c r="F2137" t="s">
        <v>2225</v>
      </c>
      <c r="G2137" t="s">
        <v>52</v>
      </c>
      <c r="H2137" t="s">
        <v>32</v>
      </c>
      <c r="I2137" t="s">
        <v>695</v>
      </c>
      <c r="J2137" t="s">
        <v>45</v>
      </c>
      <c r="K2137" t="s">
        <v>35</v>
      </c>
      <c r="L2137" t="s">
        <v>175</v>
      </c>
      <c r="M2137" t="s">
        <v>46</v>
      </c>
      <c r="N2137">
        <v>0</v>
      </c>
      <c r="O2137">
        <v>0</v>
      </c>
      <c r="P2137">
        <v>0</v>
      </c>
      <c r="Q2137">
        <v>5</v>
      </c>
      <c r="R2137">
        <v>0</v>
      </c>
      <c r="S2137" t="str">
        <f t="shared" si="165"/>
        <v>PZ: Alta Crit.</v>
      </c>
      <c r="T2137">
        <f t="shared" si="166"/>
        <v>0</v>
      </c>
      <c r="U2137">
        <f t="shared" si="167"/>
        <v>0</v>
      </c>
      <c r="V2137">
        <f t="shared" si="168"/>
        <v>0</v>
      </c>
      <c r="W2137">
        <f t="shared" si="169"/>
        <v>1</v>
      </c>
      <c r="X2137">
        <v>1</v>
      </c>
      <c r="Y2137" s="2">
        <v>45768</v>
      </c>
      <c r="Z2137" s="3" t="s">
        <v>47</v>
      </c>
      <c r="AA2137" t="s">
        <v>39</v>
      </c>
      <c r="AB2137" t="s">
        <v>40</v>
      </c>
      <c r="AC2137" t="s">
        <v>40</v>
      </c>
      <c r="AD2137" t="s">
        <v>696</v>
      </c>
    </row>
    <row r="2138" spans="2:30">
      <c r="B2138">
        <v>0</v>
      </c>
      <c r="C2138">
        <v>1020</v>
      </c>
      <c r="D2138" t="s">
        <v>384</v>
      </c>
      <c r="E2138">
        <v>10048352</v>
      </c>
      <c r="F2138" t="s">
        <v>2226</v>
      </c>
      <c r="G2138" t="s">
        <v>52</v>
      </c>
      <c r="H2138" t="s">
        <v>32</v>
      </c>
      <c r="I2138" t="s">
        <v>386</v>
      </c>
      <c r="J2138" t="s">
        <v>45</v>
      </c>
      <c r="K2138" t="s">
        <v>35</v>
      </c>
      <c r="L2138" t="s">
        <v>175</v>
      </c>
      <c r="M2138" t="s">
        <v>46</v>
      </c>
      <c r="N2138">
        <v>0</v>
      </c>
      <c r="O2138">
        <v>0</v>
      </c>
      <c r="P2138">
        <v>0</v>
      </c>
      <c r="Q2138">
        <v>1</v>
      </c>
      <c r="R2138">
        <v>0</v>
      </c>
      <c r="S2138" t="str">
        <f t="shared" si="165"/>
        <v>PZ: Alta Crit.</v>
      </c>
      <c r="T2138">
        <f t="shared" si="166"/>
        <v>0</v>
      </c>
      <c r="U2138">
        <f t="shared" si="167"/>
        <v>0</v>
      </c>
      <c r="V2138">
        <f t="shared" si="168"/>
        <v>0</v>
      </c>
      <c r="W2138">
        <f t="shared" si="169"/>
        <v>1</v>
      </c>
      <c r="X2138">
        <v>1</v>
      </c>
      <c r="Y2138" s="2">
        <v>45768</v>
      </c>
      <c r="Z2138" s="3" t="s">
        <v>47</v>
      </c>
      <c r="AA2138" t="s">
        <v>39</v>
      </c>
      <c r="AB2138" t="s">
        <v>40</v>
      </c>
      <c r="AC2138" t="s">
        <v>40</v>
      </c>
      <c r="AD2138" t="s">
        <v>387</v>
      </c>
    </row>
    <row r="2139" spans="2:30">
      <c r="B2139">
        <v>0</v>
      </c>
      <c r="C2139">
        <v>1020</v>
      </c>
      <c r="D2139" t="s">
        <v>693</v>
      </c>
      <c r="E2139">
        <v>10048357</v>
      </c>
      <c r="F2139" t="s">
        <v>2227</v>
      </c>
      <c r="G2139" t="s">
        <v>43</v>
      </c>
      <c r="H2139" t="s">
        <v>60</v>
      </c>
      <c r="I2139" t="s">
        <v>695</v>
      </c>
      <c r="J2139" t="s">
        <v>45</v>
      </c>
      <c r="K2139" t="s">
        <v>35</v>
      </c>
      <c r="L2139" t="s">
        <v>175</v>
      </c>
      <c r="M2139" t="s">
        <v>46</v>
      </c>
      <c r="N2139">
        <v>0</v>
      </c>
      <c r="O2139">
        <v>0</v>
      </c>
      <c r="P2139">
        <v>0</v>
      </c>
      <c r="Q2139">
        <v>4</v>
      </c>
      <c r="R2139">
        <v>0</v>
      </c>
      <c r="S2139" t="str">
        <f t="shared" si="165"/>
        <v>PY: Media Crit.</v>
      </c>
      <c r="T2139">
        <f t="shared" si="166"/>
        <v>0</v>
      </c>
      <c r="U2139">
        <f t="shared" si="167"/>
        <v>0</v>
      </c>
      <c r="V2139">
        <f t="shared" si="168"/>
        <v>0</v>
      </c>
      <c r="W2139">
        <f t="shared" si="169"/>
        <v>1</v>
      </c>
      <c r="X2139">
        <v>1</v>
      </c>
      <c r="Y2139" s="2">
        <v>45768</v>
      </c>
      <c r="Z2139" s="3" t="s">
        <v>47</v>
      </c>
      <c r="AA2139" t="s">
        <v>39</v>
      </c>
      <c r="AB2139" t="s">
        <v>40</v>
      </c>
      <c r="AC2139" t="s">
        <v>40</v>
      </c>
      <c r="AD2139" t="s">
        <v>696</v>
      </c>
    </row>
    <row r="2140" spans="2:30">
      <c r="B2140">
        <v>0</v>
      </c>
      <c r="C2140">
        <v>1020</v>
      </c>
      <c r="D2140" t="s">
        <v>693</v>
      </c>
      <c r="E2140">
        <v>10048393</v>
      </c>
      <c r="F2140" t="s">
        <v>2228</v>
      </c>
      <c r="G2140" t="s">
        <v>43</v>
      </c>
      <c r="H2140" t="s">
        <v>44</v>
      </c>
      <c r="I2140" t="s">
        <v>695</v>
      </c>
      <c r="J2140" t="s">
        <v>45</v>
      </c>
      <c r="K2140" t="s">
        <v>35</v>
      </c>
      <c r="L2140" t="s">
        <v>175</v>
      </c>
      <c r="M2140" t="s">
        <v>46</v>
      </c>
      <c r="N2140">
        <v>0</v>
      </c>
      <c r="O2140">
        <v>0</v>
      </c>
      <c r="P2140">
        <v>0</v>
      </c>
      <c r="Q2140">
        <v>6</v>
      </c>
      <c r="R2140">
        <v>0</v>
      </c>
      <c r="S2140" t="str">
        <f t="shared" si="165"/>
        <v>PY: Media Crit.</v>
      </c>
      <c r="T2140">
        <f t="shared" si="166"/>
        <v>0</v>
      </c>
      <c r="U2140">
        <f t="shared" si="167"/>
        <v>0</v>
      </c>
      <c r="V2140">
        <f t="shared" si="168"/>
        <v>0</v>
      </c>
      <c r="W2140">
        <f t="shared" si="169"/>
        <v>1</v>
      </c>
      <c r="X2140">
        <v>1</v>
      </c>
      <c r="Y2140" s="2">
        <v>45768</v>
      </c>
      <c r="Z2140" s="3" t="s">
        <v>47</v>
      </c>
      <c r="AA2140" t="s">
        <v>39</v>
      </c>
      <c r="AB2140" t="s">
        <v>40</v>
      </c>
      <c r="AC2140" t="s">
        <v>40</v>
      </c>
      <c r="AD2140" t="s">
        <v>696</v>
      </c>
    </row>
    <row r="2141" spans="2:30">
      <c r="B2141">
        <v>0</v>
      </c>
      <c r="C2141">
        <v>1020</v>
      </c>
      <c r="D2141" t="s">
        <v>693</v>
      </c>
      <c r="E2141">
        <v>10048394</v>
      </c>
      <c r="F2141" t="s">
        <v>2229</v>
      </c>
      <c r="G2141" t="s">
        <v>43</v>
      </c>
      <c r="H2141" t="s">
        <v>32</v>
      </c>
      <c r="I2141" t="s">
        <v>695</v>
      </c>
      <c r="J2141" t="s">
        <v>45</v>
      </c>
      <c r="K2141" t="s">
        <v>35</v>
      </c>
      <c r="L2141" t="s">
        <v>175</v>
      </c>
      <c r="M2141" t="s">
        <v>46</v>
      </c>
      <c r="N2141">
        <v>0</v>
      </c>
      <c r="O2141">
        <v>0</v>
      </c>
      <c r="P2141">
        <v>0</v>
      </c>
      <c r="Q2141">
        <v>0</v>
      </c>
      <c r="R2141">
        <v>0</v>
      </c>
      <c r="S2141" t="str">
        <f t="shared" si="165"/>
        <v>PY: Media Crit.</v>
      </c>
      <c r="T2141">
        <f t="shared" si="166"/>
        <v>1</v>
      </c>
      <c r="U2141">
        <f t="shared" si="167"/>
        <v>0</v>
      </c>
      <c r="V2141">
        <f t="shared" si="168"/>
        <v>0</v>
      </c>
      <c r="W2141">
        <f t="shared" si="169"/>
        <v>0</v>
      </c>
      <c r="X2141">
        <v>1</v>
      </c>
      <c r="Y2141" s="2">
        <v>45768</v>
      </c>
      <c r="Z2141" s="3" t="s">
        <v>47</v>
      </c>
      <c r="AA2141" t="s">
        <v>39</v>
      </c>
      <c r="AB2141" t="s">
        <v>40</v>
      </c>
      <c r="AC2141" t="s">
        <v>40</v>
      </c>
      <c r="AD2141" t="s">
        <v>696</v>
      </c>
    </row>
    <row r="2142" spans="2:30">
      <c r="B2142">
        <v>0</v>
      </c>
      <c r="C2142">
        <v>1020</v>
      </c>
      <c r="D2142" t="s">
        <v>693</v>
      </c>
      <c r="E2142">
        <v>10048404</v>
      </c>
      <c r="F2142" t="s">
        <v>2230</v>
      </c>
      <c r="G2142" t="s">
        <v>43</v>
      </c>
      <c r="H2142" t="s">
        <v>32</v>
      </c>
      <c r="I2142" t="s">
        <v>695</v>
      </c>
      <c r="J2142" t="s">
        <v>45</v>
      </c>
      <c r="K2142" t="s">
        <v>35</v>
      </c>
      <c r="L2142" t="s">
        <v>175</v>
      </c>
      <c r="M2142" t="s">
        <v>46</v>
      </c>
      <c r="N2142">
        <v>0</v>
      </c>
      <c r="O2142">
        <v>0</v>
      </c>
      <c r="P2142">
        <v>0</v>
      </c>
      <c r="Q2142">
        <v>4</v>
      </c>
      <c r="R2142">
        <v>0</v>
      </c>
      <c r="S2142" t="str">
        <f t="shared" si="165"/>
        <v>PY: Media Crit.</v>
      </c>
      <c r="T2142">
        <f t="shared" si="166"/>
        <v>0</v>
      </c>
      <c r="U2142">
        <f t="shared" si="167"/>
        <v>0</v>
      </c>
      <c r="V2142">
        <f t="shared" si="168"/>
        <v>0</v>
      </c>
      <c r="W2142">
        <f t="shared" si="169"/>
        <v>1</v>
      </c>
      <c r="X2142">
        <v>1</v>
      </c>
      <c r="Y2142" s="2">
        <v>45768</v>
      </c>
      <c r="Z2142" s="3" t="s">
        <v>47</v>
      </c>
      <c r="AA2142" t="s">
        <v>39</v>
      </c>
      <c r="AB2142" t="s">
        <v>40</v>
      </c>
      <c r="AC2142" t="s">
        <v>40</v>
      </c>
      <c r="AD2142" t="s">
        <v>696</v>
      </c>
    </row>
    <row r="2143" spans="2:30">
      <c r="B2143">
        <v>0</v>
      </c>
      <c r="C2143">
        <v>1020</v>
      </c>
      <c r="D2143" t="s">
        <v>181</v>
      </c>
      <c r="E2143">
        <v>10048419</v>
      </c>
      <c r="F2143" t="s">
        <v>2231</v>
      </c>
      <c r="G2143" t="s">
        <v>43</v>
      </c>
      <c r="H2143" t="s">
        <v>60</v>
      </c>
      <c r="I2143" t="s">
        <v>183</v>
      </c>
      <c r="J2143" t="s">
        <v>45</v>
      </c>
      <c r="K2143" t="s">
        <v>35</v>
      </c>
      <c r="L2143" t="s">
        <v>36</v>
      </c>
      <c r="M2143" t="s">
        <v>46</v>
      </c>
      <c r="N2143">
        <v>5</v>
      </c>
      <c r="O2143">
        <v>3</v>
      </c>
      <c r="P2143">
        <v>1</v>
      </c>
      <c r="Q2143">
        <v>1</v>
      </c>
      <c r="R2143">
        <v>0</v>
      </c>
      <c r="S2143" t="str">
        <f t="shared" si="165"/>
        <v>PY: Media Crit.</v>
      </c>
      <c r="T2143">
        <f t="shared" si="166"/>
        <v>0</v>
      </c>
      <c r="U2143">
        <f t="shared" si="167"/>
        <v>1</v>
      </c>
      <c r="V2143">
        <f t="shared" si="168"/>
        <v>0</v>
      </c>
      <c r="W2143">
        <f t="shared" si="169"/>
        <v>0</v>
      </c>
      <c r="X2143">
        <v>1</v>
      </c>
      <c r="Y2143" s="2">
        <v>45768</v>
      </c>
      <c r="Z2143" s="3" t="s">
        <v>47</v>
      </c>
      <c r="AA2143" t="s">
        <v>39</v>
      </c>
      <c r="AB2143" t="s">
        <v>49</v>
      </c>
      <c r="AC2143" s="5" t="s">
        <v>50</v>
      </c>
      <c r="AD2143" t="s">
        <v>184</v>
      </c>
    </row>
    <row r="2144" spans="2:30">
      <c r="B2144">
        <v>0</v>
      </c>
      <c r="C2144">
        <v>1020</v>
      </c>
      <c r="D2144" t="s">
        <v>181</v>
      </c>
      <c r="E2144">
        <v>10048420</v>
      </c>
      <c r="F2144" t="s">
        <v>2232</v>
      </c>
      <c r="G2144" t="s">
        <v>43</v>
      </c>
      <c r="H2144" t="s">
        <v>60</v>
      </c>
      <c r="I2144" t="s">
        <v>183</v>
      </c>
      <c r="J2144" t="s">
        <v>45</v>
      </c>
      <c r="K2144" t="s">
        <v>35</v>
      </c>
      <c r="L2144" t="s">
        <v>36</v>
      </c>
      <c r="M2144" t="s">
        <v>46</v>
      </c>
      <c r="N2144">
        <v>4</v>
      </c>
      <c r="O2144">
        <v>3</v>
      </c>
      <c r="P2144">
        <v>0</v>
      </c>
      <c r="Q2144">
        <v>4</v>
      </c>
      <c r="R2144">
        <v>0</v>
      </c>
      <c r="S2144" t="str">
        <f t="shared" si="165"/>
        <v>PY: Media Crit.</v>
      </c>
      <c r="T2144">
        <f t="shared" si="166"/>
        <v>0</v>
      </c>
      <c r="U2144">
        <f t="shared" si="167"/>
        <v>0</v>
      </c>
      <c r="V2144">
        <f t="shared" si="168"/>
        <v>1</v>
      </c>
      <c r="W2144">
        <f t="shared" si="169"/>
        <v>0</v>
      </c>
      <c r="X2144">
        <v>1</v>
      </c>
      <c r="Y2144" s="2">
        <v>45768</v>
      </c>
      <c r="Z2144" s="3" t="s">
        <v>47</v>
      </c>
      <c r="AA2144" t="s">
        <v>39</v>
      </c>
      <c r="AB2144" t="s">
        <v>40</v>
      </c>
      <c r="AC2144" t="s">
        <v>40</v>
      </c>
      <c r="AD2144" t="s">
        <v>184</v>
      </c>
    </row>
    <row r="2145" spans="2:30">
      <c r="B2145">
        <v>0</v>
      </c>
      <c r="C2145">
        <v>1020</v>
      </c>
      <c r="D2145" t="s">
        <v>384</v>
      </c>
      <c r="E2145">
        <v>10048453</v>
      </c>
      <c r="F2145" t="s">
        <v>2233</v>
      </c>
      <c r="G2145" t="s">
        <v>31</v>
      </c>
      <c r="H2145" t="s">
        <v>32</v>
      </c>
      <c r="I2145" t="s">
        <v>386</v>
      </c>
      <c r="J2145" t="s">
        <v>45</v>
      </c>
      <c r="K2145" t="s">
        <v>35</v>
      </c>
      <c r="L2145" t="s">
        <v>175</v>
      </c>
      <c r="M2145" t="s">
        <v>46</v>
      </c>
      <c r="N2145">
        <v>0</v>
      </c>
      <c r="O2145">
        <v>0</v>
      </c>
      <c r="P2145">
        <v>0</v>
      </c>
      <c r="Q2145">
        <v>14</v>
      </c>
      <c r="R2145">
        <v>0</v>
      </c>
      <c r="S2145" t="str">
        <f t="shared" si="165"/>
        <v>PX: Baja Crit.</v>
      </c>
      <c r="T2145">
        <f t="shared" si="166"/>
        <v>0</v>
      </c>
      <c r="U2145">
        <f t="shared" si="167"/>
        <v>0</v>
      </c>
      <c r="V2145">
        <f t="shared" si="168"/>
        <v>0</v>
      </c>
      <c r="W2145">
        <f t="shared" si="169"/>
        <v>1</v>
      </c>
      <c r="X2145">
        <v>1</v>
      </c>
      <c r="Y2145" s="2">
        <v>45768</v>
      </c>
      <c r="Z2145" s="3" t="s">
        <v>47</v>
      </c>
      <c r="AA2145" t="s">
        <v>39</v>
      </c>
      <c r="AB2145" t="s">
        <v>40</v>
      </c>
      <c r="AC2145" t="s">
        <v>40</v>
      </c>
      <c r="AD2145" t="s">
        <v>387</v>
      </c>
    </row>
    <row r="2146" spans="2:30">
      <c r="B2146">
        <v>0</v>
      </c>
      <c r="C2146">
        <v>1020</v>
      </c>
      <c r="D2146" t="s">
        <v>384</v>
      </c>
      <c r="E2146">
        <v>10049027</v>
      </c>
      <c r="F2146" t="s">
        <v>2234</v>
      </c>
      <c r="G2146" t="s">
        <v>43</v>
      </c>
      <c r="H2146" t="s">
        <v>32</v>
      </c>
      <c r="I2146" t="s">
        <v>386</v>
      </c>
      <c r="J2146" t="s">
        <v>45</v>
      </c>
      <c r="K2146" t="s">
        <v>53</v>
      </c>
      <c r="L2146" t="s">
        <v>175</v>
      </c>
      <c r="M2146" t="s">
        <v>37</v>
      </c>
      <c r="N2146">
        <v>0</v>
      </c>
      <c r="O2146">
        <v>0</v>
      </c>
      <c r="P2146">
        <v>0</v>
      </c>
      <c r="Q2146">
        <v>5</v>
      </c>
      <c r="R2146">
        <v>0</v>
      </c>
      <c r="S2146" t="str">
        <f t="shared" si="165"/>
        <v>PY: Media Crit.</v>
      </c>
      <c r="T2146">
        <f t="shared" si="166"/>
        <v>0</v>
      </c>
      <c r="U2146">
        <f t="shared" si="167"/>
        <v>0</v>
      </c>
      <c r="V2146">
        <f t="shared" si="168"/>
        <v>0</v>
      </c>
      <c r="W2146">
        <f t="shared" si="169"/>
        <v>1</v>
      </c>
      <c r="X2146">
        <v>1</v>
      </c>
      <c r="Y2146" s="2">
        <v>45768</v>
      </c>
      <c r="Z2146" s="3" t="s">
        <v>38</v>
      </c>
      <c r="AA2146" t="s">
        <v>39</v>
      </c>
      <c r="AB2146" t="s">
        <v>40</v>
      </c>
      <c r="AC2146" t="s">
        <v>40</v>
      </c>
      <c r="AD2146" t="s">
        <v>387</v>
      </c>
    </row>
    <row r="2147" spans="2:30">
      <c r="B2147">
        <v>0</v>
      </c>
      <c r="C2147">
        <v>1020</v>
      </c>
      <c r="D2147" t="s">
        <v>181</v>
      </c>
      <c r="E2147">
        <v>10049205</v>
      </c>
      <c r="F2147" t="s">
        <v>2235</v>
      </c>
      <c r="G2147" t="s">
        <v>43</v>
      </c>
      <c r="H2147" t="s">
        <v>32</v>
      </c>
      <c r="I2147" t="s">
        <v>183</v>
      </c>
      <c r="J2147" t="s">
        <v>45</v>
      </c>
      <c r="K2147" t="s">
        <v>35</v>
      </c>
      <c r="L2147" t="s">
        <v>36</v>
      </c>
      <c r="M2147" t="s">
        <v>46</v>
      </c>
      <c r="N2147">
        <v>2</v>
      </c>
      <c r="O2147">
        <v>1</v>
      </c>
      <c r="P2147">
        <v>0</v>
      </c>
      <c r="Q2147">
        <v>2</v>
      </c>
      <c r="R2147">
        <v>0</v>
      </c>
      <c r="S2147" t="str">
        <f t="shared" si="165"/>
        <v>PY: Media Crit.</v>
      </c>
      <c r="T2147">
        <f t="shared" si="166"/>
        <v>0</v>
      </c>
      <c r="U2147">
        <f t="shared" si="167"/>
        <v>0</v>
      </c>
      <c r="V2147">
        <f t="shared" si="168"/>
        <v>1</v>
      </c>
      <c r="W2147">
        <f t="shared" si="169"/>
        <v>0</v>
      </c>
      <c r="X2147">
        <v>1</v>
      </c>
      <c r="Y2147" s="2">
        <v>45768</v>
      </c>
      <c r="Z2147" s="3" t="s">
        <v>47</v>
      </c>
      <c r="AA2147" t="s">
        <v>39</v>
      </c>
      <c r="AB2147" t="s">
        <v>40</v>
      </c>
      <c r="AC2147" t="s">
        <v>40</v>
      </c>
      <c r="AD2147" t="s">
        <v>184</v>
      </c>
    </row>
    <row r="2148" spans="2:30">
      <c r="B2148">
        <v>0</v>
      </c>
      <c r="C2148">
        <v>1020</v>
      </c>
      <c r="D2148" t="s">
        <v>693</v>
      </c>
      <c r="E2148">
        <v>10049330</v>
      </c>
      <c r="F2148" t="s">
        <v>2236</v>
      </c>
      <c r="G2148" t="s">
        <v>43</v>
      </c>
      <c r="H2148" t="s">
        <v>32</v>
      </c>
      <c r="I2148" t="s">
        <v>695</v>
      </c>
      <c r="J2148" t="s">
        <v>45</v>
      </c>
      <c r="K2148" t="s">
        <v>35</v>
      </c>
      <c r="L2148" t="s">
        <v>175</v>
      </c>
      <c r="M2148" t="s">
        <v>55</v>
      </c>
      <c r="N2148">
        <v>0</v>
      </c>
      <c r="O2148">
        <v>0</v>
      </c>
      <c r="P2148">
        <v>0</v>
      </c>
      <c r="Q2148">
        <v>2</v>
      </c>
      <c r="R2148">
        <v>0</v>
      </c>
      <c r="S2148" t="str">
        <f t="shared" si="165"/>
        <v>PY: Media Crit.</v>
      </c>
      <c r="T2148">
        <f t="shared" si="166"/>
        <v>0</v>
      </c>
      <c r="U2148">
        <f t="shared" si="167"/>
        <v>0</v>
      </c>
      <c r="V2148">
        <f t="shared" si="168"/>
        <v>0</v>
      </c>
      <c r="W2148">
        <f t="shared" si="169"/>
        <v>1</v>
      </c>
      <c r="X2148">
        <v>1</v>
      </c>
      <c r="Y2148" s="2">
        <v>45768</v>
      </c>
      <c r="Z2148" s="3" t="s">
        <v>56</v>
      </c>
      <c r="AA2148" t="s">
        <v>39</v>
      </c>
      <c r="AB2148" t="s">
        <v>40</v>
      </c>
      <c r="AC2148" t="s">
        <v>40</v>
      </c>
      <c r="AD2148" t="s">
        <v>696</v>
      </c>
    </row>
    <row r="2149" spans="2:30">
      <c r="B2149">
        <v>0</v>
      </c>
      <c r="C2149">
        <v>1020</v>
      </c>
      <c r="D2149" t="s">
        <v>181</v>
      </c>
      <c r="E2149">
        <v>10049351</v>
      </c>
      <c r="F2149" t="s">
        <v>2237</v>
      </c>
      <c r="G2149" t="s">
        <v>43</v>
      </c>
      <c r="H2149" t="s">
        <v>60</v>
      </c>
      <c r="I2149" t="s">
        <v>183</v>
      </c>
      <c r="J2149" t="s">
        <v>45</v>
      </c>
      <c r="K2149" t="s">
        <v>35</v>
      </c>
      <c r="L2149" t="s">
        <v>36</v>
      </c>
      <c r="M2149" t="s">
        <v>88</v>
      </c>
      <c r="N2149">
        <v>1</v>
      </c>
      <c r="O2149">
        <v>1</v>
      </c>
      <c r="P2149">
        <v>0</v>
      </c>
      <c r="Q2149">
        <v>1</v>
      </c>
      <c r="R2149">
        <v>0</v>
      </c>
      <c r="S2149" t="str">
        <f t="shared" si="165"/>
        <v>PY: Media Crit.</v>
      </c>
      <c r="T2149">
        <f t="shared" si="166"/>
        <v>0</v>
      </c>
      <c r="U2149">
        <f t="shared" si="167"/>
        <v>0</v>
      </c>
      <c r="V2149">
        <f t="shared" si="168"/>
        <v>1</v>
      </c>
      <c r="W2149">
        <f t="shared" si="169"/>
        <v>0</v>
      </c>
      <c r="X2149">
        <v>1</v>
      </c>
      <c r="Y2149" s="2">
        <v>45768</v>
      </c>
      <c r="Z2149" s="3" t="s">
        <v>89</v>
      </c>
      <c r="AA2149" t="s">
        <v>39</v>
      </c>
      <c r="AB2149" t="s">
        <v>40</v>
      </c>
      <c r="AC2149" t="s">
        <v>40</v>
      </c>
      <c r="AD2149" t="s">
        <v>184</v>
      </c>
    </row>
    <row r="2150" spans="2:30">
      <c r="B2150">
        <v>0</v>
      </c>
      <c r="C2150">
        <v>1020</v>
      </c>
      <c r="D2150" t="s">
        <v>388</v>
      </c>
      <c r="E2150">
        <v>10049438</v>
      </c>
      <c r="F2150" t="s">
        <v>2238</v>
      </c>
      <c r="G2150" t="s">
        <v>52</v>
      </c>
      <c r="H2150" t="s">
        <v>32</v>
      </c>
      <c r="I2150" t="s">
        <v>390</v>
      </c>
      <c r="J2150" t="s">
        <v>45</v>
      </c>
      <c r="K2150" t="s">
        <v>35</v>
      </c>
      <c r="L2150" t="s">
        <v>175</v>
      </c>
      <c r="M2150" t="s">
        <v>55</v>
      </c>
      <c r="N2150">
        <v>0</v>
      </c>
      <c r="O2150">
        <v>0</v>
      </c>
      <c r="P2150">
        <v>1</v>
      </c>
      <c r="Q2150">
        <v>1</v>
      </c>
      <c r="R2150">
        <v>0</v>
      </c>
      <c r="S2150" t="str">
        <f t="shared" si="165"/>
        <v>PZ: Alta Crit.</v>
      </c>
      <c r="T2150">
        <f t="shared" si="166"/>
        <v>0</v>
      </c>
      <c r="U2150">
        <f t="shared" si="167"/>
        <v>1</v>
      </c>
      <c r="V2150">
        <f t="shared" si="168"/>
        <v>0</v>
      </c>
      <c r="W2150">
        <f t="shared" si="169"/>
        <v>1</v>
      </c>
      <c r="X2150">
        <v>1</v>
      </c>
      <c r="Y2150" s="2">
        <v>45768</v>
      </c>
      <c r="Z2150" s="3" t="s">
        <v>56</v>
      </c>
      <c r="AA2150" t="s">
        <v>39</v>
      </c>
      <c r="AB2150" t="s">
        <v>40</v>
      </c>
      <c r="AC2150" t="s">
        <v>40</v>
      </c>
      <c r="AD2150" t="s">
        <v>391</v>
      </c>
    </row>
    <row r="2151" spans="2:30">
      <c r="B2151">
        <v>0</v>
      </c>
      <c r="C2151">
        <v>1020</v>
      </c>
      <c r="D2151" t="s">
        <v>388</v>
      </c>
      <c r="E2151">
        <v>10049439</v>
      </c>
      <c r="F2151" t="s">
        <v>2239</v>
      </c>
      <c r="G2151" t="s">
        <v>52</v>
      </c>
      <c r="H2151" t="s">
        <v>32</v>
      </c>
      <c r="I2151" t="s">
        <v>390</v>
      </c>
      <c r="J2151" t="s">
        <v>45</v>
      </c>
      <c r="K2151" t="s">
        <v>35</v>
      </c>
      <c r="L2151" t="s">
        <v>175</v>
      </c>
      <c r="M2151" t="s">
        <v>46</v>
      </c>
      <c r="N2151">
        <v>0</v>
      </c>
      <c r="O2151">
        <v>0</v>
      </c>
      <c r="P2151">
        <v>2</v>
      </c>
      <c r="Q2151">
        <v>2</v>
      </c>
      <c r="R2151">
        <v>0</v>
      </c>
      <c r="S2151" t="str">
        <f t="shared" si="165"/>
        <v>PZ: Alta Crit.</v>
      </c>
      <c r="T2151">
        <f t="shared" si="166"/>
        <v>0</v>
      </c>
      <c r="U2151">
        <f t="shared" si="167"/>
        <v>1</v>
      </c>
      <c r="V2151">
        <f t="shared" si="168"/>
        <v>0</v>
      </c>
      <c r="W2151">
        <f t="shared" si="169"/>
        <v>1</v>
      </c>
      <c r="X2151">
        <v>1</v>
      </c>
      <c r="Y2151" s="2">
        <v>45768</v>
      </c>
      <c r="Z2151" s="3" t="s">
        <v>47</v>
      </c>
      <c r="AA2151" t="s">
        <v>39</v>
      </c>
      <c r="AB2151" t="s">
        <v>40</v>
      </c>
      <c r="AC2151" t="s">
        <v>40</v>
      </c>
      <c r="AD2151" t="s">
        <v>391</v>
      </c>
    </row>
    <row r="2152" spans="2:30">
      <c r="B2152">
        <v>0</v>
      </c>
      <c r="C2152">
        <v>1020</v>
      </c>
      <c r="D2152" t="s">
        <v>693</v>
      </c>
      <c r="E2152">
        <v>10049442</v>
      </c>
      <c r="F2152" t="s">
        <v>2240</v>
      </c>
      <c r="G2152" t="s">
        <v>43</v>
      </c>
      <c r="H2152" t="s">
        <v>60</v>
      </c>
      <c r="I2152" t="s">
        <v>695</v>
      </c>
      <c r="J2152" t="s">
        <v>45</v>
      </c>
      <c r="K2152" t="s">
        <v>35</v>
      </c>
      <c r="L2152" t="s">
        <v>175</v>
      </c>
      <c r="M2152" t="s">
        <v>55</v>
      </c>
      <c r="N2152">
        <v>0</v>
      </c>
      <c r="O2152">
        <v>0</v>
      </c>
      <c r="P2152">
        <v>0</v>
      </c>
      <c r="Q2152">
        <v>9</v>
      </c>
      <c r="R2152">
        <v>0</v>
      </c>
      <c r="S2152" t="str">
        <f t="shared" si="165"/>
        <v>PY: Media Crit.</v>
      </c>
      <c r="T2152">
        <f t="shared" si="166"/>
        <v>0</v>
      </c>
      <c r="U2152">
        <f t="shared" si="167"/>
        <v>0</v>
      </c>
      <c r="V2152">
        <f t="shared" si="168"/>
        <v>0</v>
      </c>
      <c r="W2152">
        <f t="shared" si="169"/>
        <v>1</v>
      </c>
      <c r="X2152">
        <v>1</v>
      </c>
      <c r="Y2152" s="2">
        <v>45768</v>
      </c>
      <c r="Z2152" s="3" t="s">
        <v>56</v>
      </c>
      <c r="AA2152" t="s">
        <v>39</v>
      </c>
      <c r="AB2152" t="s">
        <v>40</v>
      </c>
      <c r="AC2152" t="s">
        <v>40</v>
      </c>
      <c r="AD2152" t="s">
        <v>696</v>
      </c>
    </row>
    <row r="2153" spans="2:30">
      <c r="B2153">
        <v>0</v>
      </c>
      <c r="C2153">
        <v>1020</v>
      </c>
      <c r="D2153" t="s">
        <v>693</v>
      </c>
      <c r="E2153">
        <v>10049443</v>
      </c>
      <c r="F2153" t="s">
        <v>2241</v>
      </c>
      <c r="G2153" t="s">
        <v>43</v>
      </c>
      <c r="H2153" t="s">
        <v>32</v>
      </c>
      <c r="I2153" t="s">
        <v>695</v>
      </c>
      <c r="J2153" t="s">
        <v>45</v>
      </c>
      <c r="K2153" t="s">
        <v>35</v>
      </c>
      <c r="L2153" t="s">
        <v>175</v>
      </c>
      <c r="M2153" t="s">
        <v>55</v>
      </c>
      <c r="N2153">
        <v>0</v>
      </c>
      <c r="O2153">
        <v>0</v>
      </c>
      <c r="P2153">
        <v>0</v>
      </c>
      <c r="Q2153">
        <v>12</v>
      </c>
      <c r="R2153">
        <v>0</v>
      </c>
      <c r="S2153" t="str">
        <f t="shared" si="165"/>
        <v>PY: Media Crit.</v>
      </c>
      <c r="T2153">
        <f t="shared" si="166"/>
        <v>0</v>
      </c>
      <c r="U2153">
        <f t="shared" si="167"/>
        <v>0</v>
      </c>
      <c r="V2153">
        <f t="shared" si="168"/>
        <v>0</v>
      </c>
      <c r="W2153">
        <f t="shared" si="169"/>
        <v>1</v>
      </c>
      <c r="X2153">
        <v>1</v>
      </c>
      <c r="Y2153" s="2">
        <v>45768</v>
      </c>
      <c r="Z2153" s="3" t="s">
        <v>56</v>
      </c>
      <c r="AA2153" t="s">
        <v>39</v>
      </c>
      <c r="AB2153" t="s">
        <v>40</v>
      </c>
      <c r="AC2153" t="s">
        <v>40</v>
      </c>
      <c r="AD2153" t="s">
        <v>696</v>
      </c>
    </row>
    <row r="2154" spans="2:30">
      <c r="B2154">
        <v>0</v>
      </c>
      <c r="C2154">
        <v>1020</v>
      </c>
      <c r="D2154" t="s">
        <v>388</v>
      </c>
      <c r="E2154">
        <v>10049492</v>
      </c>
      <c r="F2154" t="s">
        <v>2242</v>
      </c>
      <c r="G2154" t="s">
        <v>52</v>
      </c>
      <c r="H2154" t="s">
        <v>32</v>
      </c>
      <c r="I2154" t="s">
        <v>1002</v>
      </c>
      <c r="J2154" t="s">
        <v>45</v>
      </c>
      <c r="K2154" t="s">
        <v>35</v>
      </c>
      <c r="L2154" t="s">
        <v>175</v>
      </c>
      <c r="M2154" t="s">
        <v>46</v>
      </c>
      <c r="N2154">
        <v>0</v>
      </c>
      <c r="O2154">
        <v>0</v>
      </c>
      <c r="P2154">
        <v>1</v>
      </c>
      <c r="Q2154">
        <v>1</v>
      </c>
      <c r="R2154" s="4">
        <v>21233.46</v>
      </c>
      <c r="S2154" t="str">
        <f t="shared" si="165"/>
        <v>PZ: Alta Crit.</v>
      </c>
      <c r="T2154">
        <f t="shared" si="166"/>
        <v>0</v>
      </c>
      <c r="U2154">
        <f t="shared" si="167"/>
        <v>1</v>
      </c>
      <c r="V2154">
        <f t="shared" si="168"/>
        <v>0</v>
      </c>
      <c r="W2154">
        <f t="shared" si="169"/>
        <v>1</v>
      </c>
      <c r="X2154">
        <v>1</v>
      </c>
      <c r="Y2154" s="2">
        <v>45768</v>
      </c>
      <c r="Z2154" s="3" t="s">
        <v>47</v>
      </c>
      <c r="AA2154" t="s">
        <v>39</v>
      </c>
      <c r="AB2154" t="s">
        <v>40</v>
      </c>
      <c r="AC2154" t="s">
        <v>40</v>
      </c>
      <c r="AD2154" t="s">
        <v>391</v>
      </c>
    </row>
    <row r="2155" spans="2:30">
      <c r="B2155">
        <v>0</v>
      </c>
      <c r="C2155">
        <v>1020</v>
      </c>
      <c r="D2155" t="s">
        <v>693</v>
      </c>
      <c r="E2155">
        <v>10049516</v>
      </c>
      <c r="F2155" t="s">
        <v>2243</v>
      </c>
      <c r="G2155" t="s">
        <v>31</v>
      </c>
      <c r="H2155" t="s">
        <v>60</v>
      </c>
      <c r="I2155" t="s">
        <v>695</v>
      </c>
      <c r="J2155" t="s">
        <v>45</v>
      </c>
      <c r="K2155" t="s">
        <v>80</v>
      </c>
      <c r="L2155" t="s">
        <v>175</v>
      </c>
      <c r="M2155" t="s">
        <v>37</v>
      </c>
      <c r="N2155">
        <v>0</v>
      </c>
      <c r="O2155">
        <v>0</v>
      </c>
      <c r="P2155">
        <v>0</v>
      </c>
      <c r="Q2155">
        <v>2</v>
      </c>
      <c r="R2155">
        <v>0</v>
      </c>
      <c r="S2155" t="str">
        <f t="shared" si="165"/>
        <v>PX: Baja Crit.</v>
      </c>
      <c r="T2155">
        <f t="shared" si="166"/>
        <v>0</v>
      </c>
      <c r="U2155">
        <f t="shared" si="167"/>
        <v>0</v>
      </c>
      <c r="V2155">
        <f t="shared" si="168"/>
        <v>0</v>
      </c>
      <c r="W2155">
        <f t="shared" si="169"/>
        <v>1</v>
      </c>
      <c r="X2155">
        <v>1</v>
      </c>
      <c r="Y2155" s="2">
        <v>45768</v>
      </c>
      <c r="Z2155" s="3" t="s">
        <v>38</v>
      </c>
      <c r="AA2155" t="s">
        <v>39</v>
      </c>
      <c r="AB2155" t="s">
        <v>40</v>
      </c>
      <c r="AC2155" t="s">
        <v>40</v>
      </c>
      <c r="AD2155" t="s">
        <v>696</v>
      </c>
    </row>
    <row r="2156" spans="2:30">
      <c r="B2156">
        <v>0</v>
      </c>
      <c r="C2156">
        <v>1020</v>
      </c>
      <c r="D2156" t="s">
        <v>181</v>
      </c>
      <c r="E2156">
        <v>10049863</v>
      </c>
      <c r="F2156" t="s">
        <v>2244</v>
      </c>
      <c r="G2156" t="s">
        <v>43</v>
      </c>
      <c r="H2156" t="s">
        <v>44</v>
      </c>
      <c r="I2156" t="s">
        <v>183</v>
      </c>
      <c r="J2156" t="s">
        <v>45</v>
      </c>
      <c r="K2156" t="s">
        <v>35</v>
      </c>
      <c r="L2156" t="s">
        <v>36</v>
      </c>
      <c r="M2156" t="s">
        <v>37</v>
      </c>
      <c r="N2156">
        <v>4</v>
      </c>
      <c r="O2156">
        <v>2</v>
      </c>
      <c r="P2156">
        <v>0</v>
      </c>
      <c r="Q2156">
        <v>4</v>
      </c>
      <c r="R2156">
        <v>0</v>
      </c>
      <c r="S2156" t="str">
        <f t="shared" si="165"/>
        <v>PY: Media Crit.</v>
      </c>
      <c r="T2156">
        <f t="shared" si="166"/>
        <v>0</v>
      </c>
      <c r="U2156">
        <f t="shared" si="167"/>
        <v>0</v>
      </c>
      <c r="V2156">
        <f t="shared" si="168"/>
        <v>1</v>
      </c>
      <c r="W2156">
        <f t="shared" si="169"/>
        <v>0</v>
      </c>
      <c r="X2156">
        <v>1</v>
      </c>
      <c r="Y2156" s="2">
        <v>45768</v>
      </c>
      <c r="Z2156" s="3" t="s">
        <v>38</v>
      </c>
      <c r="AA2156" t="s">
        <v>39</v>
      </c>
      <c r="AB2156" t="s">
        <v>40</v>
      </c>
      <c r="AC2156" t="s">
        <v>40</v>
      </c>
      <c r="AD2156" t="s">
        <v>184</v>
      </c>
    </row>
    <row r="2157" spans="2:30">
      <c r="B2157">
        <v>0</v>
      </c>
      <c r="C2157">
        <v>1020</v>
      </c>
      <c r="D2157" t="s">
        <v>384</v>
      </c>
      <c r="E2157">
        <v>10049963</v>
      </c>
      <c r="F2157" t="s">
        <v>2245</v>
      </c>
      <c r="G2157" t="s">
        <v>52</v>
      </c>
      <c r="H2157" t="s">
        <v>32</v>
      </c>
      <c r="I2157" t="s">
        <v>386</v>
      </c>
      <c r="J2157" t="s">
        <v>45</v>
      </c>
      <c r="K2157" t="s">
        <v>35</v>
      </c>
      <c r="L2157" t="s">
        <v>175</v>
      </c>
      <c r="M2157" t="s">
        <v>69</v>
      </c>
      <c r="N2157">
        <v>0</v>
      </c>
      <c r="O2157">
        <v>0</v>
      </c>
      <c r="P2157">
        <v>0</v>
      </c>
      <c r="Q2157">
        <v>2</v>
      </c>
      <c r="R2157">
        <v>0</v>
      </c>
      <c r="S2157" t="str">
        <f t="shared" si="165"/>
        <v>PZ: Alta Crit.</v>
      </c>
      <c r="T2157">
        <f t="shared" si="166"/>
        <v>0</v>
      </c>
      <c r="U2157">
        <f t="shared" si="167"/>
        <v>0</v>
      </c>
      <c r="V2157">
        <f t="shared" si="168"/>
        <v>0</v>
      </c>
      <c r="W2157">
        <f t="shared" si="169"/>
        <v>1</v>
      </c>
      <c r="X2157">
        <v>1</v>
      </c>
      <c r="Y2157" s="2">
        <v>45768</v>
      </c>
      <c r="Z2157" s="3" t="s">
        <v>70</v>
      </c>
      <c r="AA2157" t="s">
        <v>39</v>
      </c>
      <c r="AB2157" t="s">
        <v>40</v>
      </c>
      <c r="AC2157" t="s">
        <v>40</v>
      </c>
      <c r="AD2157" t="s">
        <v>387</v>
      </c>
    </row>
    <row r="2158" spans="2:30">
      <c r="B2158">
        <v>0</v>
      </c>
      <c r="C2158">
        <v>1020</v>
      </c>
      <c r="D2158" t="s">
        <v>693</v>
      </c>
      <c r="E2158">
        <v>10050003</v>
      </c>
      <c r="F2158" t="s">
        <v>2246</v>
      </c>
      <c r="G2158" t="s">
        <v>43</v>
      </c>
      <c r="H2158" t="s">
        <v>32</v>
      </c>
      <c r="I2158" t="s">
        <v>695</v>
      </c>
      <c r="J2158" t="s">
        <v>45</v>
      </c>
      <c r="K2158" t="s">
        <v>35</v>
      </c>
      <c r="L2158" t="s">
        <v>175</v>
      </c>
      <c r="M2158" t="s">
        <v>46</v>
      </c>
      <c r="N2158">
        <v>0</v>
      </c>
      <c r="O2158">
        <v>0</v>
      </c>
      <c r="P2158">
        <v>0</v>
      </c>
      <c r="Q2158">
        <v>8</v>
      </c>
      <c r="R2158">
        <v>0</v>
      </c>
      <c r="S2158" t="str">
        <f t="shared" si="165"/>
        <v>PY: Media Crit.</v>
      </c>
      <c r="T2158">
        <f t="shared" si="166"/>
        <v>0</v>
      </c>
      <c r="U2158">
        <f t="shared" si="167"/>
        <v>0</v>
      </c>
      <c r="V2158">
        <f t="shared" si="168"/>
        <v>0</v>
      </c>
      <c r="W2158">
        <f t="shared" si="169"/>
        <v>1</v>
      </c>
      <c r="X2158">
        <v>1</v>
      </c>
      <c r="Y2158" s="2">
        <v>45768</v>
      </c>
      <c r="Z2158" s="3" t="s">
        <v>47</v>
      </c>
      <c r="AA2158" t="s">
        <v>39</v>
      </c>
      <c r="AB2158" t="s">
        <v>40</v>
      </c>
      <c r="AC2158" t="s">
        <v>40</v>
      </c>
      <c r="AD2158" t="s">
        <v>696</v>
      </c>
    </row>
    <row r="2159" spans="2:30">
      <c r="B2159">
        <v>0</v>
      </c>
      <c r="C2159">
        <v>1020</v>
      </c>
      <c r="D2159" t="s">
        <v>384</v>
      </c>
      <c r="E2159">
        <v>10050009</v>
      </c>
      <c r="F2159" t="s">
        <v>2247</v>
      </c>
      <c r="G2159" t="s">
        <v>43</v>
      </c>
      <c r="H2159" t="s">
        <v>32</v>
      </c>
      <c r="I2159" t="s">
        <v>386</v>
      </c>
      <c r="J2159" t="s">
        <v>45</v>
      </c>
      <c r="K2159" t="s">
        <v>35</v>
      </c>
      <c r="L2159" t="s">
        <v>175</v>
      </c>
      <c r="M2159" t="s">
        <v>46</v>
      </c>
      <c r="N2159">
        <v>0</v>
      </c>
      <c r="O2159">
        <v>0</v>
      </c>
      <c r="P2159">
        <v>0</v>
      </c>
      <c r="Q2159">
        <v>4</v>
      </c>
      <c r="R2159">
        <v>0</v>
      </c>
      <c r="S2159" t="str">
        <f t="shared" si="165"/>
        <v>PY: Media Crit.</v>
      </c>
      <c r="T2159">
        <f t="shared" si="166"/>
        <v>0</v>
      </c>
      <c r="U2159">
        <f t="shared" si="167"/>
        <v>0</v>
      </c>
      <c r="V2159">
        <f t="shared" si="168"/>
        <v>0</v>
      </c>
      <c r="W2159">
        <f t="shared" si="169"/>
        <v>1</v>
      </c>
      <c r="X2159">
        <v>1</v>
      </c>
      <c r="Y2159" s="2">
        <v>45768</v>
      </c>
      <c r="Z2159" s="3" t="s">
        <v>47</v>
      </c>
      <c r="AA2159" t="s">
        <v>39</v>
      </c>
      <c r="AB2159" t="s">
        <v>40</v>
      </c>
      <c r="AC2159" t="s">
        <v>40</v>
      </c>
      <c r="AD2159" t="s">
        <v>387</v>
      </c>
    </row>
    <row r="2160" spans="2:30">
      <c r="B2160">
        <v>0</v>
      </c>
      <c r="C2160">
        <v>1020</v>
      </c>
      <c r="D2160" t="s">
        <v>388</v>
      </c>
      <c r="E2160">
        <v>10050275</v>
      </c>
      <c r="F2160" t="s">
        <v>2248</v>
      </c>
      <c r="G2160" t="s">
        <v>52</v>
      </c>
      <c r="H2160" t="s">
        <v>32</v>
      </c>
      <c r="I2160" t="s">
        <v>390</v>
      </c>
      <c r="J2160" t="s">
        <v>45</v>
      </c>
      <c r="K2160" t="s">
        <v>35</v>
      </c>
      <c r="L2160" t="s">
        <v>175</v>
      </c>
      <c r="M2160" t="s">
        <v>69</v>
      </c>
      <c r="N2160">
        <v>0</v>
      </c>
      <c r="O2160">
        <v>0</v>
      </c>
      <c r="P2160">
        <v>1</v>
      </c>
      <c r="Q2160">
        <v>1</v>
      </c>
      <c r="R2160">
        <v>0</v>
      </c>
      <c r="S2160" t="str">
        <f t="shared" si="165"/>
        <v>PZ: Alta Crit.</v>
      </c>
      <c r="T2160">
        <f t="shared" si="166"/>
        <v>0</v>
      </c>
      <c r="U2160">
        <f t="shared" si="167"/>
        <v>1</v>
      </c>
      <c r="V2160">
        <f t="shared" si="168"/>
        <v>0</v>
      </c>
      <c r="W2160">
        <f t="shared" si="169"/>
        <v>1</v>
      </c>
      <c r="X2160">
        <v>1</v>
      </c>
      <c r="Y2160" s="2">
        <v>45768</v>
      </c>
      <c r="Z2160" s="3" t="s">
        <v>70</v>
      </c>
      <c r="AA2160" t="s">
        <v>39</v>
      </c>
      <c r="AB2160" t="s">
        <v>40</v>
      </c>
      <c r="AC2160" t="s">
        <v>40</v>
      </c>
      <c r="AD2160" t="s">
        <v>391</v>
      </c>
    </row>
    <row r="2161" spans="2:30">
      <c r="B2161">
        <v>0</v>
      </c>
      <c r="C2161">
        <v>1020</v>
      </c>
      <c r="D2161" t="s">
        <v>388</v>
      </c>
      <c r="E2161">
        <v>10050358</v>
      </c>
      <c r="F2161" t="s">
        <v>2249</v>
      </c>
      <c r="G2161" t="s">
        <v>52</v>
      </c>
      <c r="H2161" t="s">
        <v>32</v>
      </c>
      <c r="I2161" t="s">
        <v>390</v>
      </c>
      <c r="J2161" t="s">
        <v>45</v>
      </c>
      <c r="K2161" t="s">
        <v>35</v>
      </c>
      <c r="L2161" t="s">
        <v>175</v>
      </c>
      <c r="M2161" t="s">
        <v>69</v>
      </c>
      <c r="N2161">
        <v>0</v>
      </c>
      <c r="O2161">
        <v>0</v>
      </c>
      <c r="P2161">
        <v>2</v>
      </c>
      <c r="Q2161">
        <v>2</v>
      </c>
      <c r="R2161">
        <v>0</v>
      </c>
      <c r="S2161" t="str">
        <f t="shared" si="165"/>
        <v>PZ: Alta Crit.</v>
      </c>
      <c r="T2161">
        <f t="shared" si="166"/>
        <v>0</v>
      </c>
      <c r="U2161">
        <f t="shared" si="167"/>
        <v>1</v>
      </c>
      <c r="V2161">
        <f t="shared" si="168"/>
        <v>0</v>
      </c>
      <c r="W2161">
        <f t="shared" si="169"/>
        <v>1</v>
      </c>
      <c r="X2161">
        <v>1</v>
      </c>
      <c r="Y2161" s="2">
        <v>45768</v>
      </c>
      <c r="Z2161" s="3" t="s">
        <v>70</v>
      </c>
      <c r="AA2161" t="s">
        <v>39</v>
      </c>
      <c r="AB2161" t="s">
        <v>40</v>
      </c>
      <c r="AC2161" t="s">
        <v>40</v>
      </c>
      <c r="AD2161" t="s">
        <v>391</v>
      </c>
    </row>
    <row r="2162" spans="2:30">
      <c r="B2162">
        <v>0</v>
      </c>
      <c r="C2162">
        <v>1020</v>
      </c>
      <c r="D2162" t="s">
        <v>388</v>
      </c>
      <c r="E2162">
        <v>10050511</v>
      </c>
      <c r="F2162" t="s">
        <v>2250</v>
      </c>
      <c r="G2162" t="s">
        <v>52</v>
      </c>
      <c r="H2162" t="s">
        <v>32</v>
      </c>
      <c r="I2162" t="s">
        <v>390</v>
      </c>
      <c r="J2162" t="s">
        <v>45</v>
      </c>
      <c r="K2162" t="s">
        <v>35</v>
      </c>
      <c r="L2162" t="s">
        <v>175</v>
      </c>
      <c r="M2162" t="s">
        <v>69</v>
      </c>
      <c r="N2162">
        <v>0</v>
      </c>
      <c r="O2162">
        <v>0</v>
      </c>
      <c r="P2162">
        <v>1</v>
      </c>
      <c r="Q2162">
        <v>1</v>
      </c>
      <c r="R2162">
        <v>0</v>
      </c>
      <c r="S2162" t="str">
        <f t="shared" si="165"/>
        <v>PZ: Alta Crit.</v>
      </c>
      <c r="T2162">
        <f t="shared" si="166"/>
        <v>0</v>
      </c>
      <c r="U2162">
        <f t="shared" si="167"/>
        <v>1</v>
      </c>
      <c r="V2162">
        <f t="shared" si="168"/>
        <v>0</v>
      </c>
      <c r="W2162">
        <f t="shared" si="169"/>
        <v>1</v>
      </c>
      <c r="X2162">
        <v>1</v>
      </c>
      <c r="Y2162" s="2">
        <v>45768</v>
      </c>
      <c r="Z2162" s="3" t="s">
        <v>70</v>
      </c>
      <c r="AA2162" t="s">
        <v>39</v>
      </c>
      <c r="AB2162" t="s">
        <v>40</v>
      </c>
      <c r="AC2162" t="s">
        <v>40</v>
      </c>
      <c r="AD2162" t="s">
        <v>391</v>
      </c>
    </row>
    <row r="2163" spans="2:30">
      <c r="B2163">
        <v>0</v>
      </c>
      <c r="C2163">
        <v>1020</v>
      </c>
      <c r="D2163" t="s">
        <v>388</v>
      </c>
      <c r="E2163">
        <v>10050520</v>
      </c>
      <c r="F2163" t="s">
        <v>2251</v>
      </c>
      <c r="G2163" t="s">
        <v>52</v>
      </c>
      <c r="H2163" t="s">
        <v>32</v>
      </c>
      <c r="I2163" t="s">
        <v>390</v>
      </c>
      <c r="J2163" t="s">
        <v>45</v>
      </c>
      <c r="K2163" t="s">
        <v>35</v>
      </c>
      <c r="L2163" t="s">
        <v>175</v>
      </c>
      <c r="M2163" t="s">
        <v>69</v>
      </c>
      <c r="N2163">
        <v>0</v>
      </c>
      <c r="O2163">
        <v>0</v>
      </c>
      <c r="P2163">
        <v>1</v>
      </c>
      <c r="Q2163">
        <v>1</v>
      </c>
      <c r="R2163">
        <v>0</v>
      </c>
      <c r="S2163" t="str">
        <f t="shared" si="165"/>
        <v>PZ: Alta Crit.</v>
      </c>
      <c r="T2163">
        <f t="shared" si="166"/>
        <v>0</v>
      </c>
      <c r="U2163">
        <f t="shared" si="167"/>
        <v>1</v>
      </c>
      <c r="V2163">
        <f t="shared" si="168"/>
        <v>0</v>
      </c>
      <c r="W2163">
        <f t="shared" si="169"/>
        <v>1</v>
      </c>
      <c r="X2163">
        <v>1</v>
      </c>
      <c r="Y2163" s="2">
        <v>45768</v>
      </c>
      <c r="Z2163" s="3" t="s">
        <v>70</v>
      </c>
      <c r="AA2163" t="s">
        <v>39</v>
      </c>
      <c r="AB2163" t="s">
        <v>40</v>
      </c>
      <c r="AC2163" t="s">
        <v>40</v>
      </c>
      <c r="AD2163" t="s">
        <v>391</v>
      </c>
    </row>
    <row r="2164" spans="2:30">
      <c r="B2164">
        <v>0</v>
      </c>
      <c r="C2164">
        <v>1020</v>
      </c>
      <c r="D2164" t="s">
        <v>388</v>
      </c>
      <c r="E2164">
        <v>10050521</v>
      </c>
      <c r="F2164" t="s">
        <v>2252</v>
      </c>
      <c r="G2164" t="s">
        <v>52</v>
      </c>
      <c r="H2164" t="s">
        <v>32</v>
      </c>
      <c r="I2164" t="s">
        <v>390</v>
      </c>
      <c r="J2164" t="s">
        <v>45</v>
      </c>
      <c r="K2164" t="s">
        <v>35</v>
      </c>
      <c r="L2164" t="s">
        <v>175</v>
      </c>
      <c r="M2164" t="s">
        <v>69</v>
      </c>
      <c r="N2164">
        <v>0</v>
      </c>
      <c r="O2164">
        <v>0</v>
      </c>
      <c r="P2164">
        <v>1</v>
      </c>
      <c r="Q2164">
        <v>1</v>
      </c>
      <c r="R2164">
        <v>0</v>
      </c>
      <c r="S2164" t="str">
        <f t="shared" si="165"/>
        <v>PZ: Alta Crit.</v>
      </c>
      <c r="T2164">
        <f t="shared" si="166"/>
        <v>0</v>
      </c>
      <c r="U2164">
        <f t="shared" si="167"/>
        <v>1</v>
      </c>
      <c r="V2164">
        <f t="shared" si="168"/>
        <v>0</v>
      </c>
      <c r="W2164">
        <f t="shared" si="169"/>
        <v>1</v>
      </c>
      <c r="X2164">
        <v>1</v>
      </c>
      <c r="Y2164" s="2">
        <v>45768</v>
      </c>
      <c r="Z2164" s="3" t="s">
        <v>70</v>
      </c>
      <c r="AA2164" t="s">
        <v>39</v>
      </c>
      <c r="AB2164" t="s">
        <v>40</v>
      </c>
      <c r="AC2164" t="s">
        <v>40</v>
      </c>
      <c r="AD2164" t="s">
        <v>391</v>
      </c>
    </row>
    <row r="2165" spans="2:30">
      <c r="B2165">
        <v>0</v>
      </c>
      <c r="C2165">
        <v>1020</v>
      </c>
      <c r="D2165" t="s">
        <v>388</v>
      </c>
      <c r="E2165">
        <v>10050522</v>
      </c>
      <c r="F2165" t="s">
        <v>2253</v>
      </c>
      <c r="G2165" t="s">
        <v>52</v>
      </c>
      <c r="H2165" t="s">
        <v>32</v>
      </c>
      <c r="I2165" t="s">
        <v>390</v>
      </c>
      <c r="J2165" t="s">
        <v>45</v>
      </c>
      <c r="K2165" t="s">
        <v>35</v>
      </c>
      <c r="L2165" t="s">
        <v>175</v>
      </c>
      <c r="M2165" t="s">
        <v>69</v>
      </c>
      <c r="N2165">
        <v>0</v>
      </c>
      <c r="O2165">
        <v>0</v>
      </c>
      <c r="P2165">
        <v>2</v>
      </c>
      <c r="Q2165">
        <v>2</v>
      </c>
      <c r="R2165">
        <v>0</v>
      </c>
      <c r="S2165" t="str">
        <f t="shared" si="165"/>
        <v>PZ: Alta Crit.</v>
      </c>
      <c r="T2165">
        <f t="shared" si="166"/>
        <v>0</v>
      </c>
      <c r="U2165">
        <f t="shared" si="167"/>
        <v>1</v>
      </c>
      <c r="V2165">
        <f t="shared" si="168"/>
        <v>0</v>
      </c>
      <c r="W2165">
        <f t="shared" si="169"/>
        <v>1</v>
      </c>
      <c r="X2165">
        <v>1</v>
      </c>
      <c r="Y2165" s="2">
        <v>45768</v>
      </c>
      <c r="Z2165" s="3" t="s">
        <v>70</v>
      </c>
      <c r="AA2165" t="s">
        <v>39</v>
      </c>
      <c r="AB2165" t="s">
        <v>40</v>
      </c>
      <c r="AC2165" t="s">
        <v>40</v>
      </c>
      <c r="AD2165" t="s">
        <v>391</v>
      </c>
    </row>
    <row r="2166" spans="2:30">
      <c r="B2166">
        <v>0</v>
      </c>
      <c r="C2166">
        <v>1020</v>
      </c>
      <c r="D2166" t="s">
        <v>388</v>
      </c>
      <c r="E2166">
        <v>10050707</v>
      </c>
      <c r="F2166" t="s">
        <v>2254</v>
      </c>
      <c r="G2166" t="s">
        <v>52</v>
      </c>
      <c r="H2166" t="s">
        <v>32</v>
      </c>
      <c r="I2166" t="s">
        <v>390</v>
      </c>
      <c r="J2166" t="s">
        <v>45</v>
      </c>
      <c r="K2166" t="s">
        <v>35</v>
      </c>
      <c r="L2166" t="s">
        <v>175</v>
      </c>
      <c r="M2166" t="s">
        <v>46</v>
      </c>
      <c r="N2166">
        <v>0</v>
      </c>
      <c r="O2166">
        <v>0</v>
      </c>
      <c r="P2166">
        <v>51</v>
      </c>
      <c r="Q2166">
        <v>51</v>
      </c>
      <c r="R2166">
        <v>0</v>
      </c>
      <c r="S2166" t="str">
        <f t="shared" si="165"/>
        <v>PZ: Alta Crit.</v>
      </c>
      <c r="T2166">
        <f t="shared" si="166"/>
        <v>0</v>
      </c>
      <c r="U2166">
        <f t="shared" si="167"/>
        <v>1</v>
      </c>
      <c r="V2166">
        <f t="shared" si="168"/>
        <v>0</v>
      </c>
      <c r="W2166">
        <f t="shared" si="169"/>
        <v>1</v>
      </c>
      <c r="X2166">
        <v>1</v>
      </c>
      <c r="Y2166" s="2">
        <v>45768</v>
      </c>
      <c r="Z2166" s="3" t="s">
        <v>47</v>
      </c>
      <c r="AA2166" t="s">
        <v>39</v>
      </c>
      <c r="AB2166" t="s">
        <v>40</v>
      </c>
      <c r="AC2166" t="s">
        <v>40</v>
      </c>
      <c r="AD2166" t="s">
        <v>391</v>
      </c>
    </row>
    <row r="2167" spans="2:30">
      <c r="B2167">
        <v>0</v>
      </c>
      <c r="C2167">
        <v>1020</v>
      </c>
      <c r="D2167" t="s">
        <v>693</v>
      </c>
      <c r="E2167">
        <v>10051569</v>
      </c>
      <c r="F2167" t="s">
        <v>2255</v>
      </c>
      <c r="G2167" t="s">
        <v>43</v>
      </c>
      <c r="H2167" t="s">
        <v>32</v>
      </c>
      <c r="I2167" t="s">
        <v>695</v>
      </c>
      <c r="J2167" t="s">
        <v>45</v>
      </c>
      <c r="K2167" t="s">
        <v>35</v>
      </c>
      <c r="L2167" t="s">
        <v>175</v>
      </c>
      <c r="M2167" t="s">
        <v>88</v>
      </c>
      <c r="N2167">
        <v>20</v>
      </c>
      <c r="O2167">
        <v>13</v>
      </c>
      <c r="P2167">
        <v>1</v>
      </c>
      <c r="Q2167">
        <v>16</v>
      </c>
      <c r="R2167">
        <v>0</v>
      </c>
      <c r="S2167" t="str">
        <f t="shared" si="165"/>
        <v>PY: Media Crit.</v>
      </c>
      <c r="T2167">
        <f t="shared" si="166"/>
        <v>0</v>
      </c>
      <c r="U2167">
        <f t="shared" si="167"/>
        <v>0</v>
      </c>
      <c r="V2167">
        <f t="shared" si="168"/>
        <v>1</v>
      </c>
      <c r="W2167">
        <f t="shared" si="169"/>
        <v>0</v>
      </c>
      <c r="X2167">
        <v>1</v>
      </c>
      <c r="Y2167" s="2">
        <v>45768</v>
      </c>
      <c r="Z2167" s="3" t="s">
        <v>89</v>
      </c>
      <c r="AA2167" t="s">
        <v>39</v>
      </c>
      <c r="AB2167" t="s">
        <v>40</v>
      </c>
      <c r="AC2167" t="s">
        <v>40</v>
      </c>
      <c r="AD2167" t="s">
        <v>696</v>
      </c>
    </row>
    <row r="2168" spans="2:30">
      <c r="B2168">
        <v>0</v>
      </c>
      <c r="C2168">
        <v>1020</v>
      </c>
      <c r="D2168" t="s">
        <v>693</v>
      </c>
      <c r="E2168">
        <v>10051584</v>
      </c>
      <c r="F2168" t="s">
        <v>2256</v>
      </c>
      <c r="G2168" t="s">
        <v>43</v>
      </c>
      <c r="H2168" t="s">
        <v>32</v>
      </c>
      <c r="I2168" t="s">
        <v>695</v>
      </c>
      <c r="J2168" t="s">
        <v>45</v>
      </c>
      <c r="K2168" t="s">
        <v>35</v>
      </c>
      <c r="L2168" t="s">
        <v>175</v>
      </c>
      <c r="M2168" t="s">
        <v>88</v>
      </c>
      <c r="N2168">
        <v>50</v>
      </c>
      <c r="O2168">
        <v>31</v>
      </c>
      <c r="P2168">
        <v>10</v>
      </c>
      <c r="Q2168">
        <v>30</v>
      </c>
      <c r="R2168">
        <v>0</v>
      </c>
      <c r="S2168" t="str">
        <f t="shared" si="165"/>
        <v>PY: Media Crit.</v>
      </c>
      <c r="T2168">
        <f t="shared" si="166"/>
        <v>0</v>
      </c>
      <c r="U2168">
        <f t="shared" si="167"/>
        <v>0</v>
      </c>
      <c r="V2168">
        <f t="shared" si="168"/>
        <v>1</v>
      </c>
      <c r="W2168">
        <f t="shared" si="169"/>
        <v>0</v>
      </c>
      <c r="X2168">
        <v>1</v>
      </c>
      <c r="Y2168" s="2">
        <v>45768</v>
      </c>
      <c r="Z2168" s="3" t="s">
        <v>89</v>
      </c>
      <c r="AA2168" t="s">
        <v>39</v>
      </c>
      <c r="AB2168" t="s">
        <v>40</v>
      </c>
      <c r="AC2168" t="s">
        <v>40</v>
      </c>
      <c r="AD2168" t="s">
        <v>696</v>
      </c>
    </row>
    <row r="2169" spans="2:30">
      <c r="B2169">
        <v>0</v>
      </c>
      <c r="C2169">
        <v>1020</v>
      </c>
      <c r="D2169" t="s">
        <v>693</v>
      </c>
      <c r="E2169">
        <v>10051592</v>
      </c>
      <c r="F2169" t="s">
        <v>2257</v>
      </c>
      <c r="G2169" t="s">
        <v>52</v>
      </c>
      <c r="H2169" t="s">
        <v>32</v>
      </c>
      <c r="I2169" t="s">
        <v>695</v>
      </c>
      <c r="J2169" t="s">
        <v>45</v>
      </c>
      <c r="K2169" t="s">
        <v>35</v>
      </c>
      <c r="L2169" t="s">
        <v>175</v>
      </c>
      <c r="M2169" t="s">
        <v>117</v>
      </c>
      <c r="N2169">
        <v>0</v>
      </c>
      <c r="O2169">
        <v>0</v>
      </c>
      <c r="P2169">
        <v>0</v>
      </c>
      <c r="Q2169">
        <v>0</v>
      </c>
      <c r="R2169">
        <v>0</v>
      </c>
      <c r="S2169" t="str">
        <f t="shared" si="165"/>
        <v>PZ: Alta Crit.</v>
      </c>
      <c r="T2169">
        <f t="shared" si="166"/>
        <v>1</v>
      </c>
      <c r="U2169">
        <f t="shared" si="167"/>
        <v>0</v>
      </c>
      <c r="V2169">
        <f t="shared" si="168"/>
        <v>0</v>
      </c>
      <c r="W2169">
        <f t="shared" si="169"/>
        <v>0</v>
      </c>
      <c r="X2169">
        <v>1</v>
      </c>
      <c r="Y2169" s="2">
        <v>45768</v>
      </c>
      <c r="Z2169" s="3" t="s">
        <v>118</v>
      </c>
      <c r="AA2169" t="s">
        <v>39</v>
      </c>
      <c r="AB2169" t="s">
        <v>40</v>
      </c>
      <c r="AC2169" t="s">
        <v>40</v>
      </c>
      <c r="AD2169" t="s">
        <v>696</v>
      </c>
    </row>
    <row r="2170" spans="2:30">
      <c r="B2170">
        <v>0</v>
      </c>
      <c r="C2170">
        <v>1020</v>
      </c>
      <c r="D2170" t="s">
        <v>388</v>
      </c>
      <c r="E2170">
        <v>10051655</v>
      </c>
      <c r="F2170" t="s">
        <v>2258</v>
      </c>
      <c r="G2170" t="s">
        <v>52</v>
      </c>
      <c r="H2170" t="s">
        <v>32</v>
      </c>
      <c r="I2170" t="s">
        <v>390</v>
      </c>
      <c r="J2170" t="s">
        <v>45</v>
      </c>
      <c r="K2170" t="s">
        <v>35</v>
      </c>
      <c r="L2170" t="s">
        <v>36</v>
      </c>
      <c r="M2170" t="s">
        <v>46</v>
      </c>
      <c r="N2170">
        <v>4</v>
      </c>
      <c r="O2170">
        <v>2</v>
      </c>
      <c r="P2170">
        <v>0</v>
      </c>
      <c r="Q2170">
        <v>0</v>
      </c>
      <c r="R2170">
        <v>0</v>
      </c>
      <c r="S2170" t="str">
        <f t="shared" si="165"/>
        <v>PZ: Alta Crit.</v>
      </c>
      <c r="T2170">
        <f t="shared" si="166"/>
        <v>1</v>
      </c>
      <c r="U2170">
        <f t="shared" si="167"/>
        <v>0</v>
      </c>
      <c r="V2170">
        <f t="shared" si="168"/>
        <v>0</v>
      </c>
      <c r="W2170">
        <f t="shared" si="169"/>
        <v>0</v>
      </c>
      <c r="X2170">
        <v>1</v>
      </c>
      <c r="Y2170" s="2">
        <v>45768</v>
      </c>
      <c r="Z2170" s="3" t="s">
        <v>47</v>
      </c>
      <c r="AA2170" t="s">
        <v>39</v>
      </c>
      <c r="AB2170" t="s">
        <v>40</v>
      </c>
      <c r="AC2170" t="s">
        <v>40</v>
      </c>
      <c r="AD2170" t="s">
        <v>391</v>
      </c>
    </row>
    <row r="2171" spans="2:30">
      <c r="B2171">
        <v>0</v>
      </c>
      <c r="C2171">
        <v>1020</v>
      </c>
      <c r="D2171" t="s">
        <v>693</v>
      </c>
      <c r="E2171">
        <v>10052092</v>
      </c>
      <c r="F2171" t="s">
        <v>2259</v>
      </c>
      <c r="G2171" t="s">
        <v>43</v>
      </c>
      <c r="H2171" t="s">
        <v>32</v>
      </c>
      <c r="I2171" t="s">
        <v>695</v>
      </c>
      <c r="J2171" t="s">
        <v>45</v>
      </c>
      <c r="K2171" t="s">
        <v>35</v>
      </c>
      <c r="L2171" t="s">
        <v>175</v>
      </c>
      <c r="M2171" t="s">
        <v>37</v>
      </c>
      <c r="N2171">
        <v>0</v>
      </c>
      <c r="O2171">
        <v>0</v>
      </c>
      <c r="P2171">
        <v>0</v>
      </c>
      <c r="Q2171">
        <v>0</v>
      </c>
      <c r="R2171">
        <v>0</v>
      </c>
      <c r="S2171" t="str">
        <f t="shared" si="165"/>
        <v>PY: Media Crit.</v>
      </c>
      <c r="T2171">
        <f t="shared" si="166"/>
        <v>1</v>
      </c>
      <c r="U2171">
        <f t="shared" si="167"/>
        <v>0</v>
      </c>
      <c r="V2171">
        <f t="shared" si="168"/>
        <v>0</v>
      </c>
      <c r="W2171">
        <f t="shared" si="169"/>
        <v>0</v>
      </c>
      <c r="X2171">
        <v>1</v>
      </c>
      <c r="Y2171" s="2">
        <v>45768</v>
      </c>
      <c r="Z2171" s="3" t="s">
        <v>38</v>
      </c>
      <c r="AA2171" t="s">
        <v>39</v>
      </c>
      <c r="AB2171" t="s">
        <v>40</v>
      </c>
      <c r="AC2171" t="s">
        <v>40</v>
      </c>
      <c r="AD2171" t="s">
        <v>696</v>
      </c>
    </row>
    <row r="2172" spans="2:30">
      <c r="B2172">
        <v>0</v>
      </c>
      <c r="C2172">
        <v>1020</v>
      </c>
      <c r="D2172" t="s">
        <v>693</v>
      </c>
      <c r="E2172">
        <v>10053439</v>
      </c>
      <c r="F2172" t="s">
        <v>2260</v>
      </c>
      <c r="G2172" t="s">
        <v>43</v>
      </c>
      <c r="H2172" t="s">
        <v>32</v>
      </c>
      <c r="I2172" t="s">
        <v>695</v>
      </c>
      <c r="J2172" t="s">
        <v>45</v>
      </c>
      <c r="K2172" t="s">
        <v>35</v>
      </c>
      <c r="L2172" t="s">
        <v>175</v>
      </c>
      <c r="M2172" t="s">
        <v>46</v>
      </c>
      <c r="N2172">
        <v>0</v>
      </c>
      <c r="O2172">
        <v>0</v>
      </c>
      <c r="P2172">
        <v>0</v>
      </c>
      <c r="Q2172">
        <v>89</v>
      </c>
      <c r="R2172">
        <v>0</v>
      </c>
      <c r="S2172" t="str">
        <f t="shared" si="165"/>
        <v>PY: Media Crit.</v>
      </c>
      <c r="T2172">
        <f t="shared" si="166"/>
        <v>0</v>
      </c>
      <c r="U2172">
        <f t="shared" si="167"/>
        <v>0</v>
      </c>
      <c r="V2172">
        <f t="shared" si="168"/>
        <v>0</v>
      </c>
      <c r="W2172">
        <f t="shared" si="169"/>
        <v>1</v>
      </c>
      <c r="X2172">
        <v>1</v>
      </c>
      <c r="Y2172" s="2">
        <v>45768</v>
      </c>
      <c r="Z2172" s="3" t="s">
        <v>47</v>
      </c>
      <c r="AA2172" t="s">
        <v>39</v>
      </c>
      <c r="AB2172" t="s">
        <v>40</v>
      </c>
      <c r="AC2172" t="s">
        <v>40</v>
      </c>
      <c r="AD2172" t="s">
        <v>696</v>
      </c>
    </row>
    <row r="2173" spans="2:30">
      <c r="B2173">
        <v>0</v>
      </c>
      <c r="C2173">
        <v>1020</v>
      </c>
      <c r="D2173" t="s">
        <v>384</v>
      </c>
      <c r="E2173">
        <v>10053493</v>
      </c>
      <c r="F2173" t="s">
        <v>2261</v>
      </c>
      <c r="G2173" t="s">
        <v>43</v>
      </c>
      <c r="H2173" t="s">
        <v>32</v>
      </c>
      <c r="I2173" t="s">
        <v>386</v>
      </c>
      <c r="J2173" t="s">
        <v>45</v>
      </c>
      <c r="K2173" t="s">
        <v>35</v>
      </c>
      <c r="L2173" t="s">
        <v>175</v>
      </c>
      <c r="M2173" t="s">
        <v>117</v>
      </c>
      <c r="N2173">
        <v>0</v>
      </c>
      <c r="O2173">
        <v>0</v>
      </c>
      <c r="P2173">
        <v>0</v>
      </c>
      <c r="Q2173">
        <v>4</v>
      </c>
      <c r="R2173">
        <v>0</v>
      </c>
      <c r="S2173" t="str">
        <f t="shared" si="165"/>
        <v>PY: Media Crit.</v>
      </c>
      <c r="T2173">
        <f t="shared" si="166"/>
        <v>0</v>
      </c>
      <c r="U2173">
        <f t="shared" si="167"/>
        <v>0</v>
      </c>
      <c r="V2173">
        <f t="shared" si="168"/>
        <v>0</v>
      </c>
      <c r="W2173">
        <f t="shared" si="169"/>
        <v>1</v>
      </c>
      <c r="X2173">
        <v>1</v>
      </c>
      <c r="Y2173" s="2">
        <v>45768</v>
      </c>
      <c r="Z2173" s="3" t="s">
        <v>118</v>
      </c>
      <c r="AA2173" t="s">
        <v>39</v>
      </c>
      <c r="AB2173" t="s">
        <v>40</v>
      </c>
      <c r="AC2173" t="s">
        <v>40</v>
      </c>
      <c r="AD2173" t="s">
        <v>387</v>
      </c>
    </row>
    <row r="2174" spans="2:30">
      <c r="B2174">
        <v>0</v>
      </c>
      <c r="C2174">
        <v>1020</v>
      </c>
      <c r="D2174" t="s">
        <v>693</v>
      </c>
      <c r="E2174">
        <v>10053497</v>
      </c>
      <c r="F2174" t="s">
        <v>2262</v>
      </c>
      <c r="G2174" t="s">
        <v>52</v>
      </c>
      <c r="H2174" t="s">
        <v>32</v>
      </c>
      <c r="I2174" t="s">
        <v>695</v>
      </c>
      <c r="J2174" t="s">
        <v>45</v>
      </c>
      <c r="K2174" t="s">
        <v>35</v>
      </c>
      <c r="L2174" t="s">
        <v>175</v>
      </c>
      <c r="M2174" t="s">
        <v>117</v>
      </c>
      <c r="N2174">
        <v>0</v>
      </c>
      <c r="O2174">
        <v>0</v>
      </c>
      <c r="P2174">
        <v>0</v>
      </c>
      <c r="Q2174">
        <v>6</v>
      </c>
      <c r="R2174">
        <v>0</v>
      </c>
      <c r="S2174" t="str">
        <f t="shared" si="165"/>
        <v>PZ: Alta Crit.</v>
      </c>
      <c r="T2174">
        <f t="shared" si="166"/>
        <v>0</v>
      </c>
      <c r="U2174">
        <f t="shared" si="167"/>
        <v>0</v>
      </c>
      <c r="V2174">
        <f t="shared" si="168"/>
        <v>0</v>
      </c>
      <c r="W2174">
        <f t="shared" si="169"/>
        <v>1</v>
      </c>
      <c r="X2174">
        <v>1</v>
      </c>
      <c r="Y2174" s="2">
        <v>45768</v>
      </c>
      <c r="Z2174" s="3" t="s">
        <v>118</v>
      </c>
      <c r="AA2174" t="s">
        <v>39</v>
      </c>
      <c r="AB2174" t="s">
        <v>40</v>
      </c>
      <c r="AC2174" t="s">
        <v>40</v>
      </c>
      <c r="AD2174" t="s">
        <v>696</v>
      </c>
    </row>
    <row r="2175" spans="2:30">
      <c r="B2175">
        <v>0</v>
      </c>
      <c r="C2175">
        <v>1020</v>
      </c>
      <c r="D2175" t="s">
        <v>388</v>
      </c>
      <c r="E2175">
        <v>10053504</v>
      </c>
      <c r="F2175" t="s">
        <v>2263</v>
      </c>
      <c r="G2175" t="s">
        <v>52</v>
      </c>
      <c r="H2175" t="s">
        <v>44</v>
      </c>
      <c r="I2175" t="s">
        <v>390</v>
      </c>
      <c r="J2175" t="s">
        <v>45</v>
      </c>
      <c r="K2175" t="s">
        <v>35</v>
      </c>
      <c r="L2175" t="s">
        <v>36</v>
      </c>
      <c r="M2175" t="s">
        <v>69</v>
      </c>
      <c r="N2175">
        <v>2</v>
      </c>
      <c r="O2175">
        <v>2</v>
      </c>
      <c r="P2175">
        <v>0</v>
      </c>
      <c r="Q2175">
        <v>2</v>
      </c>
      <c r="R2175">
        <v>0</v>
      </c>
      <c r="S2175" t="str">
        <f t="shared" si="165"/>
        <v>PZ: Alta Crit.</v>
      </c>
      <c r="T2175">
        <f t="shared" si="166"/>
        <v>0</v>
      </c>
      <c r="U2175">
        <f t="shared" si="167"/>
        <v>0</v>
      </c>
      <c r="V2175">
        <f t="shared" si="168"/>
        <v>1</v>
      </c>
      <c r="W2175">
        <f t="shared" si="169"/>
        <v>0</v>
      </c>
      <c r="X2175">
        <v>1</v>
      </c>
      <c r="Y2175" s="2">
        <v>45768</v>
      </c>
      <c r="Z2175" s="3" t="s">
        <v>70</v>
      </c>
      <c r="AA2175" t="s">
        <v>39</v>
      </c>
      <c r="AB2175" t="s">
        <v>40</v>
      </c>
      <c r="AC2175" t="s">
        <v>40</v>
      </c>
      <c r="AD2175" t="s">
        <v>391</v>
      </c>
    </row>
    <row r="2176" spans="2:30">
      <c r="B2176">
        <v>0</v>
      </c>
      <c r="C2176">
        <v>1020</v>
      </c>
      <c r="D2176" t="s">
        <v>388</v>
      </c>
      <c r="E2176">
        <v>10053542</v>
      </c>
      <c r="F2176" t="s">
        <v>2264</v>
      </c>
      <c r="G2176" t="s">
        <v>52</v>
      </c>
      <c r="H2176" t="s">
        <v>32</v>
      </c>
      <c r="I2176" t="s">
        <v>390</v>
      </c>
      <c r="J2176" t="s">
        <v>45</v>
      </c>
      <c r="K2176" t="s">
        <v>35</v>
      </c>
      <c r="L2176" t="s">
        <v>175</v>
      </c>
      <c r="M2176" t="s">
        <v>117</v>
      </c>
      <c r="N2176">
        <v>0</v>
      </c>
      <c r="O2176">
        <v>0</v>
      </c>
      <c r="P2176">
        <v>1</v>
      </c>
      <c r="Q2176">
        <v>1</v>
      </c>
      <c r="R2176">
        <v>0</v>
      </c>
      <c r="S2176" t="str">
        <f t="shared" si="165"/>
        <v>PZ: Alta Crit.</v>
      </c>
      <c r="T2176">
        <f t="shared" si="166"/>
        <v>0</v>
      </c>
      <c r="U2176">
        <f t="shared" si="167"/>
        <v>1</v>
      </c>
      <c r="V2176">
        <f t="shared" si="168"/>
        <v>0</v>
      </c>
      <c r="W2176">
        <f t="shared" si="169"/>
        <v>1</v>
      </c>
      <c r="X2176">
        <v>1</v>
      </c>
      <c r="Y2176" s="2">
        <v>45768</v>
      </c>
      <c r="Z2176" s="3" t="s">
        <v>118</v>
      </c>
      <c r="AA2176" t="s">
        <v>39</v>
      </c>
      <c r="AB2176" t="s">
        <v>40</v>
      </c>
      <c r="AC2176" t="s">
        <v>40</v>
      </c>
      <c r="AD2176" t="s">
        <v>391</v>
      </c>
    </row>
    <row r="2177" spans="2:30">
      <c r="B2177">
        <v>0</v>
      </c>
      <c r="C2177">
        <v>1020</v>
      </c>
      <c r="D2177" t="s">
        <v>388</v>
      </c>
      <c r="E2177">
        <v>10053543</v>
      </c>
      <c r="F2177" t="s">
        <v>2265</v>
      </c>
      <c r="G2177" t="s">
        <v>52</v>
      </c>
      <c r="H2177" t="s">
        <v>32</v>
      </c>
      <c r="I2177" t="s">
        <v>390</v>
      </c>
      <c r="J2177" t="s">
        <v>45</v>
      </c>
      <c r="K2177" t="s">
        <v>35</v>
      </c>
      <c r="L2177" t="s">
        <v>175</v>
      </c>
      <c r="M2177" t="s">
        <v>117</v>
      </c>
      <c r="N2177">
        <v>0</v>
      </c>
      <c r="O2177">
        <v>0</v>
      </c>
      <c r="P2177">
        <v>1</v>
      </c>
      <c r="Q2177">
        <v>1</v>
      </c>
      <c r="R2177">
        <v>0</v>
      </c>
      <c r="S2177" t="str">
        <f t="shared" si="165"/>
        <v>PZ: Alta Crit.</v>
      </c>
      <c r="T2177">
        <f t="shared" si="166"/>
        <v>0</v>
      </c>
      <c r="U2177">
        <f t="shared" si="167"/>
        <v>1</v>
      </c>
      <c r="V2177">
        <f t="shared" si="168"/>
        <v>0</v>
      </c>
      <c r="W2177">
        <f t="shared" si="169"/>
        <v>1</v>
      </c>
      <c r="X2177">
        <v>1</v>
      </c>
      <c r="Y2177" s="2">
        <v>45768</v>
      </c>
      <c r="Z2177" s="3" t="s">
        <v>118</v>
      </c>
      <c r="AA2177" t="s">
        <v>39</v>
      </c>
      <c r="AB2177" t="s">
        <v>40</v>
      </c>
      <c r="AC2177" t="s">
        <v>40</v>
      </c>
      <c r="AD2177" t="s">
        <v>391</v>
      </c>
    </row>
    <row r="2178" spans="2:30">
      <c r="B2178">
        <v>0</v>
      </c>
      <c r="C2178">
        <v>1020</v>
      </c>
      <c r="D2178" t="s">
        <v>693</v>
      </c>
      <c r="E2178">
        <v>10053565</v>
      </c>
      <c r="F2178" t="s">
        <v>2266</v>
      </c>
      <c r="G2178" t="s">
        <v>52</v>
      </c>
      <c r="H2178" t="s">
        <v>32</v>
      </c>
      <c r="I2178" t="s">
        <v>695</v>
      </c>
      <c r="J2178" t="s">
        <v>45</v>
      </c>
      <c r="K2178" t="s">
        <v>35</v>
      </c>
      <c r="L2178" t="s">
        <v>175</v>
      </c>
      <c r="M2178" t="s">
        <v>37</v>
      </c>
      <c r="N2178">
        <v>0</v>
      </c>
      <c r="O2178">
        <v>0</v>
      </c>
      <c r="P2178">
        <v>0</v>
      </c>
      <c r="Q2178">
        <v>6</v>
      </c>
      <c r="R2178">
        <v>0</v>
      </c>
      <c r="S2178" t="str">
        <f t="shared" ref="S2178:S2241" si="170">+IF(G2178="PZ", "PZ: Alta Crit.",IF(G2178="PY","PY: Media Crit.", "PX: Baja Crit."))</f>
        <v>PZ: Alta Crit.</v>
      </c>
      <c r="T2178">
        <f t="shared" ref="T2178:T2241" si="171">+IF(Q2178=0,1,0)</f>
        <v>0</v>
      </c>
      <c r="U2178">
        <f t="shared" ref="U2178:U2241" si="172">+IF(AND(Q2178&lt;=P2178,Q2178&gt;0),1,0)</f>
        <v>0</v>
      </c>
      <c r="V2178">
        <f t="shared" ref="V2178:V2241" si="173">+IF(AND(Q2178&gt;P2178,Q2178&lt;=N2178),1,0)</f>
        <v>0</v>
      </c>
      <c r="W2178">
        <f t="shared" ref="W2178:W2241" si="174">+IF(Q2178&gt;N2178,1,0)</f>
        <v>1</v>
      </c>
      <c r="X2178">
        <v>1</v>
      </c>
      <c r="Y2178" s="2">
        <v>45768</v>
      </c>
      <c r="Z2178" s="3" t="s">
        <v>38</v>
      </c>
      <c r="AA2178" t="s">
        <v>39</v>
      </c>
      <c r="AB2178" t="s">
        <v>40</v>
      </c>
      <c r="AC2178" t="s">
        <v>40</v>
      </c>
      <c r="AD2178" t="s">
        <v>696</v>
      </c>
    </row>
    <row r="2179" spans="2:30">
      <c r="B2179">
        <v>0</v>
      </c>
      <c r="C2179">
        <v>1020</v>
      </c>
      <c r="D2179" t="s">
        <v>388</v>
      </c>
      <c r="E2179">
        <v>10053567</v>
      </c>
      <c r="F2179" t="s">
        <v>2267</v>
      </c>
      <c r="G2179" t="s">
        <v>52</v>
      </c>
      <c r="H2179" t="s">
        <v>44</v>
      </c>
      <c r="I2179" t="s">
        <v>390</v>
      </c>
      <c r="J2179" t="s">
        <v>45</v>
      </c>
      <c r="K2179" t="s">
        <v>35</v>
      </c>
      <c r="L2179" t="s">
        <v>175</v>
      </c>
      <c r="M2179" t="s">
        <v>117</v>
      </c>
      <c r="N2179">
        <v>0</v>
      </c>
      <c r="O2179">
        <v>0</v>
      </c>
      <c r="P2179">
        <v>1</v>
      </c>
      <c r="Q2179">
        <v>1</v>
      </c>
      <c r="R2179" s="4">
        <v>29576.57</v>
      </c>
      <c r="S2179" t="str">
        <f t="shared" si="170"/>
        <v>PZ: Alta Crit.</v>
      </c>
      <c r="T2179">
        <f t="shared" si="171"/>
        <v>0</v>
      </c>
      <c r="U2179">
        <f t="shared" si="172"/>
        <v>1</v>
      </c>
      <c r="V2179">
        <f t="shared" si="173"/>
        <v>0</v>
      </c>
      <c r="W2179">
        <f t="shared" si="174"/>
        <v>1</v>
      </c>
      <c r="X2179">
        <v>1</v>
      </c>
      <c r="Y2179" s="2">
        <v>45768</v>
      </c>
      <c r="Z2179" s="3" t="s">
        <v>118</v>
      </c>
      <c r="AA2179" t="s">
        <v>39</v>
      </c>
      <c r="AB2179" t="s">
        <v>40</v>
      </c>
      <c r="AC2179" t="s">
        <v>40</v>
      </c>
      <c r="AD2179" t="s">
        <v>391</v>
      </c>
    </row>
    <row r="2180" spans="2:30">
      <c r="B2180">
        <v>0</v>
      </c>
      <c r="C2180">
        <v>1020</v>
      </c>
      <c r="D2180" t="s">
        <v>388</v>
      </c>
      <c r="E2180">
        <v>10053571</v>
      </c>
      <c r="F2180" t="s">
        <v>2268</v>
      </c>
      <c r="G2180" t="s">
        <v>52</v>
      </c>
      <c r="H2180" t="s">
        <v>44</v>
      </c>
      <c r="I2180" t="s">
        <v>1002</v>
      </c>
      <c r="J2180" t="s">
        <v>45</v>
      </c>
      <c r="K2180" t="s">
        <v>35</v>
      </c>
      <c r="L2180" t="s">
        <v>175</v>
      </c>
      <c r="M2180" t="s">
        <v>117</v>
      </c>
      <c r="N2180">
        <v>0</v>
      </c>
      <c r="O2180">
        <v>0</v>
      </c>
      <c r="P2180">
        <v>1</v>
      </c>
      <c r="Q2180">
        <v>1</v>
      </c>
      <c r="R2180" s="4">
        <v>127205.96</v>
      </c>
      <c r="S2180" t="str">
        <f t="shared" si="170"/>
        <v>PZ: Alta Crit.</v>
      </c>
      <c r="T2180">
        <f t="shared" si="171"/>
        <v>0</v>
      </c>
      <c r="U2180">
        <f t="shared" si="172"/>
        <v>1</v>
      </c>
      <c r="V2180">
        <f t="shared" si="173"/>
        <v>0</v>
      </c>
      <c r="W2180">
        <f t="shared" si="174"/>
        <v>1</v>
      </c>
      <c r="X2180">
        <v>1</v>
      </c>
      <c r="Y2180" s="2">
        <v>45768</v>
      </c>
      <c r="Z2180" s="3" t="s">
        <v>118</v>
      </c>
      <c r="AA2180" t="s">
        <v>39</v>
      </c>
      <c r="AB2180" t="s">
        <v>40</v>
      </c>
      <c r="AC2180" t="s">
        <v>40</v>
      </c>
      <c r="AD2180" t="s">
        <v>391</v>
      </c>
    </row>
    <row r="2181" spans="2:30">
      <c r="B2181">
        <v>0</v>
      </c>
      <c r="C2181">
        <v>1020</v>
      </c>
      <c r="D2181" t="s">
        <v>693</v>
      </c>
      <c r="E2181">
        <v>10053627</v>
      </c>
      <c r="F2181" t="s">
        <v>2269</v>
      </c>
      <c r="G2181" t="s">
        <v>52</v>
      </c>
      <c r="H2181" t="s">
        <v>32</v>
      </c>
      <c r="I2181" t="s">
        <v>695</v>
      </c>
      <c r="J2181" t="s">
        <v>45</v>
      </c>
      <c r="K2181" t="s">
        <v>35</v>
      </c>
      <c r="L2181" t="s">
        <v>175</v>
      </c>
      <c r="M2181" t="s">
        <v>117</v>
      </c>
      <c r="N2181">
        <v>0</v>
      </c>
      <c r="O2181">
        <v>0</v>
      </c>
      <c r="P2181">
        <v>0</v>
      </c>
      <c r="Q2181">
        <v>7</v>
      </c>
      <c r="R2181">
        <v>0</v>
      </c>
      <c r="S2181" t="str">
        <f t="shared" si="170"/>
        <v>PZ: Alta Crit.</v>
      </c>
      <c r="T2181">
        <f t="shared" si="171"/>
        <v>0</v>
      </c>
      <c r="U2181">
        <f t="shared" si="172"/>
        <v>0</v>
      </c>
      <c r="V2181">
        <f t="shared" si="173"/>
        <v>0</v>
      </c>
      <c r="W2181">
        <f t="shared" si="174"/>
        <v>1</v>
      </c>
      <c r="X2181">
        <v>1</v>
      </c>
      <c r="Y2181" s="2">
        <v>45768</v>
      </c>
      <c r="Z2181" s="3" t="s">
        <v>118</v>
      </c>
      <c r="AA2181" t="s">
        <v>39</v>
      </c>
      <c r="AB2181" t="s">
        <v>40</v>
      </c>
      <c r="AC2181" t="s">
        <v>40</v>
      </c>
      <c r="AD2181" t="s">
        <v>696</v>
      </c>
    </row>
    <row r="2182" spans="2:30">
      <c r="B2182">
        <v>0</v>
      </c>
      <c r="C2182">
        <v>1020</v>
      </c>
      <c r="D2182" t="s">
        <v>384</v>
      </c>
      <c r="E2182">
        <v>10053656</v>
      </c>
      <c r="F2182" t="s">
        <v>2270</v>
      </c>
      <c r="G2182" t="s">
        <v>52</v>
      </c>
      <c r="H2182" t="s">
        <v>32</v>
      </c>
      <c r="I2182" t="s">
        <v>386</v>
      </c>
      <c r="J2182" t="s">
        <v>45</v>
      </c>
      <c r="K2182" t="s">
        <v>35</v>
      </c>
      <c r="L2182" t="s">
        <v>175</v>
      </c>
      <c r="M2182" t="s">
        <v>117</v>
      </c>
      <c r="N2182">
        <v>0</v>
      </c>
      <c r="O2182">
        <v>0</v>
      </c>
      <c r="P2182">
        <v>0</v>
      </c>
      <c r="Q2182">
        <v>24</v>
      </c>
      <c r="R2182">
        <v>0</v>
      </c>
      <c r="S2182" t="str">
        <f t="shared" si="170"/>
        <v>PZ: Alta Crit.</v>
      </c>
      <c r="T2182">
        <f t="shared" si="171"/>
        <v>0</v>
      </c>
      <c r="U2182">
        <f t="shared" si="172"/>
        <v>0</v>
      </c>
      <c r="V2182">
        <f t="shared" si="173"/>
        <v>0</v>
      </c>
      <c r="W2182">
        <f t="shared" si="174"/>
        <v>1</v>
      </c>
      <c r="X2182">
        <v>1</v>
      </c>
      <c r="Y2182" s="2">
        <v>45768</v>
      </c>
      <c r="Z2182" s="3" t="s">
        <v>118</v>
      </c>
      <c r="AA2182" t="s">
        <v>39</v>
      </c>
      <c r="AB2182" t="s">
        <v>40</v>
      </c>
      <c r="AC2182" t="s">
        <v>40</v>
      </c>
      <c r="AD2182" t="s">
        <v>387</v>
      </c>
    </row>
    <row r="2183" spans="2:30">
      <c r="B2183">
        <v>0</v>
      </c>
      <c r="C2183">
        <v>1020</v>
      </c>
      <c r="D2183" t="s">
        <v>384</v>
      </c>
      <c r="E2183">
        <v>10053657</v>
      </c>
      <c r="F2183" t="s">
        <v>2271</v>
      </c>
      <c r="G2183" t="s">
        <v>52</v>
      </c>
      <c r="H2183" t="s">
        <v>32</v>
      </c>
      <c r="I2183" t="s">
        <v>386</v>
      </c>
      <c r="J2183" t="s">
        <v>45</v>
      </c>
      <c r="K2183" t="s">
        <v>35</v>
      </c>
      <c r="L2183" t="s">
        <v>175</v>
      </c>
      <c r="M2183" t="s">
        <v>117</v>
      </c>
      <c r="N2183">
        <v>0</v>
      </c>
      <c r="O2183">
        <v>0</v>
      </c>
      <c r="P2183">
        <v>0</v>
      </c>
      <c r="Q2183">
        <v>16</v>
      </c>
      <c r="R2183">
        <v>0</v>
      </c>
      <c r="S2183" t="str">
        <f t="shared" si="170"/>
        <v>PZ: Alta Crit.</v>
      </c>
      <c r="T2183">
        <f t="shared" si="171"/>
        <v>0</v>
      </c>
      <c r="U2183">
        <f t="shared" si="172"/>
        <v>0</v>
      </c>
      <c r="V2183">
        <f t="shared" si="173"/>
        <v>0</v>
      </c>
      <c r="W2183">
        <f t="shared" si="174"/>
        <v>1</v>
      </c>
      <c r="X2183">
        <v>1</v>
      </c>
      <c r="Y2183" s="2">
        <v>45768</v>
      </c>
      <c r="Z2183" s="3" t="s">
        <v>118</v>
      </c>
      <c r="AA2183" t="s">
        <v>39</v>
      </c>
      <c r="AB2183" t="s">
        <v>40</v>
      </c>
      <c r="AC2183" t="s">
        <v>40</v>
      </c>
      <c r="AD2183" t="s">
        <v>387</v>
      </c>
    </row>
    <row r="2184" spans="2:30">
      <c r="B2184">
        <v>0</v>
      </c>
      <c r="C2184">
        <v>1020</v>
      </c>
      <c r="D2184" t="s">
        <v>384</v>
      </c>
      <c r="E2184">
        <v>10053659</v>
      </c>
      <c r="F2184" t="s">
        <v>2272</v>
      </c>
      <c r="G2184" t="s">
        <v>52</v>
      </c>
      <c r="H2184" t="s">
        <v>32</v>
      </c>
      <c r="I2184" t="s">
        <v>386</v>
      </c>
      <c r="J2184" t="s">
        <v>45</v>
      </c>
      <c r="K2184" t="s">
        <v>35</v>
      </c>
      <c r="L2184" t="s">
        <v>175</v>
      </c>
      <c r="M2184" t="s">
        <v>117</v>
      </c>
      <c r="N2184">
        <v>0</v>
      </c>
      <c r="O2184">
        <v>0</v>
      </c>
      <c r="P2184">
        <v>0</v>
      </c>
      <c r="Q2184">
        <v>60</v>
      </c>
      <c r="R2184">
        <v>0</v>
      </c>
      <c r="S2184" t="str">
        <f t="shared" si="170"/>
        <v>PZ: Alta Crit.</v>
      </c>
      <c r="T2184">
        <f t="shared" si="171"/>
        <v>0</v>
      </c>
      <c r="U2184">
        <f t="shared" si="172"/>
        <v>0</v>
      </c>
      <c r="V2184">
        <f t="shared" si="173"/>
        <v>0</v>
      </c>
      <c r="W2184">
        <f t="shared" si="174"/>
        <v>1</v>
      </c>
      <c r="X2184">
        <v>1</v>
      </c>
      <c r="Y2184" s="2">
        <v>45768</v>
      </c>
      <c r="Z2184" s="3" t="s">
        <v>118</v>
      </c>
      <c r="AA2184" t="s">
        <v>39</v>
      </c>
      <c r="AB2184" t="s">
        <v>40</v>
      </c>
      <c r="AC2184" t="s">
        <v>40</v>
      </c>
      <c r="AD2184" t="s">
        <v>387</v>
      </c>
    </row>
    <row r="2185" spans="2:30">
      <c r="B2185">
        <v>0</v>
      </c>
      <c r="C2185">
        <v>1020</v>
      </c>
      <c r="D2185" t="s">
        <v>693</v>
      </c>
      <c r="E2185">
        <v>10053670</v>
      </c>
      <c r="F2185" t="s">
        <v>2273</v>
      </c>
      <c r="G2185" t="s">
        <v>52</v>
      </c>
      <c r="H2185" t="s">
        <v>32</v>
      </c>
      <c r="I2185" t="s">
        <v>695</v>
      </c>
      <c r="J2185" t="s">
        <v>45</v>
      </c>
      <c r="K2185" t="s">
        <v>35</v>
      </c>
      <c r="L2185" t="s">
        <v>175</v>
      </c>
      <c r="M2185" t="s">
        <v>117</v>
      </c>
      <c r="N2185">
        <v>0</v>
      </c>
      <c r="O2185">
        <v>0</v>
      </c>
      <c r="P2185">
        <v>0</v>
      </c>
      <c r="Q2185">
        <v>1</v>
      </c>
      <c r="R2185">
        <v>0</v>
      </c>
      <c r="S2185" t="str">
        <f t="shared" si="170"/>
        <v>PZ: Alta Crit.</v>
      </c>
      <c r="T2185">
        <f t="shared" si="171"/>
        <v>0</v>
      </c>
      <c r="U2185">
        <f t="shared" si="172"/>
        <v>0</v>
      </c>
      <c r="V2185">
        <f t="shared" si="173"/>
        <v>0</v>
      </c>
      <c r="W2185">
        <f t="shared" si="174"/>
        <v>1</v>
      </c>
      <c r="X2185">
        <v>1</v>
      </c>
      <c r="Y2185" s="2">
        <v>45768</v>
      </c>
      <c r="Z2185" s="3" t="s">
        <v>118</v>
      </c>
      <c r="AA2185" t="s">
        <v>39</v>
      </c>
      <c r="AB2185" t="s">
        <v>40</v>
      </c>
      <c r="AC2185" t="s">
        <v>40</v>
      </c>
      <c r="AD2185" t="s">
        <v>696</v>
      </c>
    </row>
    <row r="2186" spans="2:30">
      <c r="B2186">
        <v>0</v>
      </c>
      <c r="C2186">
        <v>1020</v>
      </c>
      <c r="D2186" t="s">
        <v>384</v>
      </c>
      <c r="E2186">
        <v>10053673</v>
      </c>
      <c r="F2186" t="s">
        <v>2274</v>
      </c>
      <c r="G2186" t="s">
        <v>43</v>
      </c>
      <c r="H2186" t="s">
        <v>32</v>
      </c>
      <c r="I2186" t="s">
        <v>386</v>
      </c>
      <c r="J2186" t="s">
        <v>45</v>
      </c>
      <c r="K2186" t="s">
        <v>35</v>
      </c>
      <c r="L2186" t="s">
        <v>175</v>
      </c>
      <c r="M2186" t="s">
        <v>117</v>
      </c>
      <c r="N2186">
        <v>0</v>
      </c>
      <c r="O2186">
        <v>0</v>
      </c>
      <c r="P2186">
        <v>0</v>
      </c>
      <c r="Q2186">
        <v>14</v>
      </c>
      <c r="R2186">
        <v>0</v>
      </c>
      <c r="S2186" t="str">
        <f t="shared" si="170"/>
        <v>PY: Media Crit.</v>
      </c>
      <c r="T2186">
        <f t="shared" si="171"/>
        <v>0</v>
      </c>
      <c r="U2186">
        <f t="shared" si="172"/>
        <v>0</v>
      </c>
      <c r="V2186">
        <f t="shared" si="173"/>
        <v>0</v>
      </c>
      <c r="W2186">
        <f t="shared" si="174"/>
        <v>1</v>
      </c>
      <c r="X2186">
        <v>1</v>
      </c>
      <c r="Y2186" s="2">
        <v>45768</v>
      </c>
      <c r="Z2186" s="3" t="s">
        <v>118</v>
      </c>
      <c r="AA2186" t="s">
        <v>39</v>
      </c>
      <c r="AB2186" t="s">
        <v>40</v>
      </c>
      <c r="AC2186" t="s">
        <v>40</v>
      </c>
      <c r="AD2186" t="s">
        <v>387</v>
      </c>
    </row>
    <row r="2187" spans="2:30">
      <c r="B2187">
        <v>0</v>
      </c>
      <c r="C2187">
        <v>1020</v>
      </c>
      <c r="D2187" t="s">
        <v>693</v>
      </c>
      <c r="E2187">
        <v>10053683</v>
      </c>
      <c r="F2187" t="s">
        <v>2275</v>
      </c>
      <c r="G2187" t="s">
        <v>52</v>
      </c>
      <c r="H2187" t="s">
        <v>32</v>
      </c>
      <c r="I2187" t="s">
        <v>695</v>
      </c>
      <c r="J2187" t="s">
        <v>45</v>
      </c>
      <c r="K2187" t="s">
        <v>35</v>
      </c>
      <c r="L2187" t="s">
        <v>175</v>
      </c>
      <c r="M2187" t="s">
        <v>117</v>
      </c>
      <c r="N2187">
        <v>0</v>
      </c>
      <c r="O2187">
        <v>0</v>
      </c>
      <c r="P2187">
        <v>0</v>
      </c>
      <c r="Q2187">
        <v>0</v>
      </c>
      <c r="R2187">
        <v>0</v>
      </c>
      <c r="S2187" t="str">
        <f t="shared" si="170"/>
        <v>PZ: Alta Crit.</v>
      </c>
      <c r="T2187">
        <f t="shared" si="171"/>
        <v>1</v>
      </c>
      <c r="U2187">
        <f t="shared" si="172"/>
        <v>0</v>
      </c>
      <c r="V2187">
        <f t="shared" si="173"/>
        <v>0</v>
      </c>
      <c r="W2187">
        <f t="shared" si="174"/>
        <v>0</v>
      </c>
      <c r="X2187">
        <v>1</v>
      </c>
      <c r="Y2187" s="2">
        <v>45768</v>
      </c>
      <c r="Z2187" s="3" t="s">
        <v>118</v>
      </c>
      <c r="AA2187" t="s">
        <v>39</v>
      </c>
      <c r="AB2187" t="s">
        <v>40</v>
      </c>
      <c r="AC2187" t="s">
        <v>40</v>
      </c>
      <c r="AD2187" t="s">
        <v>696</v>
      </c>
    </row>
    <row r="2188" spans="2:30">
      <c r="B2188">
        <v>0</v>
      </c>
      <c r="C2188">
        <v>1020</v>
      </c>
      <c r="D2188" t="s">
        <v>181</v>
      </c>
      <c r="E2188">
        <v>10053685</v>
      </c>
      <c r="F2188" t="s">
        <v>2276</v>
      </c>
      <c r="G2188" t="s">
        <v>52</v>
      </c>
      <c r="H2188" t="s">
        <v>32</v>
      </c>
      <c r="I2188" t="s">
        <v>183</v>
      </c>
      <c r="J2188" t="s">
        <v>45</v>
      </c>
      <c r="K2188" t="s">
        <v>35</v>
      </c>
      <c r="L2188" t="s">
        <v>36</v>
      </c>
      <c r="M2188" t="s">
        <v>117</v>
      </c>
      <c r="N2188">
        <v>10</v>
      </c>
      <c r="O2188">
        <v>7</v>
      </c>
      <c r="P2188">
        <v>0</v>
      </c>
      <c r="Q2188">
        <v>10</v>
      </c>
      <c r="R2188">
        <v>0</v>
      </c>
      <c r="S2188" t="str">
        <f t="shared" si="170"/>
        <v>PZ: Alta Crit.</v>
      </c>
      <c r="T2188">
        <f t="shared" si="171"/>
        <v>0</v>
      </c>
      <c r="U2188">
        <f t="shared" si="172"/>
        <v>0</v>
      </c>
      <c r="V2188">
        <f t="shared" si="173"/>
        <v>1</v>
      </c>
      <c r="W2188">
        <f t="shared" si="174"/>
        <v>0</v>
      </c>
      <c r="X2188">
        <v>1</v>
      </c>
      <c r="Y2188" s="2">
        <v>45768</v>
      </c>
      <c r="Z2188" s="3" t="s">
        <v>118</v>
      </c>
      <c r="AA2188" t="s">
        <v>39</v>
      </c>
      <c r="AB2188" t="s">
        <v>40</v>
      </c>
      <c r="AC2188" t="s">
        <v>40</v>
      </c>
      <c r="AD2188" t="s">
        <v>184</v>
      </c>
    </row>
    <row r="2189" spans="2:30">
      <c r="B2189">
        <v>0</v>
      </c>
      <c r="C2189">
        <v>1020</v>
      </c>
      <c r="D2189" t="s">
        <v>172</v>
      </c>
      <c r="E2189">
        <v>10053723</v>
      </c>
      <c r="F2189" t="s">
        <v>2277</v>
      </c>
      <c r="G2189" t="s">
        <v>52</v>
      </c>
      <c r="H2189" t="s">
        <v>32</v>
      </c>
      <c r="I2189" t="s">
        <v>584</v>
      </c>
      <c r="J2189" t="s">
        <v>45</v>
      </c>
      <c r="K2189" t="s">
        <v>35</v>
      </c>
      <c r="L2189" t="s">
        <v>175</v>
      </c>
      <c r="M2189" t="s">
        <v>117</v>
      </c>
      <c r="N2189">
        <v>0</v>
      </c>
      <c r="O2189">
        <v>0</v>
      </c>
      <c r="P2189">
        <v>0</v>
      </c>
      <c r="Q2189">
        <v>8</v>
      </c>
      <c r="R2189" s="4">
        <v>74525.850000000006</v>
      </c>
      <c r="S2189" t="str">
        <f t="shared" si="170"/>
        <v>PZ: Alta Crit.</v>
      </c>
      <c r="T2189">
        <f t="shared" si="171"/>
        <v>0</v>
      </c>
      <c r="U2189">
        <f t="shared" si="172"/>
        <v>0</v>
      </c>
      <c r="V2189">
        <f t="shared" si="173"/>
        <v>0</v>
      </c>
      <c r="W2189">
        <f t="shared" si="174"/>
        <v>1</v>
      </c>
      <c r="X2189">
        <v>1</v>
      </c>
      <c r="Y2189" s="2">
        <v>45768</v>
      </c>
      <c r="Z2189" s="3" t="s">
        <v>118</v>
      </c>
      <c r="AA2189" t="s">
        <v>39</v>
      </c>
      <c r="AB2189" t="s">
        <v>40</v>
      </c>
      <c r="AC2189" t="s">
        <v>40</v>
      </c>
      <c r="AD2189" t="s">
        <v>585</v>
      </c>
    </row>
    <row r="2190" spans="2:30">
      <c r="B2190">
        <v>0</v>
      </c>
      <c r="C2190">
        <v>1020</v>
      </c>
      <c r="D2190" t="s">
        <v>384</v>
      </c>
      <c r="E2190">
        <v>10053743</v>
      </c>
      <c r="F2190" t="s">
        <v>2278</v>
      </c>
      <c r="G2190" t="s">
        <v>43</v>
      </c>
      <c r="H2190" t="s">
        <v>32</v>
      </c>
      <c r="I2190" t="s">
        <v>386</v>
      </c>
      <c r="J2190" t="s">
        <v>45</v>
      </c>
      <c r="K2190" t="s">
        <v>35</v>
      </c>
      <c r="L2190" t="s">
        <v>175</v>
      </c>
      <c r="M2190" t="s">
        <v>117</v>
      </c>
      <c r="N2190">
        <v>0</v>
      </c>
      <c r="O2190">
        <v>0</v>
      </c>
      <c r="P2190">
        <v>0</v>
      </c>
      <c r="Q2190">
        <v>5</v>
      </c>
      <c r="R2190">
        <v>0</v>
      </c>
      <c r="S2190" t="str">
        <f t="shared" si="170"/>
        <v>PY: Media Crit.</v>
      </c>
      <c r="T2190">
        <f t="shared" si="171"/>
        <v>0</v>
      </c>
      <c r="U2190">
        <f t="shared" si="172"/>
        <v>0</v>
      </c>
      <c r="V2190">
        <f t="shared" si="173"/>
        <v>0</v>
      </c>
      <c r="W2190">
        <f t="shared" si="174"/>
        <v>1</v>
      </c>
      <c r="X2190">
        <v>1</v>
      </c>
      <c r="Y2190" s="2">
        <v>45768</v>
      </c>
      <c r="Z2190" s="3" t="s">
        <v>118</v>
      </c>
      <c r="AA2190" t="s">
        <v>39</v>
      </c>
      <c r="AB2190" t="s">
        <v>40</v>
      </c>
      <c r="AC2190" t="s">
        <v>40</v>
      </c>
      <c r="AD2190" t="s">
        <v>387</v>
      </c>
    </row>
    <row r="2191" spans="2:30">
      <c r="B2191">
        <v>0</v>
      </c>
      <c r="C2191">
        <v>1020</v>
      </c>
      <c r="D2191" t="s">
        <v>693</v>
      </c>
      <c r="E2191">
        <v>10053760</v>
      </c>
      <c r="F2191" t="s">
        <v>2279</v>
      </c>
      <c r="G2191" t="s">
        <v>52</v>
      </c>
      <c r="H2191" t="s">
        <v>32</v>
      </c>
      <c r="I2191" t="s">
        <v>695</v>
      </c>
      <c r="J2191" t="s">
        <v>45</v>
      </c>
      <c r="K2191" t="s">
        <v>35</v>
      </c>
      <c r="L2191" t="s">
        <v>175</v>
      </c>
      <c r="M2191" t="s">
        <v>88</v>
      </c>
      <c r="N2191">
        <v>0</v>
      </c>
      <c r="O2191">
        <v>0</v>
      </c>
      <c r="P2191">
        <v>0</v>
      </c>
      <c r="Q2191">
        <v>6</v>
      </c>
      <c r="R2191">
        <v>0</v>
      </c>
      <c r="S2191" t="str">
        <f t="shared" si="170"/>
        <v>PZ: Alta Crit.</v>
      </c>
      <c r="T2191">
        <f t="shared" si="171"/>
        <v>0</v>
      </c>
      <c r="U2191">
        <f t="shared" si="172"/>
        <v>0</v>
      </c>
      <c r="V2191">
        <f t="shared" si="173"/>
        <v>0</v>
      </c>
      <c r="W2191">
        <f t="shared" si="174"/>
        <v>1</v>
      </c>
      <c r="X2191">
        <v>1</v>
      </c>
      <c r="Y2191" s="2">
        <v>45768</v>
      </c>
      <c r="Z2191" s="3" t="s">
        <v>89</v>
      </c>
      <c r="AA2191" t="s">
        <v>39</v>
      </c>
      <c r="AB2191" t="s">
        <v>40</v>
      </c>
      <c r="AC2191" t="s">
        <v>40</v>
      </c>
      <c r="AD2191" t="s">
        <v>696</v>
      </c>
    </row>
    <row r="2192" spans="2:30">
      <c r="B2192">
        <v>0</v>
      </c>
      <c r="C2192">
        <v>1020</v>
      </c>
      <c r="D2192" t="s">
        <v>693</v>
      </c>
      <c r="E2192">
        <v>10053793</v>
      </c>
      <c r="F2192" t="s">
        <v>2280</v>
      </c>
      <c r="G2192" t="s">
        <v>52</v>
      </c>
      <c r="H2192" t="s">
        <v>32</v>
      </c>
      <c r="I2192" t="s">
        <v>695</v>
      </c>
      <c r="J2192" t="s">
        <v>45</v>
      </c>
      <c r="K2192" t="s">
        <v>35</v>
      </c>
      <c r="L2192" t="s">
        <v>175</v>
      </c>
      <c r="M2192" t="s">
        <v>117</v>
      </c>
      <c r="N2192">
        <v>0</v>
      </c>
      <c r="O2192">
        <v>0</v>
      </c>
      <c r="P2192">
        <v>0</v>
      </c>
      <c r="Q2192">
        <v>2</v>
      </c>
      <c r="R2192">
        <v>0</v>
      </c>
      <c r="S2192" t="str">
        <f t="shared" si="170"/>
        <v>PZ: Alta Crit.</v>
      </c>
      <c r="T2192">
        <f t="shared" si="171"/>
        <v>0</v>
      </c>
      <c r="U2192">
        <f t="shared" si="172"/>
        <v>0</v>
      </c>
      <c r="V2192">
        <f t="shared" si="173"/>
        <v>0</v>
      </c>
      <c r="W2192">
        <f t="shared" si="174"/>
        <v>1</v>
      </c>
      <c r="X2192">
        <v>1</v>
      </c>
      <c r="Y2192" s="2">
        <v>45768</v>
      </c>
      <c r="Z2192" s="3" t="s">
        <v>118</v>
      </c>
      <c r="AA2192" t="s">
        <v>39</v>
      </c>
      <c r="AB2192" t="s">
        <v>40</v>
      </c>
      <c r="AC2192" t="s">
        <v>40</v>
      </c>
      <c r="AD2192" t="s">
        <v>696</v>
      </c>
    </row>
    <row r="2193" spans="2:30">
      <c r="B2193">
        <v>0</v>
      </c>
      <c r="C2193">
        <v>1020</v>
      </c>
      <c r="D2193" t="s">
        <v>693</v>
      </c>
      <c r="E2193">
        <v>10053795</v>
      </c>
      <c r="F2193" t="s">
        <v>2281</v>
      </c>
      <c r="G2193" t="s">
        <v>52</v>
      </c>
      <c r="H2193" t="s">
        <v>32</v>
      </c>
      <c r="I2193" t="s">
        <v>695</v>
      </c>
      <c r="J2193" t="s">
        <v>45</v>
      </c>
      <c r="K2193" t="s">
        <v>35</v>
      </c>
      <c r="L2193" t="s">
        <v>175</v>
      </c>
      <c r="M2193" t="s">
        <v>37</v>
      </c>
      <c r="N2193">
        <v>0</v>
      </c>
      <c r="O2193">
        <v>0</v>
      </c>
      <c r="P2193">
        <v>0</v>
      </c>
      <c r="Q2193">
        <v>1</v>
      </c>
      <c r="R2193">
        <v>0</v>
      </c>
      <c r="S2193" t="str">
        <f t="shared" si="170"/>
        <v>PZ: Alta Crit.</v>
      </c>
      <c r="T2193">
        <f t="shared" si="171"/>
        <v>0</v>
      </c>
      <c r="U2193">
        <f t="shared" si="172"/>
        <v>0</v>
      </c>
      <c r="V2193">
        <f t="shared" si="173"/>
        <v>0</v>
      </c>
      <c r="W2193">
        <f t="shared" si="174"/>
        <v>1</v>
      </c>
      <c r="X2193">
        <v>1</v>
      </c>
      <c r="Y2193" s="2">
        <v>45768</v>
      </c>
      <c r="Z2193" s="3" t="s">
        <v>38</v>
      </c>
      <c r="AA2193" t="s">
        <v>39</v>
      </c>
      <c r="AB2193" t="s">
        <v>40</v>
      </c>
      <c r="AC2193" t="s">
        <v>40</v>
      </c>
      <c r="AD2193" t="s">
        <v>696</v>
      </c>
    </row>
    <row r="2194" spans="2:30">
      <c r="B2194">
        <v>0</v>
      </c>
      <c r="C2194">
        <v>1020</v>
      </c>
      <c r="D2194" t="s">
        <v>388</v>
      </c>
      <c r="E2194">
        <v>10053806</v>
      </c>
      <c r="F2194" t="s">
        <v>2282</v>
      </c>
      <c r="G2194" t="s">
        <v>52</v>
      </c>
      <c r="H2194" t="s">
        <v>32</v>
      </c>
      <c r="I2194" t="s">
        <v>390</v>
      </c>
      <c r="J2194" t="s">
        <v>45</v>
      </c>
      <c r="K2194" t="s">
        <v>35</v>
      </c>
      <c r="L2194" t="s">
        <v>175</v>
      </c>
      <c r="M2194" t="s">
        <v>37</v>
      </c>
      <c r="N2194">
        <v>0</v>
      </c>
      <c r="O2194">
        <v>0</v>
      </c>
      <c r="P2194">
        <v>1</v>
      </c>
      <c r="Q2194">
        <v>1</v>
      </c>
      <c r="R2194" s="4">
        <v>94849.31</v>
      </c>
      <c r="S2194" t="str">
        <f t="shared" si="170"/>
        <v>PZ: Alta Crit.</v>
      </c>
      <c r="T2194">
        <f t="shared" si="171"/>
        <v>0</v>
      </c>
      <c r="U2194">
        <f t="shared" si="172"/>
        <v>1</v>
      </c>
      <c r="V2194">
        <f t="shared" si="173"/>
        <v>0</v>
      </c>
      <c r="W2194">
        <f t="shared" si="174"/>
        <v>1</v>
      </c>
      <c r="X2194">
        <v>1</v>
      </c>
      <c r="Y2194" s="2">
        <v>45768</v>
      </c>
      <c r="Z2194" s="3" t="s">
        <v>38</v>
      </c>
      <c r="AA2194" t="s">
        <v>39</v>
      </c>
      <c r="AB2194" t="s">
        <v>40</v>
      </c>
      <c r="AC2194" t="s">
        <v>40</v>
      </c>
      <c r="AD2194" t="s">
        <v>391</v>
      </c>
    </row>
    <row r="2195" spans="2:30">
      <c r="B2195">
        <v>0</v>
      </c>
      <c r="C2195">
        <v>1020</v>
      </c>
      <c r="D2195" t="s">
        <v>181</v>
      </c>
      <c r="E2195">
        <v>10053821</v>
      </c>
      <c r="F2195" t="s">
        <v>2283</v>
      </c>
      <c r="G2195" t="s">
        <v>43</v>
      </c>
      <c r="H2195" t="s">
        <v>44</v>
      </c>
      <c r="I2195" t="s">
        <v>183</v>
      </c>
      <c r="J2195" t="s">
        <v>45</v>
      </c>
      <c r="K2195" t="s">
        <v>35</v>
      </c>
      <c r="L2195" t="s">
        <v>36</v>
      </c>
      <c r="M2195" t="s">
        <v>117</v>
      </c>
      <c r="N2195">
        <v>4</v>
      </c>
      <c r="O2195">
        <v>3</v>
      </c>
      <c r="P2195">
        <v>1</v>
      </c>
      <c r="Q2195">
        <v>4</v>
      </c>
      <c r="R2195">
        <v>0</v>
      </c>
      <c r="S2195" t="str">
        <f t="shared" si="170"/>
        <v>PY: Media Crit.</v>
      </c>
      <c r="T2195">
        <f t="shared" si="171"/>
        <v>0</v>
      </c>
      <c r="U2195">
        <f t="shared" si="172"/>
        <v>0</v>
      </c>
      <c r="V2195">
        <f t="shared" si="173"/>
        <v>1</v>
      </c>
      <c r="W2195">
        <f t="shared" si="174"/>
        <v>0</v>
      </c>
      <c r="X2195">
        <v>1</v>
      </c>
      <c r="Y2195" s="2">
        <v>45768</v>
      </c>
      <c r="Z2195" s="3" t="s">
        <v>118</v>
      </c>
      <c r="AA2195" t="s">
        <v>39</v>
      </c>
      <c r="AB2195" t="s">
        <v>40</v>
      </c>
      <c r="AC2195" t="s">
        <v>40</v>
      </c>
      <c r="AD2195" t="s">
        <v>184</v>
      </c>
    </row>
    <row r="2196" spans="2:30">
      <c r="B2196">
        <v>0</v>
      </c>
      <c r="C2196">
        <v>1020</v>
      </c>
      <c r="D2196" t="s">
        <v>693</v>
      </c>
      <c r="E2196">
        <v>10053825</v>
      </c>
      <c r="F2196" t="s">
        <v>2284</v>
      </c>
      <c r="G2196" t="s">
        <v>52</v>
      </c>
      <c r="H2196" t="s">
        <v>32</v>
      </c>
      <c r="I2196" t="s">
        <v>695</v>
      </c>
      <c r="J2196" t="s">
        <v>45</v>
      </c>
      <c r="K2196" t="s">
        <v>35</v>
      </c>
      <c r="L2196" t="s">
        <v>175</v>
      </c>
      <c r="M2196" t="s">
        <v>117</v>
      </c>
      <c r="N2196">
        <v>0</v>
      </c>
      <c r="O2196">
        <v>0</v>
      </c>
      <c r="P2196">
        <v>0</v>
      </c>
      <c r="Q2196">
        <v>4</v>
      </c>
      <c r="R2196">
        <v>0</v>
      </c>
      <c r="S2196" t="str">
        <f t="shared" si="170"/>
        <v>PZ: Alta Crit.</v>
      </c>
      <c r="T2196">
        <f t="shared" si="171"/>
        <v>0</v>
      </c>
      <c r="U2196">
        <f t="shared" si="172"/>
        <v>0</v>
      </c>
      <c r="V2196">
        <f t="shared" si="173"/>
        <v>0</v>
      </c>
      <c r="W2196">
        <f t="shared" si="174"/>
        <v>1</v>
      </c>
      <c r="X2196">
        <v>1</v>
      </c>
      <c r="Y2196" s="2">
        <v>45768</v>
      </c>
      <c r="Z2196" s="3" t="s">
        <v>118</v>
      </c>
      <c r="AA2196" t="s">
        <v>39</v>
      </c>
      <c r="AB2196" t="s">
        <v>40</v>
      </c>
      <c r="AC2196" t="s">
        <v>40</v>
      </c>
      <c r="AD2196" t="s">
        <v>696</v>
      </c>
    </row>
    <row r="2197" spans="2:30">
      <c r="B2197">
        <v>0</v>
      </c>
      <c r="C2197">
        <v>1020</v>
      </c>
      <c r="D2197" t="s">
        <v>384</v>
      </c>
      <c r="E2197">
        <v>10053827</v>
      </c>
      <c r="F2197" t="s">
        <v>2285</v>
      </c>
      <c r="G2197" t="s">
        <v>52</v>
      </c>
      <c r="H2197" t="s">
        <v>32</v>
      </c>
      <c r="I2197" t="s">
        <v>386</v>
      </c>
      <c r="J2197" t="s">
        <v>45</v>
      </c>
      <c r="K2197" t="s">
        <v>35</v>
      </c>
      <c r="L2197" t="s">
        <v>175</v>
      </c>
      <c r="M2197" t="s">
        <v>117</v>
      </c>
      <c r="N2197">
        <v>0</v>
      </c>
      <c r="O2197">
        <v>0</v>
      </c>
      <c r="P2197">
        <v>0</v>
      </c>
      <c r="Q2197">
        <v>1</v>
      </c>
      <c r="R2197">
        <v>0</v>
      </c>
      <c r="S2197" t="str">
        <f t="shared" si="170"/>
        <v>PZ: Alta Crit.</v>
      </c>
      <c r="T2197">
        <f t="shared" si="171"/>
        <v>0</v>
      </c>
      <c r="U2197">
        <f t="shared" si="172"/>
        <v>0</v>
      </c>
      <c r="V2197">
        <f t="shared" si="173"/>
        <v>0</v>
      </c>
      <c r="W2197">
        <f t="shared" si="174"/>
        <v>1</v>
      </c>
      <c r="X2197">
        <v>1</v>
      </c>
      <c r="Y2197" s="2">
        <v>45768</v>
      </c>
      <c r="Z2197" s="3" t="s">
        <v>118</v>
      </c>
      <c r="AA2197" t="s">
        <v>39</v>
      </c>
      <c r="AB2197" t="s">
        <v>40</v>
      </c>
      <c r="AC2197" t="s">
        <v>40</v>
      </c>
      <c r="AD2197" t="s">
        <v>387</v>
      </c>
    </row>
    <row r="2198" spans="2:30">
      <c r="B2198">
        <v>0</v>
      </c>
      <c r="C2198">
        <v>1020</v>
      </c>
      <c r="D2198" t="s">
        <v>693</v>
      </c>
      <c r="E2198">
        <v>10053881</v>
      </c>
      <c r="F2198" t="s">
        <v>2286</v>
      </c>
      <c r="G2198" t="s">
        <v>52</v>
      </c>
      <c r="H2198" t="s">
        <v>32</v>
      </c>
      <c r="I2198" t="s">
        <v>695</v>
      </c>
      <c r="J2198" t="s">
        <v>45</v>
      </c>
      <c r="K2198" t="s">
        <v>35</v>
      </c>
      <c r="L2198" t="s">
        <v>175</v>
      </c>
      <c r="M2198" t="s">
        <v>117</v>
      </c>
      <c r="N2198">
        <v>0</v>
      </c>
      <c r="O2198">
        <v>0</v>
      </c>
      <c r="P2198">
        <v>0</v>
      </c>
      <c r="Q2198">
        <v>1</v>
      </c>
      <c r="R2198">
        <v>0</v>
      </c>
      <c r="S2198" t="str">
        <f t="shared" si="170"/>
        <v>PZ: Alta Crit.</v>
      </c>
      <c r="T2198">
        <f t="shared" si="171"/>
        <v>0</v>
      </c>
      <c r="U2198">
        <f t="shared" si="172"/>
        <v>0</v>
      </c>
      <c r="V2198">
        <f t="shared" si="173"/>
        <v>0</v>
      </c>
      <c r="W2198">
        <f t="shared" si="174"/>
        <v>1</v>
      </c>
      <c r="X2198">
        <v>1</v>
      </c>
      <c r="Y2198" s="2">
        <v>45768</v>
      </c>
      <c r="Z2198" s="3" t="s">
        <v>118</v>
      </c>
      <c r="AA2198" t="s">
        <v>39</v>
      </c>
      <c r="AB2198" t="s">
        <v>40</v>
      </c>
      <c r="AC2198" t="s">
        <v>40</v>
      </c>
      <c r="AD2198" t="s">
        <v>696</v>
      </c>
    </row>
    <row r="2199" spans="2:30">
      <c r="B2199">
        <v>0</v>
      </c>
      <c r="C2199">
        <v>1020</v>
      </c>
      <c r="D2199" t="s">
        <v>693</v>
      </c>
      <c r="E2199">
        <v>10053882</v>
      </c>
      <c r="F2199" t="s">
        <v>2287</v>
      </c>
      <c r="G2199" t="s">
        <v>52</v>
      </c>
      <c r="H2199" t="s">
        <v>32</v>
      </c>
      <c r="I2199" t="s">
        <v>695</v>
      </c>
      <c r="J2199" t="s">
        <v>45</v>
      </c>
      <c r="K2199" t="s">
        <v>35</v>
      </c>
      <c r="L2199" t="s">
        <v>175</v>
      </c>
      <c r="M2199" t="s">
        <v>117</v>
      </c>
      <c r="N2199">
        <v>0</v>
      </c>
      <c r="O2199">
        <v>0</v>
      </c>
      <c r="P2199">
        <v>0</v>
      </c>
      <c r="Q2199">
        <v>1</v>
      </c>
      <c r="R2199">
        <v>0</v>
      </c>
      <c r="S2199" t="str">
        <f t="shared" si="170"/>
        <v>PZ: Alta Crit.</v>
      </c>
      <c r="T2199">
        <f t="shared" si="171"/>
        <v>0</v>
      </c>
      <c r="U2199">
        <f t="shared" si="172"/>
        <v>0</v>
      </c>
      <c r="V2199">
        <f t="shared" si="173"/>
        <v>0</v>
      </c>
      <c r="W2199">
        <f t="shared" si="174"/>
        <v>1</v>
      </c>
      <c r="X2199">
        <v>1</v>
      </c>
      <c r="Y2199" s="2">
        <v>45768</v>
      </c>
      <c r="Z2199" s="3" t="s">
        <v>118</v>
      </c>
      <c r="AA2199" t="s">
        <v>39</v>
      </c>
      <c r="AB2199" t="s">
        <v>40</v>
      </c>
      <c r="AC2199" t="s">
        <v>40</v>
      </c>
      <c r="AD2199" t="s">
        <v>696</v>
      </c>
    </row>
    <row r="2200" spans="2:30">
      <c r="B2200">
        <v>0</v>
      </c>
      <c r="C2200">
        <v>1020</v>
      </c>
      <c r="D2200" t="s">
        <v>693</v>
      </c>
      <c r="E2200">
        <v>10053949</v>
      </c>
      <c r="F2200" t="s">
        <v>2288</v>
      </c>
      <c r="G2200" t="s">
        <v>52</v>
      </c>
      <c r="H2200" t="s">
        <v>60</v>
      </c>
      <c r="I2200" t="s">
        <v>695</v>
      </c>
      <c r="J2200" t="s">
        <v>45</v>
      </c>
      <c r="K2200" t="s">
        <v>35</v>
      </c>
      <c r="L2200" t="s">
        <v>175</v>
      </c>
      <c r="M2200" t="s">
        <v>117</v>
      </c>
      <c r="N2200">
        <v>0</v>
      </c>
      <c r="O2200">
        <v>0</v>
      </c>
      <c r="P2200">
        <v>0</v>
      </c>
      <c r="Q2200">
        <v>2</v>
      </c>
      <c r="R2200">
        <v>0</v>
      </c>
      <c r="S2200" t="str">
        <f t="shared" si="170"/>
        <v>PZ: Alta Crit.</v>
      </c>
      <c r="T2200">
        <f t="shared" si="171"/>
        <v>0</v>
      </c>
      <c r="U2200">
        <f t="shared" si="172"/>
        <v>0</v>
      </c>
      <c r="V2200">
        <f t="shared" si="173"/>
        <v>0</v>
      </c>
      <c r="W2200">
        <f t="shared" si="174"/>
        <v>1</v>
      </c>
      <c r="X2200">
        <v>1</v>
      </c>
      <c r="Y2200" s="2">
        <v>45768</v>
      </c>
      <c r="Z2200" s="3" t="s">
        <v>118</v>
      </c>
      <c r="AA2200" t="s">
        <v>39</v>
      </c>
      <c r="AB2200" t="s">
        <v>40</v>
      </c>
      <c r="AC2200" t="s">
        <v>40</v>
      </c>
      <c r="AD2200" t="s">
        <v>696</v>
      </c>
    </row>
    <row r="2201" spans="2:30">
      <c r="B2201">
        <v>0</v>
      </c>
      <c r="C2201">
        <v>1020</v>
      </c>
      <c r="D2201" t="s">
        <v>388</v>
      </c>
      <c r="E2201">
        <v>10053953</v>
      </c>
      <c r="F2201" t="s">
        <v>2289</v>
      </c>
      <c r="G2201" t="s">
        <v>43</v>
      </c>
      <c r="H2201" t="s">
        <v>60</v>
      </c>
      <c r="I2201" t="s">
        <v>390</v>
      </c>
      <c r="J2201" t="s">
        <v>45</v>
      </c>
      <c r="K2201" t="s">
        <v>35</v>
      </c>
      <c r="L2201" t="s">
        <v>175</v>
      </c>
      <c r="M2201" t="s">
        <v>117</v>
      </c>
      <c r="N2201">
        <v>0</v>
      </c>
      <c r="O2201">
        <v>0</v>
      </c>
      <c r="P2201">
        <v>4</v>
      </c>
      <c r="Q2201">
        <v>0</v>
      </c>
      <c r="R2201">
        <v>0</v>
      </c>
      <c r="S2201" t="str">
        <f t="shared" si="170"/>
        <v>PY: Media Crit.</v>
      </c>
      <c r="T2201">
        <f t="shared" si="171"/>
        <v>1</v>
      </c>
      <c r="U2201">
        <f t="shared" si="172"/>
        <v>0</v>
      </c>
      <c r="V2201">
        <f t="shared" si="173"/>
        <v>0</v>
      </c>
      <c r="W2201">
        <f t="shared" si="174"/>
        <v>0</v>
      </c>
      <c r="X2201">
        <v>1</v>
      </c>
      <c r="Y2201" s="2">
        <v>45768</v>
      </c>
      <c r="Z2201" s="3" t="s">
        <v>118</v>
      </c>
      <c r="AA2201" t="s">
        <v>39</v>
      </c>
      <c r="AB2201" t="s">
        <v>40</v>
      </c>
      <c r="AC2201" t="s">
        <v>40</v>
      </c>
      <c r="AD2201" t="s">
        <v>391</v>
      </c>
    </row>
    <row r="2202" spans="2:30">
      <c r="B2202">
        <v>0</v>
      </c>
      <c r="C2202">
        <v>1020</v>
      </c>
      <c r="D2202" t="s">
        <v>693</v>
      </c>
      <c r="E2202">
        <v>10053959</v>
      </c>
      <c r="F2202" t="s">
        <v>2290</v>
      </c>
      <c r="G2202" t="s">
        <v>52</v>
      </c>
      <c r="H2202" t="s">
        <v>32</v>
      </c>
      <c r="I2202" t="s">
        <v>695</v>
      </c>
      <c r="J2202" t="s">
        <v>45</v>
      </c>
      <c r="K2202" t="s">
        <v>35</v>
      </c>
      <c r="L2202" t="s">
        <v>175</v>
      </c>
      <c r="M2202" t="s">
        <v>46</v>
      </c>
      <c r="N2202">
        <v>0</v>
      </c>
      <c r="O2202">
        <v>0</v>
      </c>
      <c r="P2202">
        <v>0</v>
      </c>
      <c r="Q2202">
        <v>1</v>
      </c>
      <c r="R2202">
        <v>0</v>
      </c>
      <c r="S2202" t="str">
        <f t="shared" si="170"/>
        <v>PZ: Alta Crit.</v>
      </c>
      <c r="T2202">
        <f t="shared" si="171"/>
        <v>0</v>
      </c>
      <c r="U2202">
        <f t="shared" si="172"/>
        <v>0</v>
      </c>
      <c r="V2202">
        <f t="shared" si="173"/>
        <v>0</v>
      </c>
      <c r="W2202">
        <f t="shared" si="174"/>
        <v>1</v>
      </c>
      <c r="X2202">
        <v>1</v>
      </c>
      <c r="Y2202" s="2">
        <v>45768</v>
      </c>
      <c r="Z2202" s="3" t="s">
        <v>47</v>
      </c>
      <c r="AA2202" t="s">
        <v>39</v>
      </c>
      <c r="AB2202" t="s">
        <v>40</v>
      </c>
      <c r="AC2202" t="s">
        <v>40</v>
      </c>
      <c r="AD2202" t="s">
        <v>696</v>
      </c>
    </row>
    <row r="2203" spans="2:30">
      <c r="B2203">
        <v>0</v>
      </c>
      <c r="C2203">
        <v>1020</v>
      </c>
      <c r="D2203" t="s">
        <v>388</v>
      </c>
      <c r="E2203">
        <v>10053962</v>
      </c>
      <c r="F2203" t="s">
        <v>2291</v>
      </c>
      <c r="G2203" t="s">
        <v>52</v>
      </c>
      <c r="H2203" t="s">
        <v>44</v>
      </c>
      <c r="I2203" t="s">
        <v>390</v>
      </c>
      <c r="J2203" t="s">
        <v>45</v>
      </c>
      <c r="K2203" t="s">
        <v>35</v>
      </c>
      <c r="L2203" t="s">
        <v>175</v>
      </c>
      <c r="M2203" t="s">
        <v>37</v>
      </c>
      <c r="N2203">
        <v>0</v>
      </c>
      <c r="O2203">
        <v>0</v>
      </c>
      <c r="P2203">
        <v>1</v>
      </c>
      <c r="Q2203">
        <v>0</v>
      </c>
      <c r="R2203">
        <v>0</v>
      </c>
      <c r="S2203" t="str">
        <f t="shared" si="170"/>
        <v>PZ: Alta Crit.</v>
      </c>
      <c r="T2203">
        <f t="shared" si="171"/>
        <v>1</v>
      </c>
      <c r="U2203">
        <f t="shared" si="172"/>
        <v>0</v>
      </c>
      <c r="V2203">
        <f t="shared" si="173"/>
        <v>0</v>
      </c>
      <c r="W2203">
        <f t="shared" si="174"/>
        <v>0</v>
      </c>
      <c r="X2203">
        <v>1</v>
      </c>
      <c r="Y2203" s="2">
        <v>45768</v>
      </c>
      <c r="Z2203" s="3" t="s">
        <v>38</v>
      </c>
      <c r="AA2203" t="s">
        <v>39</v>
      </c>
      <c r="AB2203" t="s">
        <v>49</v>
      </c>
      <c r="AC2203" s="5" t="s">
        <v>50</v>
      </c>
      <c r="AD2203" t="s">
        <v>391</v>
      </c>
    </row>
    <row r="2204" spans="2:30">
      <c r="B2204">
        <v>0</v>
      </c>
      <c r="C2204">
        <v>1020</v>
      </c>
      <c r="D2204" t="s">
        <v>693</v>
      </c>
      <c r="E2204">
        <v>10054018</v>
      </c>
      <c r="F2204" t="s">
        <v>2292</v>
      </c>
      <c r="G2204" t="s">
        <v>31</v>
      </c>
      <c r="H2204" t="s">
        <v>44</v>
      </c>
      <c r="I2204" t="s">
        <v>695</v>
      </c>
      <c r="J2204" t="s">
        <v>45</v>
      </c>
      <c r="K2204" t="s">
        <v>35</v>
      </c>
      <c r="L2204" t="s">
        <v>175</v>
      </c>
      <c r="M2204" t="s">
        <v>117</v>
      </c>
      <c r="N2204">
        <v>0</v>
      </c>
      <c r="O2204">
        <v>0</v>
      </c>
      <c r="P2204">
        <v>0</v>
      </c>
      <c r="Q2204">
        <v>16</v>
      </c>
      <c r="R2204">
        <v>0</v>
      </c>
      <c r="S2204" t="str">
        <f t="shared" si="170"/>
        <v>PX: Baja Crit.</v>
      </c>
      <c r="T2204">
        <f t="shared" si="171"/>
        <v>0</v>
      </c>
      <c r="U2204">
        <f t="shared" si="172"/>
        <v>0</v>
      </c>
      <c r="V2204">
        <f t="shared" si="173"/>
        <v>0</v>
      </c>
      <c r="W2204">
        <f t="shared" si="174"/>
        <v>1</v>
      </c>
      <c r="X2204">
        <v>1</v>
      </c>
      <c r="Y2204" s="2">
        <v>45768</v>
      </c>
      <c r="Z2204" s="3" t="s">
        <v>118</v>
      </c>
      <c r="AA2204" t="s">
        <v>39</v>
      </c>
      <c r="AB2204" t="s">
        <v>40</v>
      </c>
      <c r="AC2204" t="s">
        <v>40</v>
      </c>
      <c r="AD2204" t="s">
        <v>696</v>
      </c>
    </row>
    <row r="2205" spans="2:30">
      <c r="B2205">
        <v>0</v>
      </c>
      <c r="C2205">
        <v>1020</v>
      </c>
      <c r="D2205" t="s">
        <v>693</v>
      </c>
      <c r="E2205">
        <v>10054019</v>
      </c>
      <c r="F2205" t="s">
        <v>2293</v>
      </c>
      <c r="G2205" t="s">
        <v>31</v>
      </c>
      <c r="H2205" t="s">
        <v>32</v>
      </c>
      <c r="I2205" t="s">
        <v>695</v>
      </c>
      <c r="J2205" t="s">
        <v>45</v>
      </c>
      <c r="K2205" t="s">
        <v>35</v>
      </c>
      <c r="L2205" t="s">
        <v>175</v>
      </c>
      <c r="M2205" t="s">
        <v>117</v>
      </c>
      <c r="N2205">
        <v>0</v>
      </c>
      <c r="O2205">
        <v>0</v>
      </c>
      <c r="P2205">
        <v>0</v>
      </c>
      <c r="Q2205">
        <v>20</v>
      </c>
      <c r="R2205">
        <v>0</v>
      </c>
      <c r="S2205" t="str">
        <f t="shared" si="170"/>
        <v>PX: Baja Crit.</v>
      </c>
      <c r="T2205">
        <f t="shared" si="171"/>
        <v>0</v>
      </c>
      <c r="U2205">
        <f t="shared" si="172"/>
        <v>0</v>
      </c>
      <c r="V2205">
        <f t="shared" si="173"/>
        <v>0</v>
      </c>
      <c r="W2205">
        <f t="shared" si="174"/>
        <v>1</v>
      </c>
      <c r="X2205">
        <v>1</v>
      </c>
      <c r="Y2205" s="2">
        <v>45768</v>
      </c>
      <c r="Z2205" s="3" t="s">
        <v>118</v>
      </c>
      <c r="AA2205" t="s">
        <v>39</v>
      </c>
      <c r="AB2205" t="s">
        <v>40</v>
      </c>
      <c r="AC2205" t="s">
        <v>40</v>
      </c>
      <c r="AD2205" t="s">
        <v>696</v>
      </c>
    </row>
    <row r="2206" spans="2:30">
      <c r="B2206">
        <v>0</v>
      </c>
      <c r="C2206">
        <v>1020</v>
      </c>
      <c r="D2206" t="s">
        <v>181</v>
      </c>
      <c r="E2206">
        <v>10054083</v>
      </c>
      <c r="F2206" t="s">
        <v>2294</v>
      </c>
      <c r="G2206" t="s">
        <v>52</v>
      </c>
      <c r="H2206" t="s">
        <v>32</v>
      </c>
      <c r="I2206" t="s">
        <v>183</v>
      </c>
      <c r="J2206" t="s">
        <v>45</v>
      </c>
      <c r="K2206" t="s">
        <v>35</v>
      </c>
      <c r="L2206" t="s">
        <v>36</v>
      </c>
      <c r="M2206" t="s">
        <v>117</v>
      </c>
      <c r="N2206">
        <v>6</v>
      </c>
      <c r="O2206">
        <v>4</v>
      </c>
      <c r="P2206">
        <v>1</v>
      </c>
      <c r="Q2206">
        <v>6</v>
      </c>
      <c r="R2206">
        <v>0</v>
      </c>
      <c r="S2206" t="str">
        <f t="shared" si="170"/>
        <v>PZ: Alta Crit.</v>
      </c>
      <c r="T2206">
        <f t="shared" si="171"/>
        <v>0</v>
      </c>
      <c r="U2206">
        <f t="shared" si="172"/>
        <v>0</v>
      </c>
      <c r="V2206">
        <f t="shared" si="173"/>
        <v>1</v>
      </c>
      <c r="W2206">
        <f t="shared" si="174"/>
        <v>0</v>
      </c>
      <c r="X2206">
        <v>1</v>
      </c>
      <c r="Y2206" s="2">
        <v>45768</v>
      </c>
      <c r="Z2206" s="3" t="s">
        <v>118</v>
      </c>
      <c r="AA2206" t="s">
        <v>39</v>
      </c>
      <c r="AB2206" t="s">
        <v>40</v>
      </c>
      <c r="AC2206" t="s">
        <v>40</v>
      </c>
      <c r="AD2206" t="s">
        <v>184</v>
      </c>
    </row>
    <row r="2207" spans="2:30">
      <c r="B2207">
        <v>0</v>
      </c>
      <c r="C2207">
        <v>1020</v>
      </c>
      <c r="D2207" t="s">
        <v>181</v>
      </c>
      <c r="E2207">
        <v>10054084</v>
      </c>
      <c r="F2207" t="s">
        <v>2295</v>
      </c>
      <c r="G2207" t="s">
        <v>52</v>
      </c>
      <c r="H2207" t="s">
        <v>32</v>
      </c>
      <c r="I2207" t="s">
        <v>183</v>
      </c>
      <c r="J2207" t="s">
        <v>45</v>
      </c>
      <c r="K2207" t="s">
        <v>35</v>
      </c>
      <c r="L2207" t="s">
        <v>36</v>
      </c>
      <c r="M2207" t="s">
        <v>117</v>
      </c>
      <c r="N2207">
        <v>6</v>
      </c>
      <c r="O2207">
        <v>4</v>
      </c>
      <c r="P2207">
        <v>1</v>
      </c>
      <c r="Q2207">
        <v>6</v>
      </c>
      <c r="R2207">
        <v>0</v>
      </c>
      <c r="S2207" t="str">
        <f t="shared" si="170"/>
        <v>PZ: Alta Crit.</v>
      </c>
      <c r="T2207">
        <f t="shared" si="171"/>
        <v>0</v>
      </c>
      <c r="U2207">
        <f t="shared" si="172"/>
        <v>0</v>
      </c>
      <c r="V2207">
        <f t="shared" si="173"/>
        <v>1</v>
      </c>
      <c r="W2207">
        <f t="shared" si="174"/>
        <v>0</v>
      </c>
      <c r="X2207">
        <v>1</v>
      </c>
      <c r="Y2207" s="2">
        <v>45768</v>
      </c>
      <c r="Z2207" s="3" t="s">
        <v>118</v>
      </c>
      <c r="AA2207" t="s">
        <v>39</v>
      </c>
      <c r="AB2207" t="s">
        <v>40</v>
      </c>
      <c r="AC2207" t="s">
        <v>40</v>
      </c>
      <c r="AD2207" t="s">
        <v>184</v>
      </c>
    </row>
    <row r="2208" spans="2:30">
      <c r="B2208">
        <v>0</v>
      </c>
      <c r="C2208">
        <v>1020</v>
      </c>
      <c r="D2208" t="s">
        <v>693</v>
      </c>
      <c r="E2208">
        <v>10054104</v>
      </c>
      <c r="F2208" t="s">
        <v>2296</v>
      </c>
      <c r="G2208" t="s">
        <v>52</v>
      </c>
      <c r="H2208" t="s">
        <v>32</v>
      </c>
      <c r="I2208" t="s">
        <v>695</v>
      </c>
      <c r="J2208" t="s">
        <v>45</v>
      </c>
      <c r="K2208" t="s">
        <v>35</v>
      </c>
      <c r="L2208" t="s">
        <v>175</v>
      </c>
      <c r="M2208" t="s">
        <v>117</v>
      </c>
      <c r="N2208">
        <v>0</v>
      </c>
      <c r="O2208">
        <v>0</v>
      </c>
      <c r="P2208">
        <v>0</v>
      </c>
      <c r="Q2208">
        <v>0</v>
      </c>
      <c r="R2208">
        <v>0</v>
      </c>
      <c r="S2208" t="str">
        <f t="shared" si="170"/>
        <v>PZ: Alta Crit.</v>
      </c>
      <c r="T2208">
        <f t="shared" si="171"/>
        <v>1</v>
      </c>
      <c r="U2208">
        <f t="shared" si="172"/>
        <v>0</v>
      </c>
      <c r="V2208">
        <f t="shared" si="173"/>
        <v>0</v>
      </c>
      <c r="W2208">
        <f t="shared" si="174"/>
        <v>0</v>
      </c>
      <c r="X2208">
        <v>1</v>
      </c>
      <c r="Y2208" s="2">
        <v>45768</v>
      </c>
      <c r="Z2208" s="3" t="s">
        <v>118</v>
      </c>
      <c r="AA2208" t="s">
        <v>39</v>
      </c>
      <c r="AB2208" t="s">
        <v>40</v>
      </c>
      <c r="AC2208" t="s">
        <v>40</v>
      </c>
      <c r="AD2208" t="s">
        <v>696</v>
      </c>
    </row>
    <row r="2209" spans="2:30">
      <c r="B2209">
        <v>0</v>
      </c>
      <c r="C2209">
        <v>1020</v>
      </c>
      <c r="D2209" t="s">
        <v>693</v>
      </c>
      <c r="E2209">
        <v>10054105</v>
      </c>
      <c r="F2209" t="s">
        <v>2297</v>
      </c>
      <c r="G2209" t="s">
        <v>52</v>
      </c>
      <c r="H2209" t="s">
        <v>32</v>
      </c>
      <c r="I2209" t="s">
        <v>695</v>
      </c>
      <c r="J2209" t="s">
        <v>45</v>
      </c>
      <c r="K2209" t="s">
        <v>35</v>
      </c>
      <c r="L2209" t="s">
        <v>175</v>
      </c>
      <c r="M2209" t="s">
        <v>117</v>
      </c>
      <c r="N2209">
        <v>0</v>
      </c>
      <c r="O2209">
        <v>0</v>
      </c>
      <c r="P2209">
        <v>0</v>
      </c>
      <c r="Q2209">
        <v>0</v>
      </c>
      <c r="R2209">
        <v>0</v>
      </c>
      <c r="S2209" t="str">
        <f t="shared" si="170"/>
        <v>PZ: Alta Crit.</v>
      </c>
      <c r="T2209">
        <f t="shared" si="171"/>
        <v>1</v>
      </c>
      <c r="U2209">
        <f t="shared" si="172"/>
        <v>0</v>
      </c>
      <c r="V2209">
        <f t="shared" si="173"/>
        <v>0</v>
      </c>
      <c r="W2209">
        <f t="shared" si="174"/>
        <v>0</v>
      </c>
      <c r="X2209">
        <v>1</v>
      </c>
      <c r="Y2209" s="2">
        <v>45768</v>
      </c>
      <c r="Z2209" s="3" t="s">
        <v>118</v>
      </c>
      <c r="AA2209" t="s">
        <v>39</v>
      </c>
      <c r="AB2209" t="s">
        <v>40</v>
      </c>
      <c r="AC2209" t="s">
        <v>40</v>
      </c>
      <c r="AD2209" t="s">
        <v>696</v>
      </c>
    </row>
    <row r="2210" spans="2:30">
      <c r="B2210">
        <v>0</v>
      </c>
      <c r="C2210">
        <v>1020</v>
      </c>
      <c r="D2210" t="s">
        <v>181</v>
      </c>
      <c r="E2210">
        <v>10054115</v>
      </c>
      <c r="F2210" t="s">
        <v>2298</v>
      </c>
      <c r="G2210" t="s">
        <v>43</v>
      </c>
      <c r="H2210" t="s">
        <v>32</v>
      </c>
      <c r="I2210" t="s">
        <v>183</v>
      </c>
      <c r="J2210" t="s">
        <v>45</v>
      </c>
      <c r="K2210" t="s">
        <v>35</v>
      </c>
      <c r="L2210" t="s">
        <v>36</v>
      </c>
      <c r="M2210" t="s">
        <v>117</v>
      </c>
      <c r="N2210">
        <v>1</v>
      </c>
      <c r="O2210">
        <v>1</v>
      </c>
      <c r="P2210">
        <v>0</v>
      </c>
      <c r="Q2210">
        <v>1</v>
      </c>
      <c r="R2210">
        <v>0</v>
      </c>
      <c r="S2210" t="str">
        <f t="shared" si="170"/>
        <v>PY: Media Crit.</v>
      </c>
      <c r="T2210">
        <f t="shared" si="171"/>
        <v>0</v>
      </c>
      <c r="U2210">
        <f t="shared" si="172"/>
        <v>0</v>
      </c>
      <c r="V2210">
        <f t="shared" si="173"/>
        <v>1</v>
      </c>
      <c r="W2210">
        <f t="shared" si="174"/>
        <v>0</v>
      </c>
      <c r="X2210">
        <v>1</v>
      </c>
      <c r="Y2210" s="2">
        <v>45768</v>
      </c>
      <c r="Z2210" s="3" t="s">
        <v>118</v>
      </c>
      <c r="AA2210" t="s">
        <v>39</v>
      </c>
      <c r="AB2210" t="s">
        <v>40</v>
      </c>
      <c r="AC2210" t="s">
        <v>40</v>
      </c>
      <c r="AD2210" t="s">
        <v>184</v>
      </c>
    </row>
    <row r="2211" spans="2:30">
      <c r="B2211">
        <v>0</v>
      </c>
      <c r="C2211">
        <v>1020</v>
      </c>
      <c r="D2211" t="s">
        <v>181</v>
      </c>
      <c r="E2211">
        <v>10054116</v>
      </c>
      <c r="F2211" t="s">
        <v>2299</v>
      </c>
      <c r="G2211" t="s">
        <v>43</v>
      </c>
      <c r="H2211" t="s">
        <v>32</v>
      </c>
      <c r="I2211" t="s">
        <v>183</v>
      </c>
      <c r="J2211" t="s">
        <v>45</v>
      </c>
      <c r="K2211" t="s">
        <v>35</v>
      </c>
      <c r="L2211" t="s">
        <v>36</v>
      </c>
      <c r="M2211" t="s">
        <v>117</v>
      </c>
      <c r="N2211">
        <v>1</v>
      </c>
      <c r="O2211">
        <v>1</v>
      </c>
      <c r="P2211">
        <v>0</v>
      </c>
      <c r="Q2211">
        <v>1</v>
      </c>
      <c r="R2211">
        <v>0</v>
      </c>
      <c r="S2211" t="str">
        <f t="shared" si="170"/>
        <v>PY: Media Crit.</v>
      </c>
      <c r="T2211">
        <f t="shared" si="171"/>
        <v>0</v>
      </c>
      <c r="U2211">
        <f t="shared" si="172"/>
        <v>0</v>
      </c>
      <c r="V2211">
        <f t="shared" si="173"/>
        <v>1</v>
      </c>
      <c r="W2211">
        <f t="shared" si="174"/>
        <v>0</v>
      </c>
      <c r="X2211">
        <v>1</v>
      </c>
      <c r="Y2211" s="2">
        <v>45768</v>
      </c>
      <c r="Z2211" s="3" t="s">
        <v>118</v>
      </c>
      <c r="AA2211" t="s">
        <v>39</v>
      </c>
      <c r="AB2211" t="s">
        <v>40</v>
      </c>
      <c r="AC2211" t="s">
        <v>40</v>
      </c>
      <c r="AD2211" t="s">
        <v>184</v>
      </c>
    </row>
    <row r="2212" spans="2:30">
      <c r="B2212">
        <v>0</v>
      </c>
      <c r="C2212">
        <v>1020</v>
      </c>
      <c r="D2212" t="s">
        <v>181</v>
      </c>
      <c r="E2212">
        <v>10054117</v>
      </c>
      <c r="F2212" t="s">
        <v>2300</v>
      </c>
      <c r="G2212" t="s">
        <v>43</v>
      </c>
      <c r="H2212" t="s">
        <v>32</v>
      </c>
      <c r="I2212" t="s">
        <v>183</v>
      </c>
      <c r="J2212" t="s">
        <v>45</v>
      </c>
      <c r="K2212" t="s">
        <v>35</v>
      </c>
      <c r="L2212" t="s">
        <v>36</v>
      </c>
      <c r="M2212" t="s">
        <v>117</v>
      </c>
      <c r="N2212">
        <v>1</v>
      </c>
      <c r="O2212">
        <v>1</v>
      </c>
      <c r="P2212">
        <v>0</v>
      </c>
      <c r="Q2212">
        <v>1</v>
      </c>
      <c r="R2212">
        <v>0</v>
      </c>
      <c r="S2212" t="str">
        <f t="shared" si="170"/>
        <v>PY: Media Crit.</v>
      </c>
      <c r="T2212">
        <f t="shared" si="171"/>
        <v>0</v>
      </c>
      <c r="U2212">
        <f t="shared" si="172"/>
        <v>0</v>
      </c>
      <c r="V2212">
        <f t="shared" si="173"/>
        <v>1</v>
      </c>
      <c r="W2212">
        <f t="shared" si="174"/>
        <v>0</v>
      </c>
      <c r="X2212">
        <v>1</v>
      </c>
      <c r="Y2212" s="2">
        <v>45768</v>
      </c>
      <c r="Z2212" s="3" t="s">
        <v>118</v>
      </c>
      <c r="AA2212" t="s">
        <v>39</v>
      </c>
      <c r="AB2212" t="s">
        <v>40</v>
      </c>
      <c r="AC2212" t="s">
        <v>40</v>
      </c>
      <c r="AD2212" t="s">
        <v>184</v>
      </c>
    </row>
    <row r="2213" spans="2:30">
      <c r="B2213">
        <v>0</v>
      </c>
      <c r="C2213">
        <v>1020</v>
      </c>
      <c r="D2213" t="s">
        <v>693</v>
      </c>
      <c r="E2213">
        <v>10054144</v>
      </c>
      <c r="F2213" t="s">
        <v>2301</v>
      </c>
      <c r="G2213" t="s">
        <v>43</v>
      </c>
      <c r="H2213" t="s">
        <v>32</v>
      </c>
      <c r="I2213" t="s">
        <v>695</v>
      </c>
      <c r="J2213" t="s">
        <v>45</v>
      </c>
      <c r="K2213" t="s">
        <v>35</v>
      </c>
      <c r="L2213" t="s">
        <v>175</v>
      </c>
      <c r="M2213" t="s">
        <v>117</v>
      </c>
      <c r="N2213">
        <v>0</v>
      </c>
      <c r="O2213">
        <v>0</v>
      </c>
      <c r="P2213">
        <v>0</v>
      </c>
      <c r="Q2213">
        <v>1</v>
      </c>
      <c r="R2213">
        <v>0</v>
      </c>
      <c r="S2213" t="str">
        <f t="shared" si="170"/>
        <v>PY: Media Crit.</v>
      </c>
      <c r="T2213">
        <f t="shared" si="171"/>
        <v>0</v>
      </c>
      <c r="U2213">
        <f t="shared" si="172"/>
        <v>0</v>
      </c>
      <c r="V2213">
        <f t="shared" si="173"/>
        <v>0</v>
      </c>
      <c r="W2213">
        <f t="shared" si="174"/>
        <v>1</v>
      </c>
      <c r="X2213">
        <v>1</v>
      </c>
      <c r="Y2213" s="2">
        <v>45768</v>
      </c>
      <c r="Z2213" s="3" t="s">
        <v>118</v>
      </c>
      <c r="AA2213" t="s">
        <v>39</v>
      </c>
      <c r="AB2213" t="s">
        <v>40</v>
      </c>
      <c r="AC2213" t="s">
        <v>40</v>
      </c>
      <c r="AD2213" t="s">
        <v>696</v>
      </c>
    </row>
    <row r="2214" spans="2:30">
      <c r="B2214">
        <v>0</v>
      </c>
      <c r="C2214">
        <v>1020</v>
      </c>
      <c r="D2214" t="s">
        <v>384</v>
      </c>
      <c r="E2214">
        <v>10054175</v>
      </c>
      <c r="F2214" t="s">
        <v>2302</v>
      </c>
      <c r="G2214" t="s">
        <v>43</v>
      </c>
      <c r="H2214" t="s">
        <v>32</v>
      </c>
      <c r="I2214" t="s">
        <v>386</v>
      </c>
      <c r="J2214" t="s">
        <v>45</v>
      </c>
      <c r="K2214" t="s">
        <v>62</v>
      </c>
      <c r="L2214" t="s">
        <v>175</v>
      </c>
      <c r="M2214" t="s">
        <v>117</v>
      </c>
      <c r="N2214">
        <v>0</v>
      </c>
      <c r="O2214">
        <v>0</v>
      </c>
      <c r="P2214">
        <v>0</v>
      </c>
      <c r="Q2214">
        <v>4</v>
      </c>
      <c r="R2214">
        <v>814.2</v>
      </c>
      <c r="S2214" t="str">
        <f t="shared" si="170"/>
        <v>PY: Media Crit.</v>
      </c>
      <c r="T2214">
        <f t="shared" si="171"/>
        <v>0</v>
      </c>
      <c r="U2214">
        <f t="shared" si="172"/>
        <v>0</v>
      </c>
      <c r="V2214">
        <f t="shared" si="173"/>
        <v>0</v>
      </c>
      <c r="W2214">
        <f t="shared" si="174"/>
        <v>1</v>
      </c>
      <c r="X2214">
        <v>1</v>
      </c>
      <c r="Y2214" s="2">
        <v>45768</v>
      </c>
      <c r="Z2214" s="3" t="s">
        <v>118</v>
      </c>
      <c r="AA2214" t="s">
        <v>39</v>
      </c>
      <c r="AB2214" t="s">
        <v>40</v>
      </c>
      <c r="AC2214" t="s">
        <v>40</v>
      </c>
      <c r="AD2214" t="s">
        <v>387</v>
      </c>
    </row>
    <row r="2215" spans="2:30">
      <c r="B2215">
        <v>0</v>
      </c>
      <c r="C2215">
        <v>1020</v>
      </c>
      <c r="D2215" t="s">
        <v>388</v>
      </c>
      <c r="E2215">
        <v>10054293</v>
      </c>
      <c r="F2215" t="s">
        <v>2303</v>
      </c>
      <c r="G2215" t="s">
        <v>52</v>
      </c>
      <c r="H2215" t="s">
        <v>32</v>
      </c>
      <c r="I2215" t="s">
        <v>390</v>
      </c>
      <c r="J2215" t="s">
        <v>45</v>
      </c>
      <c r="K2215" t="s">
        <v>35</v>
      </c>
      <c r="L2215" t="s">
        <v>175</v>
      </c>
      <c r="M2215" t="s">
        <v>69</v>
      </c>
      <c r="N2215">
        <v>0</v>
      </c>
      <c r="O2215">
        <v>0</v>
      </c>
      <c r="P2215">
        <v>1</v>
      </c>
      <c r="Q2215">
        <v>5</v>
      </c>
      <c r="R2215">
        <v>0</v>
      </c>
      <c r="S2215" t="str">
        <f t="shared" si="170"/>
        <v>PZ: Alta Crit.</v>
      </c>
      <c r="T2215">
        <f t="shared" si="171"/>
        <v>0</v>
      </c>
      <c r="U2215">
        <f t="shared" si="172"/>
        <v>0</v>
      </c>
      <c r="V2215">
        <f t="shared" si="173"/>
        <v>0</v>
      </c>
      <c r="W2215">
        <f t="shared" si="174"/>
        <v>1</v>
      </c>
      <c r="X2215">
        <v>1</v>
      </c>
      <c r="Y2215" s="2">
        <v>45768</v>
      </c>
      <c r="Z2215" s="3" t="s">
        <v>70</v>
      </c>
      <c r="AA2215" t="s">
        <v>39</v>
      </c>
      <c r="AB2215" t="s">
        <v>40</v>
      </c>
      <c r="AC2215" t="s">
        <v>40</v>
      </c>
      <c r="AD2215" t="s">
        <v>391</v>
      </c>
    </row>
    <row r="2216" spans="2:30">
      <c r="B2216">
        <v>0</v>
      </c>
      <c r="C2216">
        <v>1020</v>
      </c>
      <c r="D2216" t="s">
        <v>388</v>
      </c>
      <c r="E2216">
        <v>10054343</v>
      </c>
      <c r="F2216" t="s">
        <v>2304</v>
      </c>
      <c r="G2216" t="s">
        <v>31</v>
      </c>
      <c r="H2216" t="s">
        <v>60</v>
      </c>
      <c r="I2216" t="s">
        <v>390</v>
      </c>
      <c r="J2216" t="s">
        <v>45</v>
      </c>
      <c r="K2216" t="s">
        <v>35</v>
      </c>
      <c r="L2216" t="s">
        <v>175</v>
      </c>
      <c r="M2216" t="s">
        <v>88</v>
      </c>
      <c r="N2216">
        <v>0</v>
      </c>
      <c r="O2216">
        <v>0</v>
      </c>
      <c r="P2216">
        <v>2</v>
      </c>
      <c r="Q2216">
        <v>2</v>
      </c>
      <c r="R2216">
        <v>0</v>
      </c>
      <c r="S2216" t="str">
        <f t="shared" si="170"/>
        <v>PX: Baja Crit.</v>
      </c>
      <c r="T2216">
        <f t="shared" si="171"/>
        <v>0</v>
      </c>
      <c r="U2216">
        <f t="shared" si="172"/>
        <v>1</v>
      </c>
      <c r="V2216">
        <f t="shared" si="173"/>
        <v>0</v>
      </c>
      <c r="W2216">
        <f t="shared" si="174"/>
        <v>1</v>
      </c>
      <c r="X2216">
        <v>1</v>
      </c>
      <c r="Y2216" s="2">
        <v>45768</v>
      </c>
      <c r="Z2216" s="3" t="s">
        <v>89</v>
      </c>
      <c r="AA2216" t="s">
        <v>39</v>
      </c>
      <c r="AB2216" t="s">
        <v>40</v>
      </c>
      <c r="AC2216" t="s">
        <v>40</v>
      </c>
      <c r="AD2216" t="s">
        <v>391</v>
      </c>
    </row>
    <row r="2217" spans="2:30">
      <c r="B2217">
        <v>0</v>
      </c>
      <c r="C2217">
        <v>1020</v>
      </c>
      <c r="D2217" t="s">
        <v>384</v>
      </c>
      <c r="E2217">
        <v>10054360</v>
      </c>
      <c r="F2217" t="s">
        <v>2305</v>
      </c>
      <c r="G2217" t="s">
        <v>52</v>
      </c>
      <c r="H2217" t="s">
        <v>32</v>
      </c>
      <c r="I2217" t="s">
        <v>386</v>
      </c>
      <c r="J2217" t="s">
        <v>45</v>
      </c>
      <c r="K2217" t="s">
        <v>35</v>
      </c>
      <c r="L2217" t="s">
        <v>175</v>
      </c>
      <c r="M2217" t="s">
        <v>69</v>
      </c>
      <c r="N2217">
        <v>0</v>
      </c>
      <c r="O2217">
        <v>0</v>
      </c>
      <c r="P2217">
        <v>0</v>
      </c>
      <c r="Q2217">
        <v>1</v>
      </c>
      <c r="R2217">
        <v>0</v>
      </c>
      <c r="S2217" t="str">
        <f t="shared" si="170"/>
        <v>PZ: Alta Crit.</v>
      </c>
      <c r="T2217">
        <f t="shared" si="171"/>
        <v>0</v>
      </c>
      <c r="U2217">
        <f t="shared" si="172"/>
        <v>0</v>
      </c>
      <c r="V2217">
        <f t="shared" si="173"/>
        <v>0</v>
      </c>
      <c r="W2217">
        <f t="shared" si="174"/>
        <v>1</v>
      </c>
      <c r="X2217">
        <v>1</v>
      </c>
      <c r="Y2217" s="2">
        <v>45768</v>
      </c>
      <c r="Z2217" s="3" t="s">
        <v>70</v>
      </c>
      <c r="AA2217" t="s">
        <v>39</v>
      </c>
      <c r="AB2217" t="s">
        <v>40</v>
      </c>
      <c r="AC2217" t="s">
        <v>40</v>
      </c>
      <c r="AD2217" t="s">
        <v>387</v>
      </c>
    </row>
    <row r="2218" spans="2:30">
      <c r="B2218">
        <v>0</v>
      </c>
      <c r="C2218">
        <v>1020</v>
      </c>
      <c r="D2218" t="s">
        <v>181</v>
      </c>
      <c r="E2218">
        <v>10054369</v>
      </c>
      <c r="F2218" t="s">
        <v>2306</v>
      </c>
      <c r="G2218" t="s">
        <v>43</v>
      </c>
      <c r="H2218" t="s">
        <v>32</v>
      </c>
      <c r="I2218" t="s">
        <v>183</v>
      </c>
      <c r="J2218" t="s">
        <v>45</v>
      </c>
      <c r="K2218" t="s">
        <v>35</v>
      </c>
      <c r="L2218" t="s">
        <v>36</v>
      </c>
      <c r="M2218" t="s">
        <v>69</v>
      </c>
      <c r="N2218">
        <v>2</v>
      </c>
      <c r="O2218">
        <v>1</v>
      </c>
      <c r="P2218">
        <v>1</v>
      </c>
      <c r="Q2218">
        <v>2</v>
      </c>
      <c r="R2218">
        <v>0</v>
      </c>
      <c r="S2218" t="str">
        <f t="shared" si="170"/>
        <v>PY: Media Crit.</v>
      </c>
      <c r="T2218">
        <f t="shared" si="171"/>
        <v>0</v>
      </c>
      <c r="U2218">
        <f t="shared" si="172"/>
        <v>0</v>
      </c>
      <c r="V2218">
        <f t="shared" si="173"/>
        <v>1</v>
      </c>
      <c r="W2218">
        <f t="shared" si="174"/>
        <v>0</v>
      </c>
      <c r="X2218">
        <v>1</v>
      </c>
      <c r="Y2218" s="2">
        <v>45768</v>
      </c>
      <c r="Z2218" s="3" t="s">
        <v>70</v>
      </c>
      <c r="AA2218" t="s">
        <v>39</v>
      </c>
      <c r="AB2218" t="s">
        <v>40</v>
      </c>
      <c r="AC2218" t="s">
        <v>40</v>
      </c>
      <c r="AD2218" t="s">
        <v>184</v>
      </c>
    </row>
    <row r="2219" spans="2:30">
      <c r="B2219">
        <v>0</v>
      </c>
      <c r="C2219">
        <v>1020</v>
      </c>
      <c r="D2219" t="s">
        <v>693</v>
      </c>
      <c r="E2219">
        <v>10054570</v>
      </c>
      <c r="F2219" t="s">
        <v>2307</v>
      </c>
      <c r="G2219" t="s">
        <v>52</v>
      </c>
      <c r="H2219" t="s">
        <v>60</v>
      </c>
      <c r="I2219" t="s">
        <v>695</v>
      </c>
      <c r="J2219" t="s">
        <v>45</v>
      </c>
      <c r="K2219" t="s">
        <v>35</v>
      </c>
      <c r="L2219" t="s">
        <v>175</v>
      </c>
      <c r="M2219" t="s">
        <v>88</v>
      </c>
      <c r="N2219">
        <v>0</v>
      </c>
      <c r="O2219">
        <v>0</v>
      </c>
      <c r="P2219">
        <v>0</v>
      </c>
      <c r="Q2219">
        <v>61</v>
      </c>
      <c r="R2219">
        <v>0</v>
      </c>
      <c r="S2219" t="str">
        <f t="shared" si="170"/>
        <v>PZ: Alta Crit.</v>
      </c>
      <c r="T2219">
        <f t="shared" si="171"/>
        <v>0</v>
      </c>
      <c r="U2219">
        <f t="shared" si="172"/>
        <v>0</v>
      </c>
      <c r="V2219">
        <f t="shared" si="173"/>
        <v>0</v>
      </c>
      <c r="W2219">
        <f t="shared" si="174"/>
        <v>1</v>
      </c>
      <c r="X2219">
        <v>1</v>
      </c>
      <c r="Y2219" s="2">
        <v>45768</v>
      </c>
      <c r="Z2219" s="3" t="s">
        <v>89</v>
      </c>
      <c r="AA2219" t="s">
        <v>39</v>
      </c>
      <c r="AB2219" t="s">
        <v>40</v>
      </c>
      <c r="AC2219" t="s">
        <v>40</v>
      </c>
      <c r="AD2219" t="s">
        <v>696</v>
      </c>
    </row>
    <row r="2220" spans="2:30">
      <c r="B2220">
        <v>0</v>
      </c>
      <c r="C2220">
        <v>1020</v>
      </c>
      <c r="D2220" t="s">
        <v>693</v>
      </c>
      <c r="E2220">
        <v>10054590</v>
      </c>
      <c r="F2220" t="s">
        <v>2308</v>
      </c>
      <c r="G2220" t="s">
        <v>43</v>
      </c>
      <c r="H2220" t="s">
        <v>32</v>
      </c>
      <c r="I2220" t="s">
        <v>695</v>
      </c>
      <c r="J2220" t="s">
        <v>45</v>
      </c>
      <c r="K2220" t="s">
        <v>35</v>
      </c>
      <c r="L2220" t="s">
        <v>175</v>
      </c>
      <c r="M2220" t="s">
        <v>69</v>
      </c>
      <c r="N2220">
        <v>0</v>
      </c>
      <c r="O2220">
        <v>0</v>
      </c>
      <c r="P2220">
        <v>0</v>
      </c>
      <c r="Q2220">
        <v>2</v>
      </c>
      <c r="R2220">
        <v>0</v>
      </c>
      <c r="S2220" t="str">
        <f t="shared" si="170"/>
        <v>PY: Media Crit.</v>
      </c>
      <c r="T2220">
        <f t="shared" si="171"/>
        <v>0</v>
      </c>
      <c r="U2220">
        <f t="shared" si="172"/>
        <v>0</v>
      </c>
      <c r="V2220">
        <f t="shared" si="173"/>
        <v>0</v>
      </c>
      <c r="W2220">
        <f t="shared" si="174"/>
        <v>1</v>
      </c>
      <c r="X2220">
        <v>1</v>
      </c>
      <c r="Y2220" s="2">
        <v>45768</v>
      </c>
      <c r="Z2220" s="3" t="s">
        <v>70</v>
      </c>
      <c r="AA2220" t="s">
        <v>39</v>
      </c>
      <c r="AB2220" t="s">
        <v>40</v>
      </c>
      <c r="AC2220" t="s">
        <v>40</v>
      </c>
      <c r="AD2220" t="s">
        <v>696</v>
      </c>
    </row>
    <row r="2221" spans="2:30">
      <c r="B2221">
        <v>0</v>
      </c>
      <c r="C2221">
        <v>1020</v>
      </c>
      <c r="D2221" t="s">
        <v>693</v>
      </c>
      <c r="E2221">
        <v>10054616</v>
      </c>
      <c r="F2221" t="s">
        <v>2309</v>
      </c>
      <c r="G2221" t="s">
        <v>43</v>
      </c>
      <c r="H2221" t="s">
        <v>32</v>
      </c>
      <c r="I2221" t="s">
        <v>695</v>
      </c>
      <c r="J2221" t="s">
        <v>45</v>
      </c>
      <c r="K2221" t="s">
        <v>35</v>
      </c>
      <c r="L2221" t="s">
        <v>175</v>
      </c>
      <c r="M2221" t="s">
        <v>69</v>
      </c>
      <c r="N2221">
        <v>0</v>
      </c>
      <c r="O2221">
        <v>0</v>
      </c>
      <c r="P2221">
        <v>0</v>
      </c>
      <c r="Q2221">
        <v>2</v>
      </c>
      <c r="R2221">
        <v>0</v>
      </c>
      <c r="S2221" t="str">
        <f t="shared" si="170"/>
        <v>PY: Media Crit.</v>
      </c>
      <c r="T2221">
        <f t="shared" si="171"/>
        <v>0</v>
      </c>
      <c r="U2221">
        <f t="shared" si="172"/>
        <v>0</v>
      </c>
      <c r="V2221">
        <f t="shared" si="173"/>
        <v>0</v>
      </c>
      <c r="W2221">
        <f t="shared" si="174"/>
        <v>1</v>
      </c>
      <c r="X2221">
        <v>1</v>
      </c>
      <c r="Y2221" s="2">
        <v>45768</v>
      </c>
      <c r="Z2221" s="3" t="s">
        <v>70</v>
      </c>
      <c r="AA2221" t="s">
        <v>39</v>
      </c>
      <c r="AB2221" t="s">
        <v>40</v>
      </c>
      <c r="AC2221" t="s">
        <v>40</v>
      </c>
      <c r="AD2221" t="s">
        <v>696</v>
      </c>
    </row>
    <row r="2222" spans="2:30">
      <c r="B2222">
        <v>0</v>
      </c>
      <c r="C2222">
        <v>1020</v>
      </c>
      <c r="D2222" t="s">
        <v>693</v>
      </c>
      <c r="E2222">
        <v>10054619</v>
      </c>
      <c r="F2222" t="s">
        <v>2310</v>
      </c>
      <c r="G2222" t="s">
        <v>43</v>
      </c>
      <c r="H2222" t="s">
        <v>44</v>
      </c>
      <c r="I2222" t="s">
        <v>695</v>
      </c>
      <c r="J2222" t="s">
        <v>45</v>
      </c>
      <c r="K2222" t="s">
        <v>35</v>
      </c>
      <c r="L2222" t="s">
        <v>175</v>
      </c>
      <c r="M2222" t="s">
        <v>88</v>
      </c>
      <c r="N2222">
        <v>0</v>
      </c>
      <c r="O2222">
        <v>0</v>
      </c>
      <c r="P2222">
        <v>0</v>
      </c>
      <c r="Q2222">
        <v>2</v>
      </c>
      <c r="R2222">
        <v>0</v>
      </c>
      <c r="S2222" t="str">
        <f t="shared" si="170"/>
        <v>PY: Media Crit.</v>
      </c>
      <c r="T2222">
        <f t="shared" si="171"/>
        <v>0</v>
      </c>
      <c r="U2222">
        <f t="shared" si="172"/>
        <v>0</v>
      </c>
      <c r="V2222">
        <f t="shared" si="173"/>
        <v>0</v>
      </c>
      <c r="W2222">
        <f t="shared" si="174"/>
        <v>1</v>
      </c>
      <c r="X2222">
        <v>1</v>
      </c>
      <c r="Y2222" s="2">
        <v>45768</v>
      </c>
      <c r="Z2222" s="3" t="s">
        <v>89</v>
      </c>
      <c r="AA2222" t="s">
        <v>39</v>
      </c>
      <c r="AB2222" t="s">
        <v>40</v>
      </c>
      <c r="AC2222" t="s">
        <v>40</v>
      </c>
      <c r="AD2222" t="s">
        <v>696</v>
      </c>
    </row>
    <row r="2223" spans="2:30">
      <c r="B2223">
        <v>0</v>
      </c>
      <c r="C2223">
        <v>1020</v>
      </c>
      <c r="D2223" t="s">
        <v>384</v>
      </c>
      <c r="E2223">
        <v>10054644</v>
      </c>
      <c r="F2223" t="s">
        <v>2311</v>
      </c>
      <c r="G2223" t="s">
        <v>52</v>
      </c>
      <c r="H2223" t="s">
        <v>32</v>
      </c>
      <c r="I2223" t="s">
        <v>386</v>
      </c>
      <c r="J2223" t="s">
        <v>45</v>
      </c>
      <c r="K2223" t="s">
        <v>35</v>
      </c>
      <c r="L2223" t="s">
        <v>175</v>
      </c>
      <c r="M2223" t="s">
        <v>69</v>
      </c>
      <c r="N2223">
        <v>0</v>
      </c>
      <c r="O2223">
        <v>0</v>
      </c>
      <c r="P2223">
        <v>0</v>
      </c>
      <c r="Q2223">
        <v>2</v>
      </c>
      <c r="R2223">
        <v>0</v>
      </c>
      <c r="S2223" t="str">
        <f t="shared" si="170"/>
        <v>PZ: Alta Crit.</v>
      </c>
      <c r="T2223">
        <f t="shared" si="171"/>
        <v>0</v>
      </c>
      <c r="U2223">
        <f t="shared" si="172"/>
        <v>0</v>
      </c>
      <c r="V2223">
        <f t="shared" si="173"/>
        <v>0</v>
      </c>
      <c r="W2223">
        <f t="shared" si="174"/>
        <v>1</v>
      </c>
      <c r="X2223">
        <v>1</v>
      </c>
      <c r="Y2223" s="2">
        <v>45768</v>
      </c>
      <c r="Z2223" s="3" t="s">
        <v>70</v>
      </c>
      <c r="AA2223" t="s">
        <v>39</v>
      </c>
      <c r="AB2223" t="s">
        <v>40</v>
      </c>
      <c r="AC2223" t="s">
        <v>40</v>
      </c>
      <c r="AD2223" t="s">
        <v>387</v>
      </c>
    </row>
    <row r="2224" spans="2:30">
      <c r="B2224">
        <v>0</v>
      </c>
      <c r="C2224">
        <v>1020</v>
      </c>
      <c r="D2224" t="s">
        <v>384</v>
      </c>
      <c r="E2224">
        <v>10054652</v>
      </c>
      <c r="F2224" t="s">
        <v>2312</v>
      </c>
      <c r="G2224" t="s">
        <v>52</v>
      </c>
      <c r="H2224" t="s">
        <v>32</v>
      </c>
      <c r="I2224" t="s">
        <v>386</v>
      </c>
      <c r="J2224" t="s">
        <v>45</v>
      </c>
      <c r="K2224" t="s">
        <v>35</v>
      </c>
      <c r="L2224" t="s">
        <v>175</v>
      </c>
      <c r="M2224" t="s">
        <v>69</v>
      </c>
      <c r="N2224">
        <v>0</v>
      </c>
      <c r="O2224">
        <v>0</v>
      </c>
      <c r="P2224">
        <v>0</v>
      </c>
      <c r="Q2224">
        <v>3</v>
      </c>
      <c r="R2224">
        <v>0</v>
      </c>
      <c r="S2224" t="str">
        <f t="shared" si="170"/>
        <v>PZ: Alta Crit.</v>
      </c>
      <c r="T2224">
        <f t="shared" si="171"/>
        <v>0</v>
      </c>
      <c r="U2224">
        <f t="shared" si="172"/>
        <v>0</v>
      </c>
      <c r="V2224">
        <f t="shared" si="173"/>
        <v>0</v>
      </c>
      <c r="W2224">
        <f t="shared" si="174"/>
        <v>1</v>
      </c>
      <c r="X2224">
        <v>1</v>
      </c>
      <c r="Y2224" s="2">
        <v>45768</v>
      </c>
      <c r="Z2224" s="3" t="s">
        <v>70</v>
      </c>
      <c r="AA2224" t="s">
        <v>39</v>
      </c>
      <c r="AB2224" t="s">
        <v>40</v>
      </c>
      <c r="AC2224" t="s">
        <v>40</v>
      </c>
      <c r="AD2224" t="s">
        <v>387</v>
      </c>
    </row>
    <row r="2225" spans="2:30">
      <c r="B2225">
        <v>0</v>
      </c>
      <c r="C2225">
        <v>1020</v>
      </c>
      <c r="D2225" t="s">
        <v>693</v>
      </c>
      <c r="E2225">
        <v>10054759</v>
      </c>
      <c r="F2225" t="s">
        <v>2313</v>
      </c>
      <c r="G2225" t="s">
        <v>52</v>
      </c>
      <c r="H2225" t="s">
        <v>44</v>
      </c>
      <c r="I2225" t="s">
        <v>695</v>
      </c>
      <c r="J2225" t="s">
        <v>45</v>
      </c>
      <c r="K2225" t="s">
        <v>35</v>
      </c>
      <c r="L2225" t="s">
        <v>175</v>
      </c>
      <c r="M2225" t="s">
        <v>46</v>
      </c>
      <c r="N2225">
        <v>0</v>
      </c>
      <c r="O2225">
        <v>0</v>
      </c>
      <c r="P2225">
        <v>0</v>
      </c>
      <c r="Q2225">
        <v>500</v>
      </c>
      <c r="R2225">
        <v>0</v>
      </c>
      <c r="S2225" t="str">
        <f t="shared" si="170"/>
        <v>PZ: Alta Crit.</v>
      </c>
      <c r="T2225">
        <f t="shared" si="171"/>
        <v>0</v>
      </c>
      <c r="U2225">
        <f t="shared" si="172"/>
        <v>0</v>
      </c>
      <c r="V2225">
        <f t="shared" si="173"/>
        <v>0</v>
      </c>
      <c r="W2225">
        <f t="shared" si="174"/>
        <v>1</v>
      </c>
      <c r="X2225">
        <v>1</v>
      </c>
      <c r="Y2225" s="2">
        <v>45768</v>
      </c>
      <c r="Z2225" s="3" t="s">
        <v>47</v>
      </c>
      <c r="AA2225" t="s">
        <v>39</v>
      </c>
      <c r="AB2225" t="s">
        <v>40</v>
      </c>
      <c r="AC2225" t="s">
        <v>40</v>
      </c>
      <c r="AD2225" t="s">
        <v>696</v>
      </c>
    </row>
    <row r="2226" spans="2:30">
      <c r="B2226">
        <v>0</v>
      </c>
      <c r="C2226">
        <v>1020</v>
      </c>
      <c r="D2226" t="s">
        <v>693</v>
      </c>
      <c r="E2226">
        <v>10054781</v>
      </c>
      <c r="F2226" t="s">
        <v>2314</v>
      </c>
      <c r="G2226" t="s">
        <v>52</v>
      </c>
      <c r="H2226" t="s">
        <v>44</v>
      </c>
      <c r="I2226" t="s">
        <v>695</v>
      </c>
      <c r="J2226" t="s">
        <v>45</v>
      </c>
      <c r="K2226" t="s">
        <v>35</v>
      </c>
      <c r="L2226" t="s">
        <v>175</v>
      </c>
      <c r="M2226" t="s">
        <v>46</v>
      </c>
      <c r="N2226">
        <v>0</v>
      </c>
      <c r="O2226">
        <v>0</v>
      </c>
      <c r="P2226">
        <v>0</v>
      </c>
      <c r="Q2226">
        <v>400</v>
      </c>
      <c r="R2226">
        <v>0</v>
      </c>
      <c r="S2226" t="str">
        <f t="shared" si="170"/>
        <v>PZ: Alta Crit.</v>
      </c>
      <c r="T2226">
        <f t="shared" si="171"/>
        <v>0</v>
      </c>
      <c r="U2226">
        <f t="shared" si="172"/>
        <v>0</v>
      </c>
      <c r="V2226">
        <f t="shared" si="173"/>
        <v>0</v>
      </c>
      <c r="W2226">
        <f t="shared" si="174"/>
        <v>1</v>
      </c>
      <c r="X2226">
        <v>1</v>
      </c>
      <c r="Y2226" s="2">
        <v>45768</v>
      </c>
      <c r="Z2226" s="3" t="s">
        <v>47</v>
      </c>
      <c r="AA2226" t="s">
        <v>39</v>
      </c>
      <c r="AB2226" t="s">
        <v>40</v>
      </c>
      <c r="AC2226" t="s">
        <v>40</v>
      </c>
      <c r="AD2226" t="s">
        <v>696</v>
      </c>
    </row>
    <row r="2227" spans="2:30">
      <c r="B2227">
        <v>0</v>
      </c>
      <c r="C2227">
        <v>1020</v>
      </c>
      <c r="D2227" t="s">
        <v>384</v>
      </c>
      <c r="E2227">
        <v>10054824</v>
      </c>
      <c r="F2227" t="s">
        <v>2315</v>
      </c>
      <c r="G2227" t="s">
        <v>52</v>
      </c>
      <c r="H2227" t="s">
        <v>32</v>
      </c>
      <c r="I2227" t="s">
        <v>386</v>
      </c>
      <c r="J2227" t="s">
        <v>45</v>
      </c>
      <c r="K2227" t="s">
        <v>35</v>
      </c>
      <c r="L2227" t="s">
        <v>175</v>
      </c>
      <c r="M2227" t="s">
        <v>55</v>
      </c>
      <c r="N2227">
        <v>0</v>
      </c>
      <c r="O2227">
        <v>0</v>
      </c>
      <c r="P2227">
        <v>0</v>
      </c>
      <c r="Q2227">
        <v>2</v>
      </c>
      <c r="R2227">
        <v>0</v>
      </c>
      <c r="S2227" t="str">
        <f t="shared" si="170"/>
        <v>PZ: Alta Crit.</v>
      </c>
      <c r="T2227">
        <f t="shared" si="171"/>
        <v>0</v>
      </c>
      <c r="U2227">
        <f t="shared" si="172"/>
        <v>0</v>
      </c>
      <c r="V2227">
        <f t="shared" si="173"/>
        <v>0</v>
      </c>
      <c r="W2227">
        <f t="shared" si="174"/>
        <v>1</v>
      </c>
      <c r="X2227">
        <v>1</v>
      </c>
      <c r="Y2227" s="2">
        <v>45768</v>
      </c>
      <c r="Z2227" s="3" t="s">
        <v>56</v>
      </c>
      <c r="AA2227" t="s">
        <v>39</v>
      </c>
      <c r="AB2227" t="s">
        <v>40</v>
      </c>
      <c r="AC2227" t="s">
        <v>40</v>
      </c>
      <c r="AD2227" t="s">
        <v>387</v>
      </c>
    </row>
    <row r="2228" spans="2:30">
      <c r="B2228">
        <v>0</v>
      </c>
      <c r="C2228">
        <v>1020</v>
      </c>
      <c r="D2228" t="s">
        <v>384</v>
      </c>
      <c r="E2228">
        <v>10054829</v>
      </c>
      <c r="F2228" t="s">
        <v>2316</v>
      </c>
      <c r="G2228" t="s">
        <v>52</v>
      </c>
      <c r="H2228" t="s">
        <v>32</v>
      </c>
      <c r="I2228" t="s">
        <v>386</v>
      </c>
      <c r="J2228" t="s">
        <v>45</v>
      </c>
      <c r="K2228" t="s">
        <v>35</v>
      </c>
      <c r="L2228" t="s">
        <v>175</v>
      </c>
      <c r="M2228" t="s">
        <v>46</v>
      </c>
      <c r="N2228">
        <v>0</v>
      </c>
      <c r="O2228">
        <v>0</v>
      </c>
      <c r="P2228">
        <v>0</v>
      </c>
      <c r="Q2228">
        <v>10</v>
      </c>
      <c r="R2228">
        <v>0</v>
      </c>
      <c r="S2228" t="str">
        <f t="shared" si="170"/>
        <v>PZ: Alta Crit.</v>
      </c>
      <c r="T2228">
        <f t="shared" si="171"/>
        <v>0</v>
      </c>
      <c r="U2228">
        <f t="shared" si="172"/>
        <v>0</v>
      </c>
      <c r="V2228">
        <f t="shared" si="173"/>
        <v>0</v>
      </c>
      <c r="W2228">
        <f t="shared" si="174"/>
        <v>1</v>
      </c>
      <c r="X2228">
        <v>1</v>
      </c>
      <c r="Y2228" s="2">
        <v>45768</v>
      </c>
      <c r="Z2228" s="3" t="s">
        <v>47</v>
      </c>
      <c r="AA2228" t="s">
        <v>39</v>
      </c>
      <c r="AB2228" t="s">
        <v>40</v>
      </c>
      <c r="AC2228" t="s">
        <v>40</v>
      </c>
      <c r="AD2228" t="s">
        <v>387</v>
      </c>
    </row>
    <row r="2229" spans="2:30">
      <c r="B2229">
        <v>0</v>
      </c>
      <c r="C2229">
        <v>1020</v>
      </c>
      <c r="D2229" t="s">
        <v>384</v>
      </c>
      <c r="E2229">
        <v>10054850</v>
      </c>
      <c r="F2229" t="s">
        <v>2317</v>
      </c>
      <c r="G2229" t="s">
        <v>52</v>
      </c>
      <c r="H2229" t="s">
        <v>32</v>
      </c>
      <c r="I2229" t="s">
        <v>386</v>
      </c>
      <c r="J2229" t="s">
        <v>45</v>
      </c>
      <c r="K2229" t="s">
        <v>35</v>
      </c>
      <c r="L2229" t="s">
        <v>175</v>
      </c>
      <c r="M2229" t="s">
        <v>69</v>
      </c>
      <c r="N2229">
        <v>0</v>
      </c>
      <c r="O2229">
        <v>0</v>
      </c>
      <c r="P2229">
        <v>1</v>
      </c>
      <c r="Q2229">
        <v>1</v>
      </c>
      <c r="R2229">
        <v>0</v>
      </c>
      <c r="S2229" t="str">
        <f t="shared" si="170"/>
        <v>PZ: Alta Crit.</v>
      </c>
      <c r="T2229">
        <f t="shared" si="171"/>
        <v>0</v>
      </c>
      <c r="U2229">
        <f t="shared" si="172"/>
        <v>1</v>
      </c>
      <c r="V2229">
        <f t="shared" si="173"/>
        <v>0</v>
      </c>
      <c r="W2229">
        <f t="shared" si="174"/>
        <v>1</v>
      </c>
      <c r="X2229">
        <v>1</v>
      </c>
      <c r="Y2229" s="2">
        <v>45768</v>
      </c>
      <c r="Z2229" s="3" t="s">
        <v>70</v>
      </c>
      <c r="AA2229" t="s">
        <v>39</v>
      </c>
      <c r="AB2229" t="s">
        <v>40</v>
      </c>
      <c r="AC2229" t="s">
        <v>40</v>
      </c>
      <c r="AD2229" t="s">
        <v>387</v>
      </c>
    </row>
    <row r="2230" spans="2:30">
      <c r="B2230">
        <v>0</v>
      </c>
      <c r="C2230">
        <v>1020</v>
      </c>
      <c r="D2230" t="s">
        <v>388</v>
      </c>
      <c r="E2230">
        <v>10054862</v>
      </c>
      <c r="F2230" t="s">
        <v>2318</v>
      </c>
      <c r="G2230" t="s">
        <v>52</v>
      </c>
      <c r="H2230" t="s">
        <v>32</v>
      </c>
      <c r="I2230" t="s">
        <v>390</v>
      </c>
      <c r="J2230" t="s">
        <v>45</v>
      </c>
      <c r="K2230" t="s">
        <v>35</v>
      </c>
      <c r="L2230" t="s">
        <v>175</v>
      </c>
      <c r="M2230" t="s">
        <v>69</v>
      </c>
      <c r="N2230">
        <v>0</v>
      </c>
      <c r="O2230">
        <v>0</v>
      </c>
      <c r="P2230">
        <v>1</v>
      </c>
      <c r="Q2230">
        <v>1</v>
      </c>
      <c r="R2230">
        <v>0</v>
      </c>
      <c r="S2230" t="str">
        <f t="shared" si="170"/>
        <v>PZ: Alta Crit.</v>
      </c>
      <c r="T2230">
        <f t="shared" si="171"/>
        <v>0</v>
      </c>
      <c r="U2230">
        <f t="shared" si="172"/>
        <v>1</v>
      </c>
      <c r="V2230">
        <f t="shared" si="173"/>
        <v>0</v>
      </c>
      <c r="W2230">
        <f t="shared" si="174"/>
        <v>1</v>
      </c>
      <c r="X2230">
        <v>1</v>
      </c>
      <c r="Y2230" s="2">
        <v>45768</v>
      </c>
      <c r="Z2230" s="3" t="s">
        <v>70</v>
      </c>
      <c r="AA2230" t="s">
        <v>39</v>
      </c>
      <c r="AB2230" t="s">
        <v>40</v>
      </c>
      <c r="AC2230" t="s">
        <v>40</v>
      </c>
      <c r="AD2230" t="s">
        <v>391</v>
      </c>
    </row>
    <row r="2231" spans="2:30">
      <c r="B2231">
        <v>0</v>
      </c>
      <c r="C2231">
        <v>1020</v>
      </c>
      <c r="D2231" t="s">
        <v>388</v>
      </c>
      <c r="E2231">
        <v>10054871</v>
      </c>
      <c r="F2231" t="s">
        <v>2319</v>
      </c>
      <c r="G2231" t="s">
        <v>43</v>
      </c>
      <c r="H2231" t="s">
        <v>32</v>
      </c>
      <c r="I2231" t="s">
        <v>390</v>
      </c>
      <c r="J2231" t="s">
        <v>45</v>
      </c>
      <c r="K2231" t="s">
        <v>35</v>
      </c>
      <c r="L2231" t="s">
        <v>175</v>
      </c>
      <c r="M2231" t="s">
        <v>69</v>
      </c>
      <c r="N2231">
        <v>0</v>
      </c>
      <c r="O2231">
        <v>0</v>
      </c>
      <c r="P2231">
        <v>1</v>
      </c>
      <c r="Q2231">
        <v>1</v>
      </c>
      <c r="R2231">
        <v>0</v>
      </c>
      <c r="S2231" t="str">
        <f t="shared" si="170"/>
        <v>PY: Media Crit.</v>
      </c>
      <c r="T2231">
        <f t="shared" si="171"/>
        <v>0</v>
      </c>
      <c r="U2231">
        <f t="shared" si="172"/>
        <v>1</v>
      </c>
      <c r="V2231">
        <f t="shared" si="173"/>
        <v>0</v>
      </c>
      <c r="W2231">
        <f t="shared" si="174"/>
        <v>1</v>
      </c>
      <c r="X2231">
        <v>1</v>
      </c>
      <c r="Y2231" s="2">
        <v>45768</v>
      </c>
      <c r="Z2231" s="3" t="s">
        <v>70</v>
      </c>
      <c r="AA2231" t="s">
        <v>39</v>
      </c>
      <c r="AB2231" t="s">
        <v>40</v>
      </c>
      <c r="AC2231" t="s">
        <v>40</v>
      </c>
      <c r="AD2231" t="s">
        <v>391</v>
      </c>
    </row>
    <row r="2232" spans="2:30">
      <c r="B2232">
        <v>0</v>
      </c>
      <c r="C2232">
        <v>1020</v>
      </c>
      <c r="D2232" t="s">
        <v>388</v>
      </c>
      <c r="E2232">
        <v>10054874</v>
      </c>
      <c r="F2232" t="s">
        <v>2320</v>
      </c>
      <c r="G2232" t="s">
        <v>52</v>
      </c>
      <c r="H2232" t="s">
        <v>32</v>
      </c>
      <c r="I2232" t="s">
        <v>390</v>
      </c>
      <c r="J2232" t="s">
        <v>45</v>
      </c>
      <c r="K2232" t="s">
        <v>35</v>
      </c>
      <c r="L2232" t="s">
        <v>175</v>
      </c>
      <c r="M2232" t="s">
        <v>69</v>
      </c>
      <c r="N2232">
        <v>0</v>
      </c>
      <c r="O2232">
        <v>0</v>
      </c>
      <c r="P2232">
        <v>1</v>
      </c>
      <c r="Q2232">
        <v>1</v>
      </c>
      <c r="R2232">
        <v>0</v>
      </c>
      <c r="S2232" t="str">
        <f t="shared" si="170"/>
        <v>PZ: Alta Crit.</v>
      </c>
      <c r="T2232">
        <f t="shared" si="171"/>
        <v>0</v>
      </c>
      <c r="U2232">
        <f t="shared" si="172"/>
        <v>1</v>
      </c>
      <c r="V2232">
        <f t="shared" si="173"/>
        <v>0</v>
      </c>
      <c r="W2232">
        <f t="shared" si="174"/>
        <v>1</v>
      </c>
      <c r="X2232">
        <v>1</v>
      </c>
      <c r="Y2232" s="2">
        <v>45768</v>
      </c>
      <c r="Z2232" s="3" t="s">
        <v>70</v>
      </c>
      <c r="AA2232" t="s">
        <v>39</v>
      </c>
      <c r="AB2232" t="s">
        <v>40</v>
      </c>
      <c r="AC2232" t="s">
        <v>40</v>
      </c>
      <c r="AD2232" t="s">
        <v>391</v>
      </c>
    </row>
    <row r="2233" spans="2:30">
      <c r="B2233">
        <v>0</v>
      </c>
      <c r="C2233">
        <v>1020</v>
      </c>
      <c r="D2233" t="s">
        <v>388</v>
      </c>
      <c r="E2233">
        <v>10054875</v>
      </c>
      <c r="F2233" t="s">
        <v>2321</v>
      </c>
      <c r="G2233" t="s">
        <v>52</v>
      </c>
      <c r="H2233" t="s">
        <v>32</v>
      </c>
      <c r="I2233" t="s">
        <v>390</v>
      </c>
      <c r="J2233" t="s">
        <v>45</v>
      </c>
      <c r="K2233" t="s">
        <v>35</v>
      </c>
      <c r="L2233" t="s">
        <v>175</v>
      </c>
      <c r="M2233" t="s">
        <v>69</v>
      </c>
      <c r="N2233">
        <v>0</v>
      </c>
      <c r="O2233">
        <v>0</v>
      </c>
      <c r="P2233">
        <v>1</v>
      </c>
      <c r="Q2233">
        <v>1</v>
      </c>
      <c r="R2233">
        <v>0</v>
      </c>
      <c r="S2233" t="str">
        <f t="shared" si="170"/>
        <v>PZ: Alta Crit.</v>
      </c>
      <c r="T2233">
        <f t="shared" si="171"/>
        <v>0</v>
      </c>
      <c r="U2233">
        <f t="shared" si="172"/>
        <v>1</v>
      </c>
      <c r="V2233">
        <f t="shared" si="173"/>
        <v>0</v>
      </c>
      <c r="W2233">
        <f t="shared" si="174"/>
        <v>1</v>
      </c>
      <c r="X2233">
        <v>1</v>
      </c>
      <c r="Y2233" s="2">
        <v>45768</v>
      </c>
      <c r="Z2233" s="3" t="s">
        <v>70</v>
      </c>
      <c r="AA2233" t="s">
        <v>39</v>
      </c>
      <c r="AB2233" t="s">
        <v>40</v>
      </c>
      <c r="AC2233" t="s">
        <v>40</v>
      </c>
      <c r="AD2233" t="s">
        <v>391</v>
      </c>
    </row>
    <row r="2234" spans="2:30">
      <c r="B2234">
        <v>0</v>
      </c>
      <c r="C2234">
        <v>1020</v>
      </c>
      <c r="D2234" t="s">
        <v>693</v>
      </c>
      <c r="E2234">
        <v>10054971</v>
      </c>
      <c r="F2234" t="s">
        <v>2322</v>
      </c>
      <c r="G2234" t="s">
        <v>43</v>
      </c>
      <c r="H2234" t="s">
        <v>44</v>
      </c>
      <c r="I2234" t="s">
        <v>695</v>
      </c>
      <c r="J2234" t="s">
        <v>45</v>
      </c>
      <c r="K2234" t="s">
        <v>35</v>
      </c>
      <c r="L2234" t="s">
        <v>175</v>
      </c>
      <c r="M2234" t="s">
        <v>117</v>
      </c>
      <c r="N2234">
        <v>0</v>
      </c>
      <c r="O2234">
        <v>0</v>
      </c>
      <c r="P2234">
        <v>0</v>
      </c>
      <c r="Q2234">
        <v>9</v>
      </c>
      <c r="R2234">
        <v>0</v>
      </c>
      <c r="S2234" t="str">
        <f t="shared" si="170"/>
        <v>PY: Media Crit.</v>
      </c>
      <c r="T2234">
        <f t="shared" si="171"/>
        <v>0</v>
      </c>
      <c r="U2234">
        <f t="shared" si="172"/>
        <v>0</v>
      </c>
      <c r="V2234">
        <f t="shared" si="173"/>
        <v>0</v>
      </c>
      <c r="W2234">
        <f t="shared" si="174"/>
        <v>1</v>
      </c>
      <c r="X2234">
        <v>1</v>
      </c>
      <c r="Y2234" s="2">
        <v>45768</v>
      </c>
      <c r="Z2234" s="3" t="s">
        <v>118</v>
      </c>
      <c r="AA2234" t="s">
        <v>39</v>
      </c>
      <c r="AB2234" t="s">
        <v>40</v>
      </c>
      <c r="AC2234" t="s">
        <v>40</v>
      </c>
      <c r="AD2234" t="s">
        <v>696</v>
      </c>
    </row>
    <row r="2235" spans="2:30">
      <c r="B2235">
        <v>0</v>
      </c>
      <c r="C2235">
        <v>1020</v>
      </c>
      <c r="D2235" t="s">
        <v>388</v>
      </c>
      <c r="E2235">
        <v>10055000</v>
      </c>
      <c r="F2235" t="s">
        <v>2323</v>
      </c>
      <c r="G2235" t="s">
        <v>52</v>
      </c>
      <c r="H2235" t="s">
        <v>32</v>
      </c>
      <c r="I2235" t="s">
        <v>390</v>
      </c>
      <c r="J2235" t="s">
        <v>45</v>
      </c>
      <c r="K2235" t="s">
        <v>35</v>
      </c>
      <c r="L2235" t="s">
        <v>175</v>
      </c>
      <c r="M2235" t="s">
        <v>69</v>
      </c>
      <c r="N2235">
        <v>0</v>
      </c>
      <c r="O2235">
        <v>0</v>
      </c>
      <c r="P2235">
        <v>2</v>
      </c>
      <c r="Q2235">
        <v>2</v>
      </c>
      <c r="R2235">
        <v>0</v>
      </c>
      <c r="S2235" t="str">
        <f t="shared" si="170"/>
        <v>PZ: Alta Crit.</v>
      </c>
      <c r="T2235">
        <f t="shared" si="171"/>
        <v>0</v>
      </c>
      <c r="U2235">
        <f t="shared" si="172"/>
        <v>1</v>
      </c>
      <c r="V2235">
        <f t="shared" si="173"/>
        <v>0</v>
      </c>
      <c r="W2235">
        <f t="shared" si="174"/>
        <v>1</v>
      </c>
      <c r="X2235">
        <v>1</v>
      </c>
      <c r="Y2235" s="2">
        <v>45768</v>
      </c>
      <c r="Z2235" s="3" t="s">
        <v>70</v>
      </c>
      <c r="AA2235" t="s">
        <v>39</v>
      </c>
      <c r="AB2235" t="s">
        <v>40</v>
      </c>
      <c r="AC2235" t="s">
        <v>40</v>
      </c>
      <c r="AD2235" t="s">
        <v>391</v>
      </c>
    </row>
    <row r="2236" spans="2:30">
      <c r="B2236">
        <v>0</v>
      </c>
      <c r="C2236">
        <v>1020</v>
      </c>
      <c r="D2236" t="s">
        <v>388</v>
      </c>
      <c r="E2236">
        <v>10055019</v>
      </c>
      <c r="F2236" t="s">
        <v>2324</v>
      </c>
      <c r="G2236" t="s">
        <v>43</v>
      </c>
      <c r="H2236" t="s">
        <v>44</v>
      </c>
      <c r="I2236" t="s">
        <v>390</v>
      </c>
      <c r="J2236" t="s">
        <v>45</v>
      </c>
      <c r="K2236" t="s">
        <v>260</v>
      </c>
      <c r="L2236" t="s">
        <v>175</v>
      </c>
      <c r="M2236" t="s">
        <v>37</v>
      </c>
      <c r="N2236">
        <v>0</v>
      </c>
      <c r="O2236">
        <v>0</v>
      </c>
      <c r="P2236">
        <v>1</v>
      </c>
      <c r="Q2236">
        <v>0</v>
      </c>
      <c r="R2236">
        <v>0</v>
      </c>
      <c r="S2236" t="str">
        <f t="shared" si="170"/>
        <v>PY: Media Crit.</v>
      </c>
      <c r="T2236">
        <f t="shared" si="171"/>
        <v>1</v>
      </c>
      <c r="U2236">
        <f t="shared" si="172"/>
        <v>0</v>
      </c>
      <c r="V2236">
        <f t="shared" si="173"/>
        <v>0</v>
      </c>
      <c r="W2236">
        <f t="shared" si="174"/>
        <v>0</v>
      </c>
      <c r="X2236">
        <v>1</v>
      </c>
      <c r="Y2236" s="2">
        <v>45768</v>
      </c>
      <c r="Z2236" s="3" t="s">
        <v>38</v>
      </c>
      <c r="AA2236" t="s">
        <v>39</v>
      </c>
      <c r="AB2236" t="s">
        <v>49</v>
      </c>
      <c r="AC2236" s="5" t="s">
        <v>50</v>
      </c>
      <c r="AD2236" t="s">
        <v>391</v>
      </c>
    </row>
    <row r="2237" spans="2:30">
      <c r="B2237">
        <v>0</v>
      </c>
      <c r="C2237">
        <v>1020</v>
      </c>
      <c r="D2237" t="s">
        <v>388</v>
      </c>
      <c r="E2237">
        <v>10055032</v>
      </c>
      <c r="F2237" t="s">
        <v>2129</v>
      </c>
      <c r="G2237" t="s">
        <v>52</v>
      </c>
      <c r="H2237" t="s">
        <v>32</v>
      </c>
      <c r="I2237" t="s">
        <v>390</v>
      </c>
      <c r="J2237" t="s">
        <v>45</v>
      </c>
      <c r="K2237" t="s">
        <v>35</v>
      </c>
      <c r="L2237" t="s">
        <v>175</v>
      </c>
      <c r="M2237" t="s">
        <v>69</v>
      </c>
      <c r="N2237">
        <v>0</v>
      </c>
      <c r="O2237">
        <v>0</v>
      </c>
      <c r="P2237">
        <v>5</v>
      </c>
      <c r="Q2237">
        <v>5</v>
      </c>
      <c r="R2237">
        <v>0</v>
      </c>
      <c r="S2237" t="str">
        <f t="shared" si="170"/>
        <v>PZ: Alta Crit.</v>
      </c>
      <c r="T2237">
        <f t="shared" si="171"/>
        <v>0</v>
      </c>
      <c r="U2237">
        <f t="shared" si="172"/>
        <v>1</v>
      </c>
      <c r="V2237">
        <f t="shared" si="173"/>
        <v>0</v>
      </c>
      <c r="W2237">
        <f t="shared" si="174"/>
        <v>1</v>
      </c>
      <c r="X2237">
        <v>1</v>
      </c>
      <c r="Y2237" s="2">
        <v>45768</v>
      </c>
      <c r="Z2237" s="3" t="s">
        <v>70</v>
      </c>
      <c r="AA2237" t="s">
        <v>39</v>
      </c>
      <c r="AB2237" t="s">
        <v>40</v>
      </c>
      <c r="AC2237" t="s">
        <v>40</v>
      </c>
      <c r="AD2237" t="s">
        <v>391</v>
      </c>
    </row>
    <row r="2238" spans="2:30">
      <c r="B2238">
        <v>0</v>
      </c>
      <c r="C2238">
        <v>1020</v>
      </c>
      <c r="D2238" t="s">
        <v>693</v>
      </c>
      <c r="E2238">
        <v>10055097</v>
      </c>
      <c r="F2238" t="s">
        <v>2325</v>
      </c>
      <c r="G2238" t="s">
        <v>52</v>
      </c>
      <c r="H2238" t="s">
        <v>32</v>
      </c>
      <c r="I2238" t="s">
        <v>695</v>
      </c>
      <c r="J2238" t="s">
        <v>45</v>
      </c>
      <c r="K2238" t="s">
        <v>35</v>
      </c>
      <c r="L2238" t="s">
        <v>175</v>
      </c>
      <c r="M2238" t="s">
        <v>117</v>
      </c>
      <c r="N2238">
        <v>0</v>
      </c>
      <c r="O2238">
        <v>0</v>
      </c>
      <c r="P2238">
        <v>0</v>
      </c>
      <c r="Q2238">
        <v>6</v>
      </c>
      <c r="R2238">
        <v>0</v>
      </c>
      <c r="S2238" t="str">
        <f t="shared" si="170"/>
        <v>PZ: Alta Crit.</v>
      </c>
      <c r="T2238">
        <f t="shared" si="171"/>
        <v>0</v>
      </c>
      <c r="U2238">
        <f t="shared" si="172"/>
        <v>0</v>
      </c>
      <c r="V2238">
        <f t="shared" si="173"/>
        <v>0</v>
      </c>
      <c r="W2238">
        <f t="shared" si="174"/>
        <v>1</v>
      </c>
      <c r="X2238">
        <v>1</v>
      </c>
      <c r="Y2238" s="2">
        <v>45768</v>
      </c>
      <c r="Z2238" s="3" t="s">
        <v>118</v>
      </c>
      <c r="AA2238" t="s">
        <v>39</v>
      </c>
      <c r="AB2238" t="s">
        <v>40</v>
      </c>
      <c r="AC2238" t="s">
        <v>40</v>
      </c>
      <c r="AD2238" t="s">
        <v>696</v>
      </c>
    </row>
    <row r="2239" spans="2:30">
      <c r="B2239">
        <v>0</v>
      </c>
      <c r="C2239">
        <v>1020</v>
      </c>
      <c r="D2239" t="s">
        <v>693</v>
      </c>
      <c r="E2239">
        <v>10055123</v>
      </c>
      <c r="F2239" t="s">
        <v>2326</v>
      </c>
      <c r="G2239" t="s">
        <v>52</v>
      </c>
      <c r="H2239" t="s">
        <v>32</v>
      </c>
      <c r="I2239" t="s">
        <v>695</v>
      </c>
      <c r="J2239" t="s">
        <v>45</v>
      </c>
      <c r="K2239" t="s">
        <v>35</v>
      </c>
      <c r="L2239" t="s">
        <v>175</v>
      </c>
      <c r="M2239" t="s">
        <v>117</v>
      </c>
      <c r="N2239">
        <v>0</v>
      </c>
      <c r="O2239">
        <v>0</v>
      </c>
      <c r="P2239">
        <v>0</v>
      </c>
      <c r="Q2239">
        <v>10</v>
      </c>
      <c r="R2239">
        <v>0</v>
      </c>
      <c r="S2239" t="str">
        <f t="shared" si="170"/>
        <v>PZ: Alta Crit.</v>
      </c>
      <c r="T2239">
        <f t="shared" si="171"/>
        <v>0</v>
      </c>
      <c r="U2239">
        <f t="shared" si="172"/>
        <v>0</v>
      </c>
      <c r="V2239">
        <f t="shared" si="173"/>
        <v>0</v>
      </c>
      <c r="W2239">
        <f t="shared" si="174"/>
        <v>1</v>
      </c>
      <c r="X2239">
        <v>1</v>
      </c>
      <c r="Y2239" s="2">
        <v>45768</v>
      </c>
      <c r="Z2239" s="3" t="s">
        <v>118</v>
      </c>
      <c r="AA2239" t="s">
        <v>39</v>
      </c>
      <c r="AB2239" t="s">
        <v>40</v>
      </c>
      <c r="AC2239" t="s">
        <v>40</v>
      </c>
      <c r="AD2239" t="s">
        <v>696</v>
      </c>
    </row>
    <row r="2240" spans="2:30">
      <c r="B2240">
        <v>0</v>
      </c>
      <c r="C2240">
        <v>1020</v>
      </c>
      <c r="D2240" t="s">
        <v>693</v>
      </c>
      <c r="E2240">
        <v>10055124</v>
      </c>
      <c r="F2240" t="s">
        <v>2327</v>
      </c>
      <c r="G2240" t="s">
        <v>52</v>
      </c>
      <c r="H2240" t="s">
        <v>32</v>
      </c>
      <c r="I2240" t="s">
        <v>695</v>
      </c>
      <c r="J2240" t="s">
        <v>45</v>
      </c>
      <c r="K2240" t="s">
        <v>35</v>
      </c>
      <c r="L2240" t="s">
        <v>175</v>
      </c>
      <c r="M2240" t="s">
        <v>117</v>
      </c>
      <c r="N2240">
        <v>0</v>
      </c>
      <c r="O2240">
        <v>0</v>
      </c>
      <c r="P2240">
        <v>0</v>
      </c>
      <c r="Q2240">
        <v>4</v>
      </c>
      <c r="R2240">
        <v>0</v>
      </c>
      <c r="S2240" t="str">
        <f t="shared" si="170"/>
        <v>PZ: Alta Crit.</v>
      </c>
      <c r="T2240">
        <f t="shared" si="171"/>
        <v>0</v>
      </c>
      <c r="U2240">
        <f t="shared" si="172"/>
        <v>0</v>
      </c>
      <c r="V2240">
        <f t="shared" si="173"/>
        <v>0</v>
      </c>
      <c r="W2240">
        <f t="shared" si="174"/>
        <v>1</v>
      </c>
      <c r="X2240">
        <v>1</v>
      </c>
      <c r="Y2240" s="2">
        <v>45768</v>
      </c>
      <c r="Z2240" s="3" t="s">
        <v>118</v>
      </c>
      <c r="AA2240" t="s">
        <v>39</v>
      </c>
      <c r="AB2240" t="s">
        <v>40</v>
      </c>
      <c r="AC2240" t="s">
        <v>40</v>
      </c>
      <c r="AD2240" t="s">
        <v>696</v>
      </c>
    </row>
    <row r="2241" spans="2:30">
      <c r="B2241">
        <v>0</v>
      </c>
      <c r="C2241">
        <v>1020</v>
      </c>
      <c r="D2241" t="s">
        <v>693</v>
      </c>
      <c r="E2241">
        <v>10055134</v>
      </c>
      <c r="F2241" t="s">
        <v>2328</v>
      </c>
      <c r="G2241" t="s">
        <v>52</v>
      </c>
      <c r="H2241" t="s">
        <v>60</v>
      </c>
      <c r="I2241" t="s">
        <v>695</v>
      </c>
      <c r="J2241" t="s">
        <v>45</v>
      </c>
      <c r="K2241" t="s">
        <v>35</v>
      </c>
      <c r="L2241" t="s">
        <v>175</v>
      </c>
      <c r="M2241" t="s">
        <v>117</v>
      </c>
      <c r="N2241">
        <v>0</v>
      </c>
      <c r="O2241">
        <v>0</v>
      </c>
      <c r="P2241">
        <v>0</v>
      </c>
      <c r="Q2241">
        <v>12</v>
      </c>
      <c r="R2241">
        <v>0</v>
      </c>
      <c r="S2241" t="str">
        <f t="shared" si="170"/>
        <v>PZ: Alta Crit.</v>
      </c>
      <c r="T2241">
        <f t="shared" si="171"/>
        <v>0</v>
      </c>
      <c r="U2241">
        <f t="shared" si="172"/>
        <v>0</v>
      </c>
      <c r="V2241">
        <f t="shared" si="173"/>
        <v>0</v>
      </c>
      <c r="W2241">
        <f t="shared" si="174"/>
        <v>1</v>
      </c>
      <c r="X2241">
        <v>1</v>
      </c>
      <c r="Y2241" s="2">
        <v>45768</v>
      </c>
      <c r="Z2241" s="3" t="s">
        <v>118</v>
      </c>
      <c r="AA2241" t="s">
        <v>39</v>
      </c>
      <c r="AB2241" t="s">
        <v>40</v>
      </c>
      <c r="AC2241" t="s">
        <v>40</v>
      </c>
      <c r="AD2241" t="s">
        <v>696</v>
      </c>
    </row>
    <row r="2242" spans="2:30">
      <c r="B2242">
        <v>0</v>
      </c>
      <c r="C2242">
        <v>1020</v>
      </c>
      <c r="D2242" t="s">
        <v>384</v>
      </c>
      <c r="E2242">
        <v>10055137</v>
      </c>
      <c r="F2242" t="s">
        <v>2329</v>
      </c>
      <c r="G2242" t="s">
        <v>31</v>
      </c>
      <c r="H2242" t="s">
        <v>32</v>
      </c>
      <c r="I2242" t="s">
        <v>386</v>
      </c>
      <c r="J2242" t="s">
        <v>45</v>
      </c>
      <c r="K2242" t="s">
        <v>35</v>
      </c>
      <c r="L2242" t="s">
        <v>175</v>
      </c>
      <c r="M2242" t="s">
        <v>117</v>
      </c>
      <c r="N2242">
        <v>0</v>
      </c>
      <c r="O2242">
        <v>0</v>
      </c>
      <c r="P2242">
        <v>0</v>
      </c>
      <c r="Q2242">
        <v>14</v>
      </c>
      <c r="R2242">
        <v>0</v>
      </c>
      <c r="S2242" t="str">
        <f t="shared" ref="S2242:S2305" si="175">+IF(G2242="PZ", "PZ: Alta Crit.",IF(G2242="PY","PY: Media Crit.", "PX: Baja Crit."))</f>
        <v>PX: Baja Crit.</v>
      </c>
      <c r="T2242">
        <f t="shared" ref="T2242:T2305" si="176">+IF(Q2242=0,1,0)</f>
        <v>0</v>
      </c>
      <c r="U2242">
        <f t="shared" ref="U2242:U2305" si="177">+IF(AND(Q2242&lt;=P2242,Q2242&gt;0),1,0)</f>
        <v>0</v>
      </c>
      <c r="V2242">
        <f t="shared" ref="V2242:V2305" si="178">+IF(AND(Q2242&gt;P2242,Q2242&lt;=N2242),1,0)</f>
        <v>0</v>
      </c>
      <c r="W2242">
        <f t="shared" ref="W2242:W2305" si="179">+IF(Q2242&gt;N2242,1,0)</f>
        <v>1</v>
      </c>
      <c r="X2242">
        <v>1</v>
      </c>
      <c r="Y2242" s="2">
        <v>45768</v>
      </c>
      <c r="Z2242" s="3" t="s">
        <v>118</v>
      </c>
      <c r="AA2242" t="s">
        <v>39</v>
      </c>
      <c r="AB2242" t="s">
        <v>40</v>
      </c>
      <c r="AC2242" t="s">
        <v>40</v>
      </c>
      <c r="AD2242" t="s">
        <v>387</v>
      </c>
    </row>
    <row r="2243" spans="2:30">
      <c r="B2243">
        <v>0</v>
      </c>
      <c r="C2243">
        <v>1020</v>
      </c>
      <c r="D2243" t="s">
        <v>388</v>
      </c>
      <c r="E2243">
        <v>10055173</v>
      </c>
      <c r="F2243" t="s">
        <v>2330</v>
      </c>
      <c r="G2243" t="s">
        <v>52</v>
      </c>
      <c r="H2243" t="s">
        <v>32</v>
      </c>
      <c r="I2243" t="s">
        <v>390</v>
      </c>
      <c r="J2243" t="s">
        <v>45</v>
      </c>
      <c r="K2243" t="s">
        <v>35</v>
      </c>
      <c r="L2243" t="s">
        <v>175</v>
      </c>
      <c r="M2243" t="s">
        <v>69</v>
      </c>
      <c r="N2243">
        <v>0</v>
      </c>
      <c r="O2243">
        <v>0</v>
      </c>
      <c r="P2243">
        <v>500</v>
      </c>
      <c r="Q2243">
        <v>500</v>
      </c>
      <c r="R2243">
        <v>0</v>
      </c>
      <c r="S2243" t="str">
        <f t="shared" si="175"/>
        <v>PZ: Alta Crit.</v>
      </c>
      <c r="T2243">
        <f t="shared" si="176"/>
        <v>0</v>
      </c>
      <c r="U2243">
        <f t="shared" si="177"/>
        <v>1</v>
      </c>
      <c r="V2243">
        <f t="shared" si="178"/>
        <v>0</v>
      </c>
      <c r="W2243">
        <f t="shared" si="179"/>
        <v>1</v>
      </c>
      <c r="X2243">
        <v>1</v>
      </c>
      <c r="Y2243" s="2">
        <v>45768</v>
      </c>
      <c r="Z2243" s="3" t="s">
        <v>70</v>
      </c>
      <c r="AA2243" t="s">
        <v>39</v>
      </c>
      <c r="AB2243" t="s">
        <v>40</v>
      </c>
      <c r="AC2243" t="s">
        <v>40</v>
      </c>
      <c r="AD2243" t="s">
        <v>391</v>
      </c>
    </row>
    <row r="2244" spans="2:30">
      <c r="B2244">
        <v>0</v>
      </c>
      <c r="C2244">
        <v>1020</v>
      </c>
      <c r="D2244" t="s">
        <v>693</v>
      </c>
      <c r="E2244">
        <v>10055175</v>
      </c>
      <c r="F2244" t="s">
        <v>2331</v>
      </c>
      <c r="G2244" t="s">
        <v>52</v>
      </c>
      <c r="H2244" t="s">
        <v>32</v>
      </c>
      <c r="I2244" t="s">
        <v>695</v>
      </c>
      <c r="J2244" t="s">
        <v>45</v>
      </c>
      <c r="K2244" t="s">
        <v>35</v>
      </c>
      <c r="L2244" t="s">
        <v>175</v>
      </c>
      <c r="M2244" t="s">
        <v>69</v>
      </c>
      <c r="N2244">
        <v>0</v>
      </c>
      <c r="O2244">
        <v>0</v>
      </c>
      <c r="P2244">
        <v>0</v>
      </c>
      <c r="Q2244">
        <v>21</v>
      </c>
      <c r="R2244">
        <v>0</v>
      </c>
      <c r="S2244" t="str">
        <f t="shared" si="175"/>
        <v>PZ: Alta Crit.</v>
      </c>
      <c r="T2244">
        <f t="shared" si="176"/>
        <v>0</v>
      </c>
      <c r="U2244">
        <f t="shared" si="177"/>
        <v>0</v>
      </c>
      <c r="V2244">
        <f t="shared" si="178"/>
        <v>0</v>
      </c>
      <c r="W2244">
        <f t="shared" si="179"/>
        <v>1</v>
      </c>
      <c r="X2244">
        <v>1</v>
      </c>
      <c r="Y2244" s="2">
        <v>45768</v>
      </c>
      <c r="Z2244" s="3" t="s">
        <v>70</v>
      </c>
      <c r="AA2244" t="s">
        <v>39</v>
      </c>
      <c r="AB2244" t="s">
        <v>40</v>
      </c>
      <c r="AC2244" t="s">
        <v>40</v>
      </c>
      <c r="AD2244" t="s">
        <v>696</v>
      </c>
    </row>
    <row r="2245" spans="2:30">
      <c r="B2245">
        <v>0</v>
      </c>
      <c r="C2245">
        <v>1020</v>
      </c>
      <c r="D2245" t="s">
        <v>384</v>
      </c>
      <c r="E2245">
        <v>10055181</v>
      </c>
      <c r="F2245" t="s">
        <v>2332</v>
      </c>
      <c r="G2245" t="s">
        <v>31</v>
      </c>
      <c r="H2245" t="s">
        <v>32</v>
      </c>
      <c r="I2245" t="s">
        <v>386</v>
      </c>
      <c r="J2245" t="s">
        <v>45</v>
      </c>
      <c r="K2245" t="s">
        <v>35</v>
      </c>
      <c r="L2245" t="s">
        <v>175</v>
      </c>
      <c r="M2245" t="s">
        <v>117</v>
      </c>
      <c r="N2245">
        <v>0</v>
      </c>
      <c r="O2245">
        <v>0</v>
      </c>
      <c r="P2245">
        <v>0</v>
      </c>
      <c r="Q2245">
        <v>90</v>
      </c>
      <c r="R2245">
        <v>0</v>
      </c>
      <c r="S2245" t="str">
        <f t="shared" si="175"/>
        <v>PX: Baja Crit.</v>
      </c>
      <c r="T2245">
        <f t="shared" si="176"/>
        <v>0</v>
      </c>
      <c r="U2245">
        <f t="shared" si="177"/>
        <v>0</v>
      </c>
      <c r="V2245">
        <f t="shared" si="178"/>
        <v>0</v>
      </c>
      <c r="W2245">
        <f t="shared" si="179"/>
        <v>1</v>
      </c>
      <c r="X2245">
        <v>1</v>
      </c>
      <c r="Y2245" s="2">
        <v>45768</v>
      </c>
      <c r="Z2245" s="3" t="s">
        <v>118</v>
      </c>
      <c r="AA2245" t="s">
        <v>39</v>
      </c>
      <c r="AB2245" t="s">
        <v>40</v>
      </c>
      <c r="AC2245" t="s">
        <v>40</v>
      </c>
      <c r="AD2245" t="s">
        <v>387</v>
      </c>
    </row>
    <row r="2246" spans="2:30">
      <c r="B2246">
        <v>0</v>
      </c>
      <c r="C2246">
        <v>1020</v>
      </c>
      <c r="D2246" t="s">
        <v>388</v>
      </c>
      <c r="E2246">
        <v>10055190</v>
      </c>
      <c r="F2246" t="s">
        <v>2333</v>
      </c>
      <c r="G2246" t="s">
        <v>43</v>
      </c>
      <c r="H2246" t="s">
        <v>32</v>
      </c>
      <c r="I2246" t="s">
        <v>390</v>
      </c>
      <c r="J2246" t="s">
        <v>45</v>
      </c>
      <c r="K2246" t="s">
        <v>35</v>
      </c>
      <c r="L2246" t="s">
        <v>175</v>
      </c>
      <c r="M2246" t="s">
        <v>46</v>
      </c>
      <c r="N2246">
        <v>0</v>
      </c>
      <c r="O2246">
        <v>0</v>
      </c>
      <c r="P2246">
        <v>1</v>
      </c>
      <c r="Q2246">
        <v>1</v>
      </c>
      <c r="R2246">
        <v>0</v>
      </c>
      <c r="S2246" t="str">
        <f t="shared" si="175"/>
        <v>PY: Media Crit.</v>
      </c>
      <c r="T2246">
        <f t="shared" si="176"/>
        <v>0</v>
      </c>
      <c r="U2246">
        <f t="shared" si="177"/>
        <v>1</v>
      </c>
      <c r="V2246">
        <f t="shared" si="178"/>
        <v>0</v>
      </c>
      <c r="W2246">
        <f t="shared" si="179"/>
        <v>1</v>
      </c>
      <c r="X2246">
        <v>1</v>
      </c>
      <c r="Y2246" s="2">
        <v>45768</v>
      </c>
      <c r="Z2246" s="3" t="s">
        <v>47</v>
      </c>
      <c r="AA2246" t="s">
        <v>39</v>
      </c>
      <c r="AB2246" t="s">
        <v>40</v>
      </c>
      <c r="AC2246" t="s">
        <v>40</v>
      </c>
      <c r="AD2246" t="s">
        <v>391</v>
      </c>
    </row>
    <row r="2247" spans="2:30">
      <c r="B2247">
        <v>0</v>
      </c>
      <c r="C2247">
        <v>1020</v>
      </c>
      <c r="D2247" t="s">
        <v>693</v>
      </c>
      <c r="E2247">
        <v>10055217</v>
      </c>
      <c r="F2247" t="s">
        <v>2334</v>
      </c>
      <c r="G2247" t="s">
        <v>43</v>
      </c>
      <c r="H2247" t="s">
        <v>32</v>
      </c>
      <c r="I2247" t="s">
        <v>695</v>
      </c>
      <c r="J2247" t="s">
        <v>45</v>
      </c>
      <c r="K2247" t="s">
        <v>35</v>
      </c>
      <c r="L2247" t="s">
        <v>175</v>
      </c>
      <c r="M2247" t="s">
        <v>88</v>
      </c>
      <c r="N2247">
        <v>0</v>
      </c>
      <c r="O2247">
        <v>0</v>
      </c>
      <c r="P2247">
        <v>0</v>
      </c>
      <c r="Q2247">
        <v>1</v>
      </c>
      <c r="R2247">
        <v>0</v>
      </c>
      <c r="S2247" t="str">
        <f t="shared" si="175"/>
        <v>PY: Media Crit.</v>
      </c>
      <c r="T2247">
        <f t="shared" si="176"/>
        <v>0</v>
      </c>
      <c r="U2247">
        <f t="shared" si="177"/>
        <v>0</v>
      </c>
      <c r="V2247">
        <f t="shared" si="178"/>
        <v>0</v>
      </c>
      <c r="W2247">
        <f t="shared" si="179"/>
        <v>1</v>
      </c>
      <c r="X2247">
        <v>1</v>
      </c>
      <c r="Y2247" s="2">
        <v>45768</v>
      </c>
      <c r="Z2247" s="3" t="s">
        <v>89</v>
      </c>
      <c r="AA2247" t="s">
        <v>39</v>
      </c>
      <c r="AB2247" t="s">
        <v>40</v>
      </c>
      <c r="AC2247" t="s">
        <v>40</v>
      </c>
      <c r="AD2247" t="s">
        <v>696</v>
      </c>
    </row>
    <row r="2248" spans="2:30">
      <c r="B2248">
        <v>0</v>
      </c>
      <c r="C2248">
        <v>1020</v>
      </c>
      <c r="D2248" t="s">
        <v>693</v>
      </c>
      <c r="E2248">
        <v>10055229</v>
      </c>
      <c r="F2248" t="s">
        <v>2335</v>
      </c>
      <c r="G2248" t="s">
        <v>43</v>
      </c>
      <c r="H2248" t="s">
        <v>32</v>
      </c>
      <c r="I2248" t="s">
        <v>695</v>
      </c>
      <c r="J2248" t="s">
        <v>45</v>
      </c>
      <c r="K2248" t="s">
        <v>35</v>
      </c>
      <c r="L2248" t="s">
        <v>175</v>
      </c>
      <c r="M2248" t="s">
        <v>88</v>
      </c>
      <c r="N2248">
        <v>0</v>
      </c>
      <c r="O2248">
        <v>0</v>
      </c>
      <c r="P2248">
        <v>0</v>
      </c>
      <c r="Q2248">
        <v>13</v>
      </c>
      <c r="R2248">
        <v>0</v>
      </c>
      <c r="S2248" t="str">
        <f t="shared" si="175"/>
        <v>PY: Media Crit.</v>
      </c>
      <c r="T2248">
        <f t="shared" si="176"/>
        <v>0</v>
      </c>
      <c r="U2248">
        <f t="shared" si="177"/>
        <v>0</v>
      </c>
      <c r="V2248">
        <f t="shared" si="178"/>
        <v>0</v>
      </c>
      <c r="W2248">
        <f t="shared" si="179"/>
        <v>1</v>
      </c>
      <c r="X2248">
        <v>1</v>
      </c>
      <c r="Y2248" s="2">
        <v>45768</v>
      </c>
      <c r="Z2248" s="3" t="s">
        <v>89</v>
      </c>
      <c r="AA2248" t="s">
        <v>39</v>
      </c>
      <c r="AB2248" t="s">
        <v>40</v>
      </c>
      <c r="AC2248" t="s">
        <v>40</v>
      </c>
      <c r="AD2248" t="s">
        <v>696</v>
      </c>
    </row>
    <row r="2249" spans="2:30">
      <c r="B2249">
        <v>0</v>
      </c>
      <c r="C2249">
        <v>1020</v>
      </c>
      <c r="D2249" t="s">
        <v>388</v>
      </c>
      <c r="E2249">
        <v>10055234</v>
      </c>
      <c r="F2249" t="s">
        <v>2336</v>
      </c>
      <c r="G2249" t="s">
        <v>31</v>
      </c>
      <c r="H2249" t="s">
        <v>32</v>
      </c>
      <c r="I2249" t="s">
        <v>390</v>
      </c>
      <c r="J2249" t="s">
        <v>45</v>
      </c>
      <c r="K2249" t="s">
        <v>35</v>
      </c>
      <c r="L2249" t="s">
        <v>175</v>
      </c>
      <c r="M2249" t="s">
        <v>69</v>
      </c>
      <c r="N2249">
        <v>0</v>
      </c>
      <c r="O2249">
        <v>0</v>
      </c>
      <c r="P2249">
        <v>8</v>
      </c>
      <c r="Q2249">
        <v>8</v>
      </c>
      <c r="R2249" s="4">
        <v>1592.94</v>
      </c>
      <c r="S2249" t="str">
        <f t="shared" si="175"/>
        <v>PX: Baja Crit.</v>
      </c>
      <c r="T2249">
        <f t="shared" si="176"/>
        <v>0</v>
      </c>
      <c r="U2249">
        <f t="shared" si="177"/>
        <v>1</v>
      </c>
      <c r="V2249">
        <f t="shared" si="178"/>
        <v>0</v>
      </c>
      <c r="W2249">
        <f t="shared" si="179"/>
        <v>1</v>
      </c>
      <c r="X2249">
        <v>1</v>
      </c>
      <c r="Y2249" s="2">
        <v>45768</v>
      </c>
      <c r="Z2249" s="3" t="s">
        <v>70</v>
      </c>
      <c r="AA2249" t="s">
        <v>39</v>
      </c>
      <c r="AB2249" t="s">
        <v>40</v>
      </c>
      <c r="AC2249" t="s">
        <v>40</v>
      </c>
      <c r="AD2249" t="s">
        <v>391</v>
      </c>
    </row>
    <row r="2250" spans="2:30">
      <c r="B2250">
        <v>0</v>
      </c>
      <c r="C2250">
        <v>1020</v>
      </c>
      <c r="D2250" t="s">
        <v>388</v>
      </c>
      <c r="E2250">
        <v>10055235</v>
      </c>
      <c r="F2250" t="s">
        <v>2337</v>
      </c>
      <c r="G2250" t="s">
        <v>52</v>
      </c>
      <c r="H2250" t="s">
        <v>60</v>
      </c>
      <c r="I2250" t="s">
        <v>390</v>
      </c>
      <c r="J2250" t="s">
        <v>45</v>
      </c>
      <c r="K2250" t="s">
        <v>35</v>
      </c>
      <c r="L2250" t="s">
        <v>175</v>
      </c>
      <c r="M2250" t="s">
        <v>69</v>
      </c>
      <c r="N2250">
        <v>0</v>
      </c>
      <c r="O2250">
        <v>0</v>
      </c>
      <c r="P2250">
        <v>4</v>
      </c>
      <c r="Q2250">
        <v>4</v>
      </c>
      <c r="R2250" s="4">
        <v>13778.86</v>
      </c>
      <c r="S2250" t="str">
        <f t="shared" si="175"/>
        <v>PZ: Alta Crit.</v>
      </c>
      <c r="T2250">
        <f t="shared" si="176"/>
        <v>0</v>
      </c>
      <c r="U2250">
        <f t="shared" si="177"/>
        <v>1</v>
      </c>
      <c r="V2250">
        <f t="shared" si="178"/>
        <v>0</v>
      </c>
      <c r="W2250">
        <f t="shared" si="179"/>
        <v>1</v>
      </c>
      <c r="X2250">
        <v>1</v>
      </c>
      <c r="Y2250" s="2">
        <v>45768</v>
      </c>
      <c r="Z2250" s="3" t="s">
        <v>70</v>
      </c>
      <c r="AA2250" t="s">
        <v>39</v>
      </c>
      <c r="AB2250" t="s">
        <v>40</v>
      </c>
      <c r="AC2250" t="s">
        <v>40</v>
      </c>
      <c r="AD2250" t="s">
        <v>391</v>
      </c>
    </row>
    <row r="2251" spans="2:30">
      <c r="B2251">
        <v>0</v>
      </c>
      <c r="C2251">
        <v>1020</v>
      </c>
      <c r="D2251" t="s">
        <v>693</v>
      </c>
      <c r="E2251">
        <v>10055250</v>
      </c>
      <c r="F2251" t="s">
        <v>2338</v>
      </c>
      <c r="G2251" t="s">
        <v>43</v>
      </c>
      <c r="H2251" t="s">
        <v>60</v>
      </c>
      <c r="I2251" t="s">
        <v>695</v>
      </c>
      <c r="J2251" t="s">
        <v>45</v>
      </c>
      <c r="K2251" t="s">
        <v>35</v>
      </c>
      <c r="L2251" t="s">
        <v>175</v>
      </c>
      <c r="M2251" t="s">
        <v>46</v>
      </c>
      <c r="N2251">
        <v>0</v>
      </c>
      <c r="O2251">
        <v>0</v>
      </c>
      <c r="P2251">
        <v>0</v>
      </c>
      <c r="Q2251">
        <v>1</v>
      </c>
      <c r="R2251">
        <v>0</v>
      </c>
      <c r="S2251" t="str">
        <f t="shared" si="175"/>
        <v>PY: Media Crit.</v>
      </c>
      <c r="T2251">
        <f t="shared" si="176"/>
        <v>0</v>
      </c>
      <c r="U2251">
        <f t="shared" si="177"/>
        <v>0</v>
      </c>
      <c r="V2251">
        <f t="shared" si="178"/>
        <v>0</v>
      </c>
      <c r="W2251">
        <f t="shared" si="179"/>
        <v>1</v>
      </c>
      <c r="X2251">
        <v>1</v>
      </c>
      <c r="Y2251" s="2">
        <v>45768</v>
      </c>
      <c r="Z2251" s="3" t="s">
        <v>47</v>
      </c>
      <c r="AA2251" t="s">
        <v>39</v>
      </c>
      <c r="AB2251" t="s">
        <v>40</v>
      </c>
      <c r="AC2251" t="s">
        <v>40</v>
      </c>
      <c r="AD2251" t="s">
        <v>696</v>
      </c>
    </row>
    <row r="2252" spans="2:30">
      <c r="B2252">
        <v>0</v>
      </c>
      <c r="C2252">
        <v>1020</v>
      </c>
      <c r="D2252" t="s">
        <v>693</v>
      </c>
      <c r="E2252">
        <v>10055251</v>
      </c>
      <c r="F2252" t="s">
        <v>2339</v>
      </c>
      <c r="G2252" t="s">
        <v>43</v>
      </c>
      <c r="H2252" t="s">
        <v>60</v>
      </c>
      <c r="I2252" t="s">
        <v>695</v>
      </c>
      <c r="J2252" t="s">
        <v>45</v>
      </c>
      <c r="K2252" t="s">
        <v>35</v>
      </c>
      <c r="L2252" t="s">
        <v>175</v>
      </c>
      <c r="M2252" t="s">
        <v>46</v>
      </c>
      <c r="N2252">
        <v>0</v>
      </c>
      <c r="O2252">
        <v>0</v>
      </c>
      <c r="P2252">
        <v>0</v>
      </c>
      <c r="Q2252">
        <v>1</v>
      </c>
      <c r="R2252">
        <v>0</v>
      </c>
      <c r="S2252" t="str">
        <f t="shared" si="175"/>
        <v>PY: Media Crit.</v>
      </c>
      <c r="T2252">
        <f t="shared" si="176"/>
        <v>0</v>
      </c>
      <c r="U2252">
        <f t="shared" si="177"/>
        <v>0</v>
      </c>
      <c r="V2252">
        <f t="shared" si="178"/>
        <v>0</v>
      </c>
      <c r="W2252">
        <f t="shared" si="179"/>
        <v>1</v>
      </c>
      <c r="X2252">
        <v>1</v>
      </c>
      <c r="Y2252" s="2">
        <v>45768</v>
      </c>
      <c r="Z2252" s="3" t="s">
        <v>47</v>
      </c>
      <c r="AA2252" t="s">
        <v>39</v>
      </c>
      <c r="AB2252" t="s">
        <v>40</v>
      </c>
      <c r="AC2252" t="s">
        <v>40</v>
      </c>
      <c r="AD2252" t="s">
        <v>696</v>
      </c>
    </row>
    <row r="2253" spans="2:30">
      <c r="B2253">
        <v>0</v>
      </c>
      <c r="C2253">
        <v>1020</v>
      </c>
      <c r="D2253" t="s">
        <v>693</v>
      </c>
      <c r="E2253">
        <v>10055252</v>
      </c>
      <c r="F2253" t="s">
        <v>2340</v>
      </c>
      <c r="G2253" t="s">
        <v>43</v>
      </c>
      <c r="H2253" t="s">
        <v>60</v>
      </c>
      <c r="I2253" t="s">
        <v>695</v>
      </c>
      <c r="J2253" t="s">
        <v>45</v>
      </c>
      <c r="K2253" t="s">
        <v>35</v>
      </c>
      <c r="L2253" t="s">
        <v>175</v>
      </c>
      <c r="M2253" t="s">
        <v>46</v>
      </c>
      <c r="N2253">
        <v>0</v>
      </c>
      <c r="O2253">
        <v>0</v>
      </c>
      <c r="P2253">
        <v>0</v>
      </c>
      <c r="Q2253">
        <v>4</v>
      </c>
      <c r="R2253">
        <v>0</v>
      </c>
      <c r="S2253" t="str">
        <f t="shared" si="175"/>
        <v>PY: Media Crit.</v>
      </c>
      <c r="T2253">
        <f t="shared" si="176"/>
        <v>0</v>
      </c>
      <c r="U2253">
        <f t="shared" si="177"/>
        <v>0</v>
      </c>
      <c r="V2253">
        <f t="shared" si="178"/>
        <v>0</v>
      </c>
      <c r="W2253">
        <f t="shared" si="179"/>
        <v>1</v>
      </c>
      <c r="X2253">
        <v>1</v>
      </c>
      <c r="Y2253" s="2">
        <v>45768</v>
      </c>
      <c r="Z2253" s="3" t="s">
        <v>47</v>
      </c>
      <c r="AA2253" t="s">
        <v>39</v>
      </c>
      <c r="AB2253" t="s">
        <v>40</v>
      </c>
      <c r="AC2253" t="s">
        <v>40</v>
      </c>
      <c r="AD2253" t="s">
        <v>696</v>
      </c>
    </row>
    <row r="2254" spans="2:30">
      <c r="B2254">
        <v>0</v>
      </c>
      <c r="C2254">
        <v>1020</v>
      </c>
      <c r="D2254" t="s">
        <v>693</v>
      </c>
      <c r="E2254">
        <v>10055253</v>
      </c>
      <c r="F2254" t="s">
        <v>2341</v>
      </c>
      <c r="G2254" t="s">
        <v>31</v>
      </c>
      <c r="H2254" t="s">
        <v>32</v>
      </c>
      <c r="I2254" t="s">
        <v>695</v>
      </c>
      <c r="J2254" t="s">
        <v>45</v>
      </c>
      <c r="K2254" t="s">
        <v>35</v>
      </c>
      <c r="L2254" t="s">
        <v>175</v>
      </c>
      <c r="M2254" t="s">
        <v>46</v>
      </c>
      <c r="N2254">
        <v>0</v>
      </c>
      <c r="O2254">
        <v>0</v>
      </c>
      <c r="P2254">
        <v>0</v>
      </c>
      <c r="Q2254">
        <v>1</v>
      </c>
      <c r="R2254">
        <v>0</v>
      </c>
      <c r="S2254" t="str">
        <f t="shared" si="175"/>
        <v>PX: Baja Crit.</v>
      </c>
      <c r="T2254">
        <f t="shared" si="176"/>
        <v>0</v>
      </c>
      <c r="U2254">
        <f t="shared" si="177"/>
        <v>0</v>
      </c>
      <c r="V2254">
        <f t="shared" si="178"/>
        <v>0</v>
      </c>
      <c r="W2254">
        <f t="shared" si="179"/>
        <v>1</v>
      </c>
      <c r="X2254">
        <v>1</v>
      </c>
      <c r="Y2254" s="2">
        <v>45768</v>
      </c>
      <c r="Z2254" s="3" t="s">
        <v>47</v>
      </c>
      <c r="AA2254" t="s">
        <v>39</v>
      </c>
      <c r="AB2254" t="s">
        <v>40</v>
      </c>
      <c r="AC2254" t="s">
        <v>40</v>
      </c>
      <c r="AD2254" t="s">
        <v>696</v>
      </c>
    </row>
    <row r="2255" spans="2:30">
      <c r="B2255">
        <v>0</v>
      </c>
      <c r="C2255">
        <v>1020</v>
      </c>
      <c r="D2255" t="s">
        <v>693</v>
      </c>
      <c r="E2255">
        <v>10055254</v>
      </c>
      <c r="F2255" t="s">
        <v>2342</v>
      </c>
      <c r="G2255" t="s">
        <v>43</v>
      </c>
      <c r="H2255" t="s">
        <v>60</v>
      </c>
      <c r="I2255" t="s">
        <v>695</v>
      </c>
      <c r="J2255" t="s">
        <v>45</v>
      </c>
      <c r="K2255" t="s">
        <v>35</v>
      </c>
      <c r="L2255" t="s">
        <v>175</v>
      </c>
      <c r="M2255" t="s">
        <v>46</v>
      </c>
      <c r="N2255">
        <v>0</v>
      </c>
      <c r="O2255">
        <v>0</v>
      </c>
      <c r="P2255">
        <v>0</v>
      </c>
      <c r="Q2255">
        <v>1</v>
      </c>
      <c r="R2255">
        <v>0</v>
      </c>
      <c r="S2255" t="str">
        <f t="shared" si="175"/>
        <v>PY: Media Crit.</v>
      </c>
      <c r="T2255">
        <f t="shared" si="176"/>
        <v>0</v>
      </c>
      <c r="U2255">
        <f t="shared" si="177"/>
        <v>0</v>
      </c>
      <c r="V2255">
        <f t="shared" si="178"/>
        <v>0</v>
      </c>
      <c r="W2255">
        <f t="shared" si="179"/>
        <v>1</v>
      </c>
      <c r="X2255">
        <v>1</v>
      </c>
      <c r="Y2255" s="2">
        <v>45768</v>
      </c>
      <c r="Z2255" s="3" t="s">
        <v>47</v>
      </c>
      <c r="AA2255" t="s">
        <v>39</v>
      </c>
      <c r="AB2255" t="s">
        <v>40</v>
      </c>
      <c r="AC2255" t="s">
        <v>40</v>
      </c>
      <c r="AD2255" t="s">
        <v>696</v>
      </c>
    </row>
    <row r="2256" spans="2:30">
      <c r="B2256">
        <v>0</v>
      </c>
      <c r="C2256">
        <v>1020</v>
      </c>
      <c r="D2256" t="s">
        <v>693</v>
      </c>
      <c r="E2256">
        <v>10055255</v>
      </c>
      <c r="F2256" t="s">
        <v>2343</v>
      </c>
      <c r="G2256" t="s">
        <v>43</v>
      </c>
      <c r="H2256" t="s">
        <v>60</v>
      </c>
      <c r="I2256" t="s">
        <v>695</v>
      </c>
      <c r="J2256" t="s">
        <v>45</v>
      </c>
      <c r="K2256" t="s">
        <v>35</v>
      </c>
      <c r="L2256" t="s">
        <v>175</v>
      </c>
      <c r="M2256" t="s">
        <v>46</v>
      </c>
      <c r="N2256">
        <v>0</v>
      </c>
      <c r="O2256">
        <v>0</v>
      </c>
      <c r="P2256">
        <v>0</v>
      </c>
      <c r="Q2256">
        <v>1</v>
      </c>
      <c r="R2256">
        <v>0</v>
      </c>
      <c r="S2256" t="str">
        <f t="shared" si="175"/>
        <v>PY: Media Crit.</v>
      </c>
      <c r="T2256">
        <f t="shared" si="176"/>
        <v>0</v>
      </c>
      <c r="U2256">
        <f t="shared" si="177"/>
        <v>0</v>
      </c>
      <c r="V2256">
        <f t="shared" si="178"/>
        <v>0</v>
      </c>
      <c r="W2256">
        <f t="shared" si="179"/>
        <v>1</v>
      </c>
      <c r="X2256">
        <v>1</v>
      </c>
      <c r="Y2256" s="2">
        <v>45768</v>
      </c>
      <c r="Z2256" s="3" t="s">
        <v>47</v>
      </c>
      <c r="AA2256" t="s">
        <v>39</v>
      </c>
      <c r="AB2256" t="s">
        <v>40</v>
      </c>
      <c r="AC2256" t="s">
        <v>40</v>
      </c>
      <c r="AD2256" t="s">
        <v>696</v>
      </c>
    </row>
    <row r="2257" spans="2:30">
      <c r="B2257">
        <v>0</v>
      </c>
      <c r="C2257">
        <v>1020</v>
      </c>
      <c r="D2257" t="s">
        <v>693</v>
      </c>
      <c r="E2257">
        <v>10055256</v>
      </c>
      <c r="F2257" t="s">
        <v>2344</v>
      </c>
      <c r="G2257" t="s">
        <v>43</v>
      </c>
      <c r="H2257" t="s">
        <v>60</v>
      </c>
      <c r="I2257" t="s">
        <v>695</v>
      </c>
      <c r="J2257" t="s">
        <v>45</v>
      </c>
      <c r="K2257" t="s">
        <v>35</v>
      </c>
      <c r="L2257" t="s">
        <v>175</v>
      </c>
      <c r="M2257" t="s">
        <v>46</v>
      </c>
      <c r="N2257">
        <v>0</v>
      </c>
      <c r="O2257">
        <v>0</v>
      </c>
      <c r="P2257">
        <v>0</v>
      </c>
      <c r="Q2257">
        <v>1</v>
      </c>
      <c r="R2257">
        <v>0</v>
      </c>
      <c r="S2257" t="str">
        <f t="shared" si="175"/>
        <v>PY: Media Crit.</v>
      </c>
      <c r="T2257">
        <f t="shared" si="176"/>
        <v>0</v>
      </c>
      <c r="U2257">
        <f t="shared" si="177"/>
        <v>0</v>
      </c>
      <c r="V2257">
        <f t="shared" si="178"/>
        <v>0</v>
      </c>
      <c r="W2257">
        <f t="shared" si="179"/>
        <v>1</v>
      </c>
      <c r="X2257">
        <v>1</v>
      </c>
      <c r="Y2257" s="2">
        <v>45768</v>
      </c>
      <c r="Z2257" s="3" t="s">
        <v>47</v>
      </c>
      <c r="AA2257" t="s">
        <v>39</v>
      </c>
      <c r="AB2257" t="s">
        <v>40</v>
      </c>
      <c r="AC2257" t="s">
        <v>40</v>
      </c>
      <c r="AD2257" t="s">
        <v>696</v>
      </c>
    </row>
    <row r="2258" spans="2:30">
      <c r="B2258">
        <v>0</v>
      </c>
      <c r="C2258">
        <v>1020</v>
      </c>
      <c r="D2258" t="s">
        <v>693</v>
      </c>
      <c r="E2258">
        <v>10055257</v>
      </c>
      <c r="F2258" t="s">
        <v>2345</v>
      </c>
      <c r="G2258" t="s">
        <v>43</v>
      </c>
      <c r="H2258" t="s">
        <v>60</v>
      </c>
      <c r="I2258" t="s">
        <v>695</v>
      </c>
      <c r="J2258" t="s">
        <v>45</v>
      </c>
      <c r="K2258" t="s">
        <v>35</v>
      </c>
      <c r="L2258" t="s">
        <v>175</v>
      </c>
      <c r="M2258" t="s">
        <v>46</v>
      </c>
      <c r="N2258">
        <v>0</v>
      </c>
      <c r="O2258">
        <v>0</v>
      </c>
      <c r="P2258">
        <v>0</v>
      </c>
      <c r="Q2258">
        <v>2</v>
      </c>
      <c r="R2258">
        <v>0</v>
      </c>
      <c r="S2258" t="str">
        <f t="shared" si="175"/>
        <v>PY: Media Crit.</v>
      </c>
      <c r="T2258">
        <f t="shared" si="176"/>
        <v>0</v>
      </c>
      <c r="U2258">
        <f t="shared" si="177"/>
        <v>0</v>
      </c>
      <c r="V2258">
        <f t="shared" si="178"/>
        <v>0</v>
      </c>
      <c r="W2258">
        <f t="shared" si="179"/>
        <v>1</v>
      </c>
      <c r="X2258">
        <v>1</v>
      </c>
      <c r="Y2258" s="2">
        <v>45768</v>
      </c>
      <c r="Z2258" s="3" t="s">
        <v>47</v>
      </c>
      <c r="AA2258" t="s">
        <v>39</v>
      </c>
      <c r="AB2258" t="s">
        <v>40</v>
      </c>
      <c r="AC2258" t="s">
        <v>40</v>
      </c>
      <c r="AD2258" t="s">
        <v>696</v>
      </c>
    </row>
    <row r="2259" spans="2:30">
      <c r="B2259">
        <v>0</v>
      </c>
      <c r="C2259">
        <v>1020</v>
      </c>
      <c r="D2259" t="s">
        <v>693</v>
      </c>
      <c r="E2259">
        <v>10055261</v>
      </c>
      <c r="F2259" t="s">
        <v>2346</v>
      </c>
      <c r="G2259" t="s">
        <v>43</v>
      </c>
      <c r="H2259" t="s">
        <v>60</v>
      </c>
      <c r="I2259" t="s">
        <v>695</v>
      </c>
      <c r="J2259" t="s">
        <v>45</v>
      </c>
      <c r="K2259" t="s">
        <v>35</v>
      </c>
      <c r="L2259" t="s">
        <v>175</v>
      </c>
      <c r="M2259" t="s">
        <v>46</v>
      </c>
      <c r="N2259">
        <v>0</v>
      </c>
      <c r="O2259">
        <v>0</v>
      </c>
      <c r="P2259">
        <v>0</v>
      </c>
      <c r="Q2259">
        <v>2</v>
      </c>
      <c r="R2259">
        <v>0</v>
      </c>
      <c r="S2259" t="str">
        <f t="shared" si="175"/>
        <v>PY: Media Crit.</v>
      </c>
      <c r="T2259">
        <f t="shared" si="176"/>
        <v>0</v>
      </c>
      <c r="U2259">
        <f t="shared" si="177"/>
        <v>0</v>
      </c>
      <c r="V2259">
        <f t="shared" si="178"/>
        <v>0</v>
      </c>
      <c r="W2259">
        <f t="shared" si="179"/>
        <v>1</v>
      </c>
      <c r="X2259">
        <v>1</v>
      </c>
      <c r="Y2259" s="2">
        <v>45768</v>
      </c>
      <c r="Z2259" s="3" t="s">
        <v>47</v>
      </c>
      <c r="AA2259" t="s">
        <v>39</v>
      </c>
      <c r="AB2259" t="s">
        <v>40</v>
      </c>
      <c r="AC2259" t="s">
        <v>40</v>
      </c>
      <c r="AD2259" t="s">
        <v>696</v>
      </c>
    </row>
    <row r="2260" spans="2:30">
      <c r="B2260">
        <v>0</v>
      </c>
      <c r="C2260">
        <v>1020</v>
      </c>
      <c r="D2260" t="s">
        <v>384</v>
      </c>
      <c r="E2260">
        <v>10055269</v>
      </c>
      <c r="F2260" t="s">
        <v>2347</v>
      </c>
      <c r="G2260" t="s">
        <v>43</v>
      </c>
      <c r="H2260" t="s">
        <v>60</v>
      </c>
      <c r="I2260" t="s">
        <v>386</v>
      </c>
      <c r="J2260" t="s">
        <v>45</v>
      </c>
      <c r="K2260" t="s">
        <v>35</v>
      </c>
      <c r="L2260" t="s">
        <v>175</v>
      </c>
      <c r="M2260" t="s">
        <v>46</v>
      </c>
      <c r="N2260">
        <v>0</v>
      </c>
      <c r="O2260">
        <v>0</v>
      </c>
      <c r="P2260">
        <v>0</v>
      </c>
      <c r="Q2260">
        <v>1</v>
      </c>
      <c r="R2260">
        <v>0</v>
      </c>
      <c r="S2260" t="str">
        <f t="shared" si="175"/>
        <v>PY: Media Crit.</v>
      </c>
      <c r="T2260">
        <f t="shared" si="176"/>
        <v>0</v>
      </c>
      <c r="U2260">
        <f t="shared" si="177"/>
        <v>0</v>
      </c>
      <c r="V2260">
        <f t="shared" si="178"/>
        <v>0</v>
      </c>
      <c r="W2260">
        <f t="shared" si="179"/>
        <v>1</v>
      </c>
      <c r="X2260">
        <v>1</v>
      </c>
      <c r="Y2260" s="2">
        <v>45768</v>
      </c>
      <c r="Z2260" s="3" t="s">
        <v>47</v>
      </c>
      <c r="AA2260" t="s">
        <v>39</v>
      </c>
      <c r="AB2260" t="s">
        <v>40</v>
      </c>
      <c r="AC2260" t="s">
        <v>40</v>
      </c>
      <c r="AD2260" t="s">
        <v>387</v>
      </c>
    </row>
    <row r="2261" spans="2:30">
      <c r="B2261">
        <v>0</v>
      </c>
      <c r="C2261">
        <v>1020</v>
      </c>
      <c r="D2261" t="s">
        <v>181</v>
      </c>
      <c r="E2261">
        <v>10055272</v>
      </c>
      <c r="F2261" t="s">
        <v>2348</v>
      </c>
      <c r="G2261" t="s">
        <v>43</v>
      </c>
      <c r="H2261" t="s">
        <v>44</v>
      </c>
      <c r="I2261" t="s">
        <v>183</v>
      </c>
      <c r="J2261" t="s">
        <v>45</v>
      </c>
      <c r="K2261" t="s">
        <v>35</v>
      </c>
      <c r="L2261" t="s">
        <v>36</v>
      </c>
      <c r="M2261" t="s">
        <v>117</v>
      </c>
      <c r="N2261">
        <v>2</v>
      </c>
      <c r="O2261">
        <v>1</v>
      </c>
      <c r="P2261">
        <v>0</v>
      </c>
      <c r="Q2261">
        <v>2</v>
      </c>
      <c r="R2261" s="4">
        <v>3733.5</v>
      </c>
      <c r="S2261" t="str">
        <f t="shared" si="175"/>
        <v>PY: Media Crit.</v>
      </c>
      <c r="T2261">
        <f t="shared" si="176"/>
        <v>0</v>
      </c>
      <c r="U2261">
        <f t="shared" si="177"/>
        <v>0</v>
      </c>
      <c r="V2261">
        <f t="shared" si="178"/>
        <v>1</v>
      </c>
      <c r="W2261">
        <f t="shared" si="179"/>
        <v>0</v>
      </c>
      <c r="X2261">
        <v>1</v>
      </c>
      <c r="Y2261" s="2">
        <v>45768</v>
      </c>
      <c r="Z2261" s="3" t="s">
        <v>118</v>
      </c>
      <c r="AA2261" t="s">
        <v>39</v>
      </c>
      <c r="AB2261" t="s">
        <v>40</v>
      </c>
      <c r="AC2261" t="s">
        <v>40</v>
      </c>
      <c r="AD2261" t="s">
        <v>184</v>
      </c>
    </row>
    <row r="2262" spans="2:30">
      <c r="B2262">
        <v>0</v>
      </c>
      <c r="C2262">
        <v>1020</v>
      </c>
      <c r="D2262" t="s">
        <v>693</v>
      </c>
      <c r="E2262">
        <v>10055275</v>
      </c>
      <c r="F2262" t="s">
        <v>2349</v>
      </c>
      <c r="G2262" t="s">
        <v>43</v>
      </c>
      <c r="H2262" t="s">
        <v>60</v>
      </c>
      <c r="I2262" t="s">
        <v>695</v>
      </c>
      <c r="J2262" t="s">
        <v>45</v>
      </c>
      <c r="K2262" t="s">
        <v>35</v>
      </c>
      <c r="L2262" t="s">
        <v>175</v>
      </c>
      <c r="M2262" t="s">
        <v>117</v>
      </c>
      <c r="N2262">
        <v>0</v>
      </c>
      <c r="O2262">
        <v>0</v>
      </c>
      <c r="P2262">
        <v>0</v>
      </c>
      <c r="Q2262">
        <v>10</v>
      </c>
      <c r="R2262">
        <v>0</v>
      </c>
      <c r="S2262" t="str">
        <f t="shared" si="175"/>
        <v>PY: Media Crit.</v>
      </c>
      <c r="T2262">
        <f t="shared" si="176"/>
        <v>0</v>
      </c>
      <c r="U2262">
        <f t="shared" si="177"/>
        <v>0</v>
      </c>
      <c r="V2262">
        <f t="shared" si="178"/>
        <v>0</v>
      </c>
      <c r="W2262">
        <f t="shared" si="179"/>
        <v>1</v>
      </c>
      <c r="X2262">
        <v>1</v>
      </c>
      <c r="Y2262" s="2">
        <v>45768</v>
      </c>
      <c r="Z2262" s="3" t="s">
        <v>118</v>
      </c>
      <c r="AA2262" t="s">
        <v>39</v>
      </c>
      <c r="AB2262" t="s">
        <v>40</v>
      </c>
      <c r="AC2262" t="s">
        <v>40</v>
      </c>
      <c r="AD2262" t="s">
        <v>696</v>
      </c>
    </row>
    <row r="2263" spans="2:30">
      <c r="B2263">
        <v>0</v>
      </c>
      <c r="C2263">
        <v>1020</v>
      </c>
      <c r="D2263" t="s">
        <v>693</v>
      </c>
      <c r="E2263">
        <v>10055285</v>
      </c>
      <c r="F2263" t="s">
        <v>2350</v>
      </c>
      <c r="G2263" t="s">
        <v>43</v>
      </c>
      <c r="H2263" t="s">
        <v>60</v>
      </c>
      <c r="I2263" t="s">
        <v>695</v>
      </c>
      <c r="J2263" t="s">
        <v>45</v>
      </c>
      <c r="K2263" t="s">
        <v>35</v>
      </c>
      <c r="L2263" t="s">
        <v>175</v>
      </c>
      <c r="M2263" t="s">
        <v>46</v>
      </c>
      <c r="N2263">
        <v>0</v>
      </c>
      <c r="O2263">
        <v>0</v>
      </c>
      <c r="P2263">
        <v>0</v>
      </c>
      <c r="Q2263">
        <v>3</v>
      </c>
      <c r="R2263">
        <v>0</v>
      </c>
      <c r="S2263" t="str">
        <f t="shared" si="175"/>
        <v>PY: Media Crit.</v>
      </c>
      <c r="T2263">
        <f t="shared" si="176"/>
        <v>0</v>
      </c>
      <c r="U2263">
        <f t="shared" si="177"/>
        <v>0</v>
      </c>
      <c r="V2263">
        <f t="shared" si="178"/>
        <v>0</v>
      </c>
      <c r="W2263">
        <f t="shared" si="179"/>
        <v>1</v>
      </c>
      <c r="X2263">
        <v>1</v>
      </c>
      <c r="Y2263" s="2">
        <v>45768</v>
      </c>
      <c r="Z2263" s="3" t="s">
        <v>47</v>
      </c>
      <c r="AA2263" t="s">
        <v>39</v>
      </c>
      <c r="AB2263" t="s">
        <v>40</v>
      </c>
      <c r="AC2263" t="s">
        <v>40</v>
      </c>
      <c r="AD2263" t="s">
        <v>696</v>
      </c>
    </row>
    <row r="2264" spans="2:30">
      <c r="B2264">
        <v>0</v>
      </c>
      <c r="C2264">
        <v>1020</v>
      </c>
      <c r="D2264" t="s">
        <v>384</v>
      </c>
      <c r="E2264">
        <v>10055292</v>
      </c>
      <c r="F2264" t="s">
        <v>2351</v>
      </c>
      <c r="G2264" t="s">
        <v>52</v>
      </c>
      <c r="H2264" t="s">
        <v>32</v>
      </c>
      <c r="I2264" t="s">
        <v>386</v>
      </c>
      <c r="J2264" t="s">
        <v>45</v>
      </c>
      <c r="K2264" t="s">
        <v>35</v>
      </c>
      <c r="L2264" t="s">
        <v>175</v>
      </c>
      <c r="M2264" t="s">
        <v>117</v>
      </c>
      <c r="N2264">
        <v>0</v>
      </c>
      <c r="O2264">
        <v>0</v>
      </c>
      <c r="P2264">
        <v>0</v>
      </c>
      <c r="Q2264">
        <v>5</v>
      </c>
      <c r="R2264">
        <v>0</v>
      </c>
      <c r="S2264" t="str">
        <f t="shared" si="175"/>
        <v>PZ: Alta Crit.</v>
      </c>
      <c r="T2264">
        <f t="shared" si="176"/>
        <v>0</v>
      </c>
      <c r="U2264">
        <f t="shared" si="177"/>
        <v>0</v>
      </c>
      <c r="V2264">
        <f t="shared" si="178"/>
        <v>0</v>
      </c>
      <c r="W2264">
        <f t="shared" si="179"/>
        <v>1</v>
      </c>
      <c r="X2264">
        <v>1</v>
      </c>
      <c r="Y2264" s="2">
        <v>45768</v>
      </c>
      <c r="Z2264" s="3" t="s">
        <v>118</v>
      </c>
      <c r="AA2264" t="s">
        <v>39</v>
      </c>
      <c r="AB2264" t="s">
        <v>40</v>
      </c>
      <c r="AC2264" t="s">
        <v>40</v>
      </c>
      <c r="AD2264" t="s">
        <v>387</v>
      </c>
    </row>
    <row r="2265" spans="2:30">
      <c r="B2265">
        <v>0</v>
      </c>
      <c r="C2265">
        <v>1020</v>
      </c>
      <c r="D2265" t="s">
        <v>693</v>
      </c>
      <c r="E2265">
        <v>10055311</v>
      </c>
      <c r="F2265" t="s">
        <v>2352</v>
      </c>
      <c r="G2265" t="s">
        <v>52</v>
      </c>
      <c r="H2265" t="s">
        <v>32</v>
      </c>
      <c r="I2265" t="s">
        <v>695</v>
      </c>
      <c r="J2265" t="s">
        <v>45</v>
      </c>
      <c r="K2265" t="s">
        <v>35</v>
      </c>
      <c r="L2265" t="s">
        <v>175</v>
      </c>
      <c r="M2265" t="s">
        <v>117</v>
      </c>
      <c r="N2265">
        <v>0</v>
      </c>
      <c r="O2265">
        <v>0</v>
      </c>
      <c r="P2265">
        <v>0</v>
      </c>
      <c r="Q2265">
        <v>5</v>
      </c>
      <c r="R2265">
        <v>0</v>
      </c>
      <c r="S2265" t="str">
        <f t="shared" si="175"/>
        <v>PZ: Alta Crit.</v>
      </c>
      <c r="T2265">
        <f t="shared" si="176"/>
        <v>0</v>
      </c>
      <c r="U2265">
        <f t="shared" si="177"/>
        <v>0</v>
      </c>
      <c r="V2265">
        <f t="shared" si="178"/>
        <v>0</v>
      </c>
      <c r="W2265">
        <f t="shared" si="179"/>
        <v>1</v>
      </c>
      <c r="X2265">
        <v>1</v>
      </c>
      <c r="Y2265" s="2">
        <v>45768</v>
      </c>
      <c r="Z2265" s="3" t="s">
        <v>118</v>
      </c>
      <c r="AA2265" t="s">
        <v>39</v>
      </c>
      <c r="AB2265" t="s">
        <v>40</v>
      </c>
      <c r="AC2265" t="s">
        <v>40</v>
      </c>
      <c r="AD2265" t="s">
        <v>696</v>
      </c>
    </row>
    <row r="2266" spans="2:30">
      <c r="B2266">
        <v>0</v>
      </c>
      <c r="C2266">
        <v>1020</v>
      </c>
      <c r="D2266" t="s">
        <v>693</v>
      </c>
      <c r="E2266">
        <v>10055355</v>
      </c>
      <c r="F2266" t="s">
        <v>2353</v>
      </c>
      <c r="G2266" t="s">
        <v>52</v>
      </c>
      <c r="H2266" t="s">
        <v>32</v>
      </c>
      <c r="I2266" t="s">
        <v>695</v>
      </c>
      <c r="J2266" t="s">
        <v>45</v>
      </c>
      <c r="K2266" t="s">
        <v>35</v>
      </c>
      <c r="L2266" t="s">
        <v>175</v>
      </c>
      <c r="M2266" t="s">
        <v>117</v>
      </c>
      <c r="N2266">
        <v>0</v>
      </c>
      <c r="O2266">
        <v>0</v>
      </c>
      <c r="P2266">
        <v>0</v>
      </c>
      <c r="Q2266">
        <v>60</v>
      </c>
      <c r="R2266">
        <v>0</v>
      </c>
      <c r="S2266" t="str">
        <f t="shared" si="175"/>
        <v>PZ: Alta Crit.</v>
      </c>
      <c r="T2266">
        <f t="shared" si="176"/>
        <v>0</v>
      </c>
      <c r="U2266">
        <f t="shared" si="177"/>
        <v>0</v>
      </c>
      <c r="V2266">
        <f t="shared" si="178"/>
        <v>0</v>
      </c>
      <c r="W2266">
        <f t="shared" si="179"/>
        <v>1</v>
      </c>
      <c r="X2266">
        <v>1</v>
      </c>
      <c r="Y2266" s="2">
        <v>45768</v>
      </c>
      <c r="Z2266" s="3" t="s">
        <v>118</v>
      </c>
      <c r="AA2266" t="s">
        <v>39</v>
      </c>
      <c r="AB2266" t="s">
        <v>40</v>
      </c>
      <c r="AC2266" t="s">
        <v>40</v>
      </c>
      <c r="AD2266" t="s">
        <v>696</v>
      </c>
    </row>
    <row r="2267" spans="2:30">
      <c r="B2267">
        <v>0</v>
      </c>
      <c r="C2267">
        <v>1020</v>
      </c>
      <c r="D2267" t="s">
        <v>693</v>
      </c>
      <c r="E2267">
        <v>10055358</v>
      </c>
      <c r="F2267" t="s">
        <v>2354</v>
      </c>
      <c r="G2267" t="s">
        <v>43</v>
      </c>
      <c r="H2267" t="s">
        <v>32</v>
      </c>
      <c r="I2267" t="s">
        <v>695</v>
      </c>
      <c r="J2267" t="s">
        <v>45</v>
      </c>
      <c r="K2267" t="s">
        <v>35</v>
      </c>
      <c r="L2267" t="s">
        <v>175</v>
      </c>
      <c r="M2267" t="s">
        <v>117</v>
      </c>
      <c r="N2267">
        <v>0</v>
      </c>
      <c r="O2267">
        <v>0</v>
      </c>
      <c r="P2267">
        <v>0</v>
      </c>
      <c r="Q2267">
        <v>27</v>
      </c>
      <c r="R2267">
        <v>0</v>
      </c>
      <c r="S2267" t="str">
        <f t="shared" si="175"/>
        <v>PY: Media Crit.</v>
      </c>
      <c r="T2267">
        <f t="shared" si="176"/>
        <v>0</v>
      </c>
      <c r="U2267">
        <f t="shared" si="177"/>
        <v>0</v>
      </c>
      <c r="V2267">
        <f t="shared" si="178"/>
        <v>0</v>
      </c>
      <c r="W2267">
        <f t="shared" si="179"/>
        <v>1</v>
      </c>
      <c r="X2267">
        <v>1</v>
      </c>
      <c r="Y2267" s="2">
        <v>45768</v>
      </c>
      <c r="Z2267" s="3" t="s">
        <v>118</v>
      </c>
      <c r="AA2267" t="s">
        <v>39</v>
      </c>
      <c r="AB2267" t="s">
        <v>40</v>
      </c>
      <c r="AC2267" t="s">
        <v>40</v>
      </c>
      <c r="AD2267" t="s">
        <v>696</v>
      </c>
    </row>
    <row r="2268" spans="2:30">
      <c r="B2268">
        <v>0</v>
      </c>
      <c r="C2268">
        <v>1020</v>
      </c>
      <c r="D2268" t="s">
        <v>693</v>
      </c>
      <c r="E2268">
        <v>10055379</v>
      </c>
      <c r="F2268" t="s">
        <v>2355</v>
      </c>
      <c r="G2268" t="s">
        <v>43</v>
      </c>
      <c r="H2268" t="s">
        <v>32</v>
      </c>
      <c r="I2268" t="s">
        <v>695</v>
      </c>
      <c r="J2268" t="s">
        <v>45</v>
      </c>
      <c r="K2268" t="s">
        <v>35</v>
      </c>
      <c r="L2268" t="s">
        <v>175</v>
      </c>
      <c r="M2268" t="s">
        <v>117</v>
      </c>
      <c r="N2268">
        <v>0</v>
      </c>
      <c r="O2268">
        <v>0</v>
      </c>
      <c r="P2268">
        <v>0</v>
      </c>
      <c r="Q2268">
        <v>6</v>
      </c>
      <c r="R2268">
        <v>0</v>
      </c>
      <c r="S2268" t="str">
        <f t="shared" si="175"/>
        <v>PY: Media Crit.</v>
      </c>
      <c r="T2268">
        <f t="shared" si="176"/>
        <v>0</v>
      </c>
      <c r="U2268">
        <f t="shared" si="177"/>
        <v>0</v>
      </c>
      <c r="V2268">
        <f t="shared" si="178"/>
        <v>0</v>
      </c>
      <c r="W2268">
        <f t="shared" si="179"/>
        <v>1</v>
      </c>
      <c r="X2268">
        <v>1</v>
      </c>
      <c r="Y2268" s="2">
        <v>45768</v>
      </c>
      <c r="Z2268" s="3" t="s">
        <v>118</v>
      </c>
      <c r="AA2268" t="s">
        <v>39</v>
      </c>
      <c r="AB2268" t="s">
        <v>40</v>
      </c>
      <c r="AC2268" t="s">
        <v>40</v>
      </c>
      <c r="AD2268" t="s">
        <v>696</v>
      </c>
    </row>
    <row r="2269" spans="2:30">
      <c r="B2269">
        <v>0</v>
      </c>
      <c r="C2269">
        <v>1020</v>
      </c>
      <c r="D2269" t="s">
        <v>693</v>
      </c>
      <c r="E2269">
        <v>10055411</v>
      </c>
      <c r="F2269" t="s">
        <v>2356</v>
      </c>
      <c r="G2269" t="s">
        <v>43</v>
      </c>
      <c r="H2269" t="s">
        <v>32</v>
      </c>
      <c r="I2269" t="s">
        <v>695</v>
      </c>
      <c r="J2269" t="s">
        <v>45</v>
      </c>
      <c r="K2269" t="s">
        <v>35</v>
      </c>
      <c r="L2269" t="s">
        <v>175</v>
      </c>
      <c r="M2269" t="s">
        <v>117</v>
      </c>
      <c r="N2269">
        <v>0</v>
      </c>
      <c r="O2269">
        <v>0</v>
      </c>
      <c r="P2269">
        <v>0</v>
      </c>
      <c r="Q2269">
        <v>0</v>
      </c>
      <c r="R2269">
        <v>0</v>
      </c>
      <c r="S2269" t="str">
        <f t="shared" si="175"/>
        <v>PY: Media Crit.</v>
      </c>
      <c r="T2269">
        <f t="shared" si="176"/>
        <v>1</v>
      </c>
      <c r="U2269">
        <f t="shared" si="177"/>
        <v>0</v>
      </c>
      <c r="V2269">
        <f t="shared" si="178"/>
        <v>0</v>
      </c>
      <c r="W2269">
        <f t="shared" si="179"/>
        <v>0</v>
      </c>
      <c r="X2269">
        <v>1</v>
      </c>
      <c r="Y2269" s="2">
        <v>45768</v>
      </c>
      <c r="Z2269" s="3" t="s">
        <v>118</v>
      </c>
      <c r="AA2269" t="s">
        <v>39</v>
      </c>
      <c r="AB2269" t="s">
        <v>40</v>
      </c>
      <c r="AC2269" t="s">
        <v>40</v>
      </c>
      <c r="AD2269" t="s">
        <v>696</v>
      </c>
    </row>
    <row r="2270" spans="2:30">
      <c r="B2270">
        <v>0</v>
      </c>
      <c r="C2270">
        <v>1020</v>
      </c>
      <c r="D2270" t="s">
        <v>388</v>
      </c>
      <c r="E2270">
        <v>10055450</v>
      </c>
      <c r="F2270" t="s">
        <v>2357</v>
      </c>
      <c r="G2270" t="s">
        <v>43</v>
      </c>
      <c r="H2270" t="s">
        <v>44</v>
      </c>
      <c r="I2270" t="s">
        <v>390</v>
      </c>
      <c r="J2270" t="s">
        <v>45</v>
      </c>
      <c r="K2270" t="s">
        <v>35</v>
      </c>
      <c r="L2270" t="s">
        <v>175</v>
      </c>
      <c r="M2270" t="s">
        <v>46</v>
      </c>
      <c r="N2270">
        <v>0</v>
      </c>
      <c r="O2270">
        <v>0</v>
      </c>
      <c r="P2270">
        <v>10</v>
      </c>
      <c r="Q2270">
        <v>0</v>
      </c>
      <c r="R2270">
        <v>0</v>
      </c>
      <c r="S2270" t="str">
        <f t="shared" si="175"/>
        <v>PY: Media Crit.</v>
      </c>
      <c r="T2270">
        <f t="shared" si="176"/>
        <v>1</v>
      </c>
      <c r="U2270">
        <f t="shared" si="177"/>
        <v>0</v>
      </c>
      <c r="V2270">
        <f t="shared" si="178"/>
        <v>0</v>
      </c>
      <c r="W2270">
        <f t="shared" si="179"/>
        <v>0</v>
      </c>
      <c r="X2270">
        <v>1</v>
      </c>
      <c r="Y2270" s="2">
        <v>45768</v>
      </c>
      <c r="Z2270" s="3" t="s">
        <v>47</v>
      </c>
      <c r="AA2270" t="s">
        <v>39</v>
      </c>
      <c r="AB2270" t="s">
        <v>76</v>
      </c>
      <c r="AC2270" s="5" t="s">
        <v>77</v>
      </c>
      <c r="AD2270" t="s">
        <v>391</v>
      </c>
    </row>
    <row r="2271" spans="2:30">
      <c r="B2271">
        <v>0</v>
      </c>
      <c r="C2271">
        <v>1020</v>
      </c>
      <c r="D2271" t="s">
        <v>693</v>
      </c>
      <c r="E2271">
        <v>10056288</v>
      </c>
      <c r="F2271" t="s">
        <v>2358</v>
      </c>
      <c r="G2271" t="s">
        <v>52</v>
      </c>
      <c r="H2271" t="s">
        <v>32</v>
      </c>
      <c r="I2271" t="s">
        <v>695</v>
      </c>
      <c r="J2271" t="s">
        <v>45</v>
      </c>
      <c r="K2271" t="s">
        <v>35</v>
      </c>
      <c r="L2271" t="s">
        <v>175</v>
      </c>
      <c r="M2271" t="s">
        <v>69</v>
      </c>
      <c r="N2271">
        <v>0</v>
      </c>
      <c r="O2271">
        <v>0</v>
      </c>
      <c r="P2271">
        <v>0</v>
      </c>
      <c r="Q2271">
        <v>2</v>
      </c>
      <c r="R2271">
        <v>0</v>
      </c>
      <c r="S2271" t="str">
        <f t="shared" si="175"/>
        <v>PZ: Alta Crit.</v>
      </c>
      <c r="T2271">
        <f t="shared" si="176"/>
        <v>0</v>
      </c>
      <c r="U2271">
        <f t="shared" si="177"/>
        <v>0</v>
      </c>
      <c r="V2271">
        <f t="shared" si="178"/>
        <v>0</v>
      </c>
      <c r="W2271">
        <f t="shared" si="179"/>
        <v>1</v>
      </c>
      <c r="X2271">
        <v>1</v>
      </c>
      <c r="Y2271" s="2">
        <v>45768</v>
      </c>
      <c r="Z2271" s="3" t="s">
        <v>70</v>
      </c>
      <c r="AA2271" t="s">
        <v>39</v>
      </c>
      <c r="AB2271" t="s">
        <v>40</v>
      </c>
      <c r="AC2271" t="s">
        <v>40</v>
      </c>
      <c r="AD2271" t="s">
        <v>696</v>
      </c>
    </row>
    <row r="2272" spans="2:30">
      <c r="B2272">
        <v>0</v>
      </c>
      <c r="C2272">
        <v>1020</v>
      </c>
      <c r="D2272" t="s">
        <v>693</v>
      </c>
      <c r="E2272">
        <v>10056297</v>
      </c>
      <c r="F2272" t="s">
        <v>2359</v>
      </c>
      <c r="G2272" t="s">
        <v>52</v>
      </c>
      <c r="H2272" t="s">
        <v>44</v>
      </c>
      <c r="I2272" t="s">
        <v>695</v>
      </c>
      <c r="J2272" t="s">
        <v>45</v>
      </c>
      <c r="K2272" t="s">
        <v>35</v>
      </c>
      <c r="L2272" t="s">
        <v>175</v>
      </c>
      <c r="M2272" t="s">
        <v>46</v>
      </c>
      <c r="N2272">
        <v>0</v>
      </c>
      <c r="O2272">
        <v>0</v>
      </c>
      <c r="P2272">
        <v>0</v>
      </c>
      <c r="Q2272">
        <v>50</v>
      </c>
      <c r="R2272">
        <v>0</v>
      </c>
      <c r="S2272" t="str">
        <f t="shared" si="175"/>
        <v>PZ: Alta Crit.</v>
      </c>
      <c r="T2272">
        <f t="shared" si="176"/>
        <v>0</v>
      </c>
      <c r="U2272">
        <f t="shared" si="177"/>
        <v>0</v>
      </c>
      <c r="V2272">
        <f t="shared" si="178"/>
        <v>0</v>
      </c>
      <c r="W2272">
        <f t="shared" si="179"/>
        <v>1</v>
      </c>
      <c r="X2272">
        <v>1</v>
      </c>
      <c r="Y2272" s="2">
        <v>45768</v>
      </c>
      <c r="Z2272" s="3" t="s">
        <v>47</v>
      </c>
      <c r="AA2272" t="s">
        <v>39</v>
      </c>
      <c r="AB2272" t="s">
        <v>40</v>
      </c>
      <c r="AC2272" t="s">
        <v>40</v>
      </c>
      <c r="AD2272" t="s">
        <v>696</v>
      </c>
    </row>
    <row r="2273" spans="2:30">
      <c r="B2273">
        <v>0</v>
      </c>
      <c r="C2273">
        <v>1020</v>
      </c>
      <c r="D2273" t="s">
        <v>693</v>
      </c>
      <c r="E2273">
        <v>10056303</v>
      </c>
      <c r="F2273" t="s">
        <v>2360</v>
      </c>
      <c r="G2273" t="s">
        <v>43</v>
      </c>
      <c r="H2273" t="s">
        <v>32</v>
      </c>
      <c r="I2273" t="s">
        <v>695</v>
      </c>
      <c r="J2273" t="s">
        <v>45</v>
      </c>
      <c r="K2273" t="s">
        <v>35</v>
      </c>
      <c r="L2273" t="s">
        <v>175</v>
      </c>
      <c r="M2273" t="s">
        <v>69</v>
      </c>
      <c r="N2273">
        <v>0</v>
      </c>
      <c r="O2273">
        <v>0</v>
      </c>
      <c r="P2273">
        <v>0</v>
      </c>
      <c r="Q2273">
        <v>20</v>
      </c>
      <c r="R2273">
        <v>0</v>
      </c>
      <c r="S2273" t="str">
        <f t="shared" si="175"/>
        <v>PY: Media Crit.</v>
      </c>
      <c r="T2273">
        <f t="shared" si="176"/>
        <v>0</v>
      </c>
      <c r="U2273">
        <f t="shared" si="177"/>
        <v>0</v>
      </c>
      <c r="V2273">
        <f t="shared" si="178"/>
        <v>0</v>
      </c>
      <c r="W2273">
        <f t="shared" si="179"/>
        <v>1</v>
      </c>
      <c r="X2273">
        <v>1</v>
      </c>
      <c r="Y2273" s="2">
        <v>45768</v>
      </c>
      <c r="Z2273" s="3" t="s">
        <v>70</v>
      </c>
      <c r="AA2273" t="s">
        <v>39</v>
      </c>
      <c r="AB2273" t="s">
        <v>40</v>
      </c>
      <c r="AC2273" t="s">
        <v>40</v>
      </c>
      <c r="AD2273" t="s">
        <v>696</v>
      </c>
    </row>
    <row r="2274" spans="2:30">
      <c r="B2274">
        <v>0</v>
      </c>
      <c r="C2274">
        <v>1020</v>
      </c>
      <c r="D2274" t="s">
        <v>693</v>
      </c>
      <c r="E2274">
        <v>10056376</v>
      </c>
      <c r="F2274" t="s">
        <v>2361</v>
      </c>
      <c r="G2274" t="s">
        <v>43</v>
      </c>
      <c r="H2274" t="s">
        <v>32</v>
      </c>
      <c r="I2274" t="s">
        <v>695</v>
      </c>
      <c r="J2274" t="s">
        <v>45</v>
      </c>
      <c r="K2274" t="s">
        <v>35</v>
      </c>
      <c r="L2274" t="s">
        <v>175</v>
      </c>
      <c r="M2274" t="s">
        <v>69</v>
      </c>
      <c r="N2274">
        <v>0</v>
      </c>
      <c r="O2274">
        <v>0</v>
      </c>
      <c r="P2274">
        <v>0</v>
      </c>
      <c r="Q2274">
        <v>19</v>
      </c>
      <c r="R2274">
        <v>0</v>
      </c>
      <c r="S2274" t="str">
        <f t="shared" si="175"/>
        <v>PY: Media Crit.</v>
      </c>
      <c r="T2274">
        <f t="shared" si="176"/>
        <v>0</v>
      </c>
      <c r="U2274">
        <f t="shared" si="177"/>
        <v>0</v>
      </c>
      <c r="V2274">
        <f t="shared" si="178"/>
        <v>0</v>
      </c>
      <c r="W2274">
        <f t="shared" si="179"/>
        <v>1</v>
      </c>
      <c r="X2274">
        <v>1</v>
      </c>
      <c r="Y2274" s="2">
        <v>45768</v>
      </c>
      <c r="Z2274" s="3" t="s">
        <v>70</v>
      </c>
      <c r="AA2274" t="s">
        <v>39</v>
      </c>
      <c r="AB2274" t="s">
        <v>40</v>
      </c>
      <c r="AC2274" t="s">
        <v>40</v>
      </c>
      <c r="AD2274" t="s">
        <v>696</v>
      </c>
    </row>
    <row r="2275" spans="2:30">
      <c r="B2275">
        <v>0</v>
      </c>
      <c r="C2275">
        <v>1020</v>
      </c>
      <c r="D2275" t="s">
        <v>693</v>
      </c>
      <c r="E2275">
        <v>10056387</v>
      </c>
      <c r="F2275" t="s">
        <v>2362</v>
      </c>
      <c r="G2275" t="s">
        <v>43</v>
      </c>
      <c r="H2275" t="s">
        <v>32</v>
      </c>
      <c r="I2275" t="s">
        <v>695</v>
      </c>
      <c r="J2275" t="s">
        <v>45</v>
      </c>
      <c r="K2275" t="s">
        <v>35</v>
      </c>
      <c r="L2275" t="s">
        <v>175</v>
      </c>
      <c r="M2275" t="s">
        <v>46</v>
      </c>
      <c r="N2275">
        <v>0</v>
      </c>
      <c r="O2275">
        <v>0</v>
      </c>
      <c r="P2275">
        <v>0</v>
      </c>
      <c r="Q2275">
        <v>106</v>
      </c>
      <c r="R2275">
        <v>0</v>
      </c>
      <c r="S2275" t="str">
        <f t="shared" si="175"/>
        <v>PY: Media Crit.</v>
      </c>
      <c r="T2275">
        <f t="shared" si="176"/>
        <v>0</v>
      </c>
      <c r="U2275">
        <f t="shared" si="177"/>
        <v>0</v>
      </c>
      <c r="V2275">
        <f t="shared" si="178"/>
        <v>0</v>
      </c>
      <c r="W2275">
        <f t="shared" si="179"/>
        <v>1</v>
      </c>
      <c r="X2275">
        <v>1</v>
      </c>
      <c r="Y2275" s="2">
        <v>45768</v>
      </c>
      <c r="Z2275" s="3" t="s">
        <v>47</v>
      </c>
      <c r="AA2275" t="s">
        <v>39</v>
      </c>
      <c r="AB2275" t="s">
        <v>40</v>
      </c>
      <c r="AC2275" t="s">
        <v>40</v>
      </c>
      <c r="AD2275" t="s">
        <v>696</v>
      </c>
    </row>
    <row r="2276" spans="2:30">
      <c r="B2276">
        <v>0</v>
      </c>
      <c r="C2276">
        <v>1020</v>
      </c>
      <c r="D2276" t="s">
        <v>693</v>
      </c>
      <c r="E2276">
        <v>10056483</v>
      </c>
      <c r="F2276" t="s">
        <v>2363</v>
      </c>
      <c r="G2276" t="s">
        <v>43</v>
      </c>
      <c r="H2276" t="s">
        <v>32</v>
      </c>
      <c r="I2276" t="s">
        <v>695</v>
      </c>
      <c r="J2276" t="s">
        <v>45</v>
      </c>
      <c r="K2276" t="s">
        <v>65</v>
      </c>
      <c r="L2276" t="s">
        <v>175</v>
      </c>
      <c r="M2276" t="s">
        <v>46</v>
      </c>
      <c r="N2276">
        <v>0</v>
      </c>
      <c r="O2276">
        <v>0</v>
      </c>
      <c r="P2276">
        <v>0</v>
      </c>
      <c r="Q2276">
        <v>9</v>
      </c>
      <c r="R2276">
        <v>0</v>
      </c>
      <c r="S2276" t="str">
        <f t="shared" si="175"/>
        <v>PY: Media Crit.</v>
      </c>
      <c r="T2276">
        <f t="shared" si="176"/>
        <v>0</v>
      </c>
      <c r="U2276">
        <f t="shared" si="177"/>
        <v>0</v>
      </c>
      <c r="V2276">
        <f t="shared" si="178"/>
        <v>0</v>
      </c>
      <c r="W2276">
        <f t="shared" si="179"/>
        <v>1</v>
      </c>
      <c r="X2276">
        <v>1</v>
      </c>
      <c r="Y2276" s="2">
        <v>45768</v>
      </c>
      <c r="Z2276" s="3" t="s">
        <v>47</v>
      </c>
      <c r="AA2276" t="s">
        <v>39</v>
      </c>
      <c r="AB2276" t="s">
        <v>40</v>
      </c>
      <c r="AC2276" t="s">
        <v>40</v>
      </c>
      <c r="AD2276" t="s">
        <v>696</v>
      </c>
    </row>
    <row r="2277" spans="2:30">
      <c r="B2277">
        <v>0</v>
      </c>
      <c r="C2277">
        <v>1020</v>
      </c>
      <c r="D2277" t="s">
        <v>693</v>
      </c>
      <c r="E2277">
        <v>10056514</v>
      </c>
      <c r="F2277" t="s">
        <v>2364</v>
      </c>
      <c r="G2277" t="s">
        <v>31</v>
      </c>
      <c r="H2277" t="s">
        <v>32</v>
      </c>
      <c r="I2277" t="s">
        <v>695</v>
      </c>
      <c r="J2277" t="s">
        <v>45</v>
      </c>
      <c r="K2277" t="s">
        <v>35</v>
      </c>
      <c r="L2277" t="s">
        <v>175</v>
      </c>
      <c r="M2277" t="s">
        <v>69</v>
      </c>
      <c r="N2277">
        <v>0</v>
      </c>
      <c r="O2277">
        <v>0</v>
      </c>
      <c r="P2277">
        <v>0</v>
      </c>
      <c r="Q2277">
        <v>4</v>
      </c>
      <c r="R2277">
        <v>0</v>
      </c>
      <c r="S2277" t="str">
        <f t="shared" si="175"/>
        <v>PX: Baja Crit.</v>
      </c>
      <c r="T2277">
        <f t="shared" si="176"/>
        <v>0</v>
      </c>
      <c r="U2277">
        <f t="shared" si="177"/>
        <v>0</v>
      </c>
      <c r="V2277">
        <f t="shared" si="178"/>
        <v>0</v>
      </c>
      <c r="W2277">
        <f t="shared" si="179"/>
        <v>1</v>
      </c>
      <c r="X2277">
        <v>1</v>
      </c>
      <c r="Y2277" s="2">
        <v>45768</v>
      </c>
      <c r="Z2277" s="3" t="s">
        <v>70</v>
      </c>
      <c r="AA2277" t="s">
        <v>39</v>
      </c>
      <c r="AB2277" t="s">
        <v>40</v>
      </c>
      <c r="AC2277" t="s">
        <v>40</v>
      </c>
      <c r="AD2277" t="s">
        <v>696</v>
      </c>
    </row>
    <row r="2278" spans="2:30">
      <c r="B2278">
        <v>0</v>
      </c>
      <c r="C2278">
        <v>1020</v>
      </c>
      <c r="D2278" t="s">
        <v>388</v>
      </c>
      <c r="E2278">
        <v>10056637</v>
      </c>
      <c r="F2278" t="s">
        <v>2365</v>
      </c>
      <c r="G2278" t="s">
        <v>43</v>
      </c>
      <c r="H2278" t="s">
        <v>60</v>
      </c>
      <c r="I2278" t="s">
        <v>390</v>
      </c>
      <c r="J2278" t="s">
        <v>45</v>
      </c>
      <c r="K2278" t="s">
        <v>35</v>
      </c>
      <c r="L2278" t="s">
        <v>175</v>
      </c>
      <c r="M2278" t="s">
        <v>88</v>
      </c>
      <c r="N2278">
        <v>0</v>
      </c>
      <c r="O2278">
        <v>0</v>
      </c>
      <c r="P2278">
        <v>1</v>
      </c>
      <c r="Q2278">
        <v>1</v>
      </c>
      <c r="R2278">
        <v>0</v>
      </c>
      <c r="S2278" t="str">
        <f t="shared" si="175"/>
        <v>PY: Media Crit.</v>
      </c>
      <c r="T2278">
        <f t="shared" si="176"/>
        <v>0</v>
      </c>
      <c r="U2278">
        <f t="shared" si="177"/>
        <v>1</v>
      </c>
      <c r="V2278">
        <f t="shared" si="178"/>
        <v>0</v>
      </c>
      <c r="W2278">
        <f t="shared" si="179"/>
        <v>1</v>
      </c>
      <c r="X2278">
        <v>1</v>
      </c>
      <c r="Y2278" s="2">
        <v>45768</v>
      </c>
      <c r="Z2278" s="3" t="s">
        <v>89</v>
      </c>
      <c r="AA2278" t="s">
        <v>39</v>
      </c>
      <c r="AB2278" t="s">
        <v>40</v>
      </c>
      <c r="AC2278" t="s">
        <v>40</v>
      </c>
      <c r="AD2278" t="s">
        <v>391</v>
      </c>
    </row>
    <row r="2279" spans="2:30">
      <c r="B2279">
        <v>0</v>
      </c>
      <c r="C2279">
        <v>1020</v>
      </c>
      <c r="D2279" t="s">
        <v>693</v>
      </c>
      <c r="E2279">
        <v>10056653</v>
      </c>
      <c r="F2279" t="s">
        <v>2366</v>
      </c>
      <c r="G2279" t="s">
        <v>43</v>
      </c>
      <c r="H2279" t="s">
        <v>44</v>
      </c>
      <c r="I2279" t="s">
        <v>695</v>
      </c>
      <c r="J2279" t="s">
        <v>45</v>
      </c>
      <c r="K2279" t="s">
        <v>252</v>
      </c>
      <c r="L2279" t="s">
        <v>175</v>
      </c>
      <c r="M2279" t="s">
        <v>46</v>
      </c>
      <c r="N2279">
        <v>0</v>
      </c>
      <c r="O2279">
        <v>0</v>
      </c>
      <c r="P2279">
        <v>0</v>
      </c>
      <c r="Q2279">
        <v>44</v>
      </c>
      <c r="R2279">
        <v>0</v>
      </c>
      <c r="S2279" t="str">
        <f t="shared" si="175"/>
        <v>PY: Media Crit.</v>
      </c>
      <c r="T2279">
        <f t="shared" si="176"/>
        <v>0</v>
      </c>
      <c r="U2279">
        <f t="shared" si="177"/>
        <v>0</v>
      </c>
      <c r="V2279">
        <f t="shared" si="178"/>
        <v>0</v>
      </c>
      <c r="W2279">
        <f t="shared" si="179"/>
        <v>1</v>
      </c>
      <c r="X2279">
        <v>1</v>
      </c>
      <c r="Y2279" s="2">
        <v>45768</v>
      </c>
      <c r="Z2279" s="3" t="s">
        <v>47</v>
      </c>
      <c r="AA2279" t="s">
        <v>39</v>
      </c>
      <c r="AB2279" t="s">
        <v>40</v>
      </c>
      <c r="AC2279" t="s">
        <v>40</v>
      </c>
      <c r="AD2279" t="s">
        <v>696</v>
      </c>
    </row>
    <row r="2280" spans="2:30">
      <c r="B2280">
        <v>0</v>
      </c>
      <c r="C2280">
        <v>1020</v>
      </c>
      <c r="D2280" t="s">
        <v>388</v>
      </c>
      <c r="E2280">
        <v>10056726</v>
      </c>
      <c r="F2280" t="s">
        <v>2367</v>
      </c>
      <c r="G2280" t="s">
        <v>52</v>
      </c>
      <c r="H2280" t="s">
        <v>32</v>
      </c>
      <c r="I2280" t="s">
        <v>390</v>
      </c>
      <c r="J2280" t="s">
        <v>45</v>
      </c>
      <c r="K2280" t="s">
        <v>35</v>
      </c>
      <c r="L2280" t="s">
        <v>175</v>
      </c>
      <c r="M2280" t="s">
        <v>69</v>
      </c>
      <c r="N2280">
        <v>0</v>
      </c>
      <c r="O2280">
        <v>0</v>
      </c>
      <c r="P2280">
        <v>2</v>
      </c>
      <c r="Q2280">
        <v>2</v>
      </c>
      <c r="R2280">
        <v>0</v>
      </c>
      <c r="S2280" t="str">
        <f t="shared" si="175"/>
        <v>PZ: Alta Crit.</v>
      </c>
      <c r="T2280">
        <f t="shared" si="176"/>
        <v>0</v>
      </c>
      <c r="U2280">
        <f t="shared" si="177"/>
        <v>1</v>
      </c>
      <c r="V2280">
        <f t="shared" si="178"/>
        <v>0</v>
      </c>
      <c r="W2280">
        <f t="shared" si="179"/>
        <v>1</v>
      </c>
      <c r="X2280">
        <v>1</v>
      </c>
      <c r="Y2280" s="2">
        <v>45768</v>
      </c>
      <c r="Z2280" s="3" t="s">
        <v>70</v>
      </c>
      <c r="AA2280" t="s">
        <v>39</v>
      </c>
      <c r="AB2280" t="s">
        <v>40</v>
      </c>
      <c r="AC2280" t="s">
        <v>40</v>
      </c>
      <c r="AD2280" t="s">
        <v>391</v>
      </c>
    </row>
    <row r="2281" spans="2:30">
      <c r="B2281">
        <v>0</v>
      </c>
      <c r="C2281">
        <v>1020</v>
      </c>
      <c r="D2281" t="s">
        <v>384</v>
      </c>
      <c r="E2281">
        <v>10056732</v>
      </c>
      <c r="F2281" t="s">
        <v>2368</v>
      </c>
      <c r="G2281" t="s">
        <v>52</v>
      </c>
      <c r="H2281" t="s">
        <v>32</v>
      </c>
      <c r="I2281" t="s">
        <v>386</v>
      </c>
      <c r="J2281" t="s">
        <v>45</v>
      </c>
      <c r="K2281" t="s">
        <v>35</v>
      </c>
      <c r="L2281" t="s">
        <v>175</v>
      </c>
      <c r="M2281" t="s">
        <v>69</v>
      </c>
      <c r="N2281">
        <v>0</v>
      </c>
      <c r="O2281">
        <v>0</v>
      </c>
      <c r="P2281">
        <v>0</v>
      </c>
      <c r="Q2281">
        <v>1</v>
      </c>
      <c r="R2281">
        <v>0</v>
      </c>
      <c r="S2281" t="str">
        <f t="shared" si="175"/>
        <v>PZ: Alta Crit.</v>
      </c>
      <c r="T2281">
        <f t="shared" si="176"/>
        <v>0</v>
      </c>
      <c r="U2281">
        <f t="shared" si="177"/>
        <v>0</v>
      </c>
      <c r="V2281">
        <f t="shared" si="178"/>
        <v>0</v>
      </c>
      <c r="W2281">
        <f t="shared" si="179"/>
        <v>1</v>
      </c>
      <c r="X2281">
        <v>1</v>
      </c>
      <c r="Y2281" s="2">
        <v>45768</v>
      </c>
      <c r="Z2281" s="3" t="s">
        <v>70</v>
      </c>
      <c r="AA2281" t="s">
        <v>39</v>
      </c>
      <c r="AB2281" t="s">
        <v>40</v>
      </c>
      <c r="AC2281" t="s">
        <v>40</v>
      </c>
      <c r="AD2281" t="s">
        <v>387</v>
      </c>
    </row>
    <row r="2282" spans="2:30">
      <c r="B2282">
        <v>0</v>
      </c>
      <c r="C2282">
        <v>1020</v>
      </c>
      <c r="D2282" t="s">
        <v>384</v>
      </c>
      <c r="E2282">
        <v>10056734</v>
      </c>
      <c r="F2282" t="s">
        <v>2369</v>
      </c>
      <c r="G2282" t="s">
        <v>52</v>
      </c>
      <c r="H2282" t="s">
        <v>32</v>
      </c>
      <c r="I2282" t="s">
        <v>386</v>
      </c>
      <c r="J2282" t="s">
        <v>45</v>
      </c>
      <c r="K2282" t="s">
        <v>35</v>
      </c>
      <c r="L2282" t="s">
        <v>175</v>
      </c>
      <c r="M2282" t="s">
        <v>69</v>
      </c>
      <c r="N2282">
        <v>0</v>
      </c>
      <c r="O2282">
        <v>0</v>
      </c>
      <c r="P2282">
        <v>0</v>
      </c>
      <c r="Q2282">
        <v>1</v>
      </c>
      <c r="R2282">
        <v>0</v>
      </c>
      <c r="S2282" t="str">
        <f t="shared" si="175"/>
        <v>PZ: Alta Crit.</v>
      </c>
      <c r="T2282">
        <f t="shared" si="176"/>
        <v>0</v>
      </c>
      <c r="U2282">
        <f t="shared" si="177"/>
        <v>0</v>
      </c>
      <c r="V2282">
        <f t="shared" si="178"/>
        <v>0</v>
      </c>
      <c r="W2282">
        <f t="shared" si="179"/>
        <v>1</v>
      </c>
      <c r="X2282">
        <v>1</v>
      </c>
      <c r="Y2282" s="2">
        <v>45768</v>
      </c>
      <c r="Z2282" s="3" t="s">
        <v>70</v>
      </c>
      <c r="AA2282" t="s">
        <v>39</v>
      </c>
      <c r="AB2282" t="s">
        <v>40</v>
      </c>
      <c r="AC2282" t="s">
        <v>40</v>
      </c>
      <c r="AD2282" t="s">
        <v>387</v>
      </c>
    </row>
    <row r="2283" spans="2:30">
      <c r="B2283">
        <v>0</v>
      </c>
      <c r="C2283">
        <v>1020</v>
      </c>
      <c r="D2283" t="s">
        <v>181</v>
      </c>
      <c r="E2283">
        <v>10056756</v>
      </c>
      <c r="F2283" t="s">
        <v>2370</v>
      </c>
      <c r="G2283" t="s">
        <v>31</v>
      </c>
      <c r="H2283" t="s">
        <v>44</v>
      </c>
      <c r="I2283" t="s">
        <v>183</v>
      </c>
      <c r="J2283" t="s">
        <v>45</v>
      </c>
      <c r="K2283" t="s">
        <v>35</v>
      </c>
      <c r="L2283" t="s">
        <v>36</v>
      </c>
      <c r="M2283" t="s">
        <v>69</v>
      </c>
      <c r="N2283">
        <v>4</v>
      </c>
      <c r="O2283">
        <v>4</v>
      </c>
      <c r="P2283">
        <v>0</v>
      </c>
      <c r="Q2283">
        <v>4</v>
      </c>
      <c r="R2283">
        <v>0</v>
      </c>
      <c r="S2283" t="str">
        <f t="shared" si="175"/>
        <v>PX: Baja Crit.</v>
      </c>
      <c r="T2283">
        <f t="shared" si="176"/>
        <v>0</v>
      </c>
      <c r="U2283">
        <f t="shared" si="177"/>
        <v>0</v>
      </c>
      <c r="V2283">
        <f t="shared" si="178"/>
        <v>1</v>
      </c>
      <c r="W2283">
        <f t="shared" si="179"/>
        <v>0</v>
      </c>
      <c r="X2283">
        <v>1</v>
      </c>
      <c r="Y2283" s="2">
        <v>45768</v>
      </c>
      <c r="Z2283" s="3" t="s">
        <v>70</v>
      </c>
      <c r="AA2283" t="s">
        <v>39</v>
      </c>
      <c r="AB2283" t="s">
        <v>40</v>
      </c>
      <c r="AC2283" t="s">
        <v>40</v>
      </c>
      <c r="AD2283" t="s">
        <v>184</v>
      </c>
    </row>
    <row r="2284" spans="2:30">
      <c r="B2284">
        <v>0</v>
      </c>
      <c r="C2284">
        <v>1020</v>
      </c>
      <c r="D2284" t="s">
        <v>181</v>
      </c>
      <c r="E2284">
        <v>10056763</v>
      </c>
      <c r="F2284" t="s">
        <v>2371</v>
      </c>
      <c r="G2284" t="s">
        <v>31</v>
      </c>
      <c r="H2284" t="s">
        <v>32</v>
      </c>
      <c r="I2284" t="s">
        <v>183</v>
      </c>
      <c r="J2284" t="s">
        <v>45</v>
      </c>
      <c r="K2284" t="s">
        <v>35</v>
      </c>
      <c r="L2284" t="s">
        <v>36</v>
      </c>
      <c r="M2284" t="s">
        <v>117</v>
      </c>
      <c r="N2284">
        <v>4</v>
      </c>
      <c r="O2284">
        <v>3</v>
      </c>
      <c r="P2284">
        <v>1</v>
      </c>
      <c r="Q2284">
        <v>3</v>
      </c>
      <c r="R2284">
        <v>0</v>
      </c>
      <c r="S2284" t="str">
        <f t="shared" si="175"/>
        <v>PX: Baja Crit.</v>
      </c>
      <c r="T2284">
        <f t="shared" si="176"/>
        <v>0</v>
      </c>
      <c r="U2284">
        <f t="shared" si="177"/>
        <v>0</v>
      </c>
      <c r="V2284">
        <f t="shared" si="178"/>
        <v>1</v>
      </c>
      <c r="W2284">
        <f t="shared" si="179"/>
        <v>0</v>
      </c>
      <c r="X2284">
        <v>1</v>
      </c>
      <c r="Y2284" s="2">
        <v>45768</v>
      </c>
      <c r="Z2284" s="3" t="s">
        <v>118</v>
      </c>
      <c r="AA2284" t="s">
        <v>39</v>
      </c>
      <c r="AB2284" t="s">
        <v>40</v>
      </c>
      <c r="AC2284" t="s">
        <v>40</v>
      </c>
      <c r="AD2284" t="s">
        <v>184</v>
      </c>
    </row>
    <row r="2285" spans="2:30">
      <c r="B2285">
        <v>0</v>
      </c>
      <c r="C2285">
        <v>1020</v>
      </c>
      <c r="D2285" t="s">
        <v>693</v>
      </c>
      <c r="E2285">
        <v>10056764</v>
      </c>
      <c r="F2285" t="s">
        <v>2372</v>
      </c>
      <c r="G2285" t="s">
        <v>43</v>
      </c>
      <c r="H2285" t="s">
        <v>32</v>
      </c>
      <c r="I2285" t="s">
        <v>695</v>
      </c>
      <c r="J2285" t="s">
        <v>45</v>
      </c>
      <c r="K2285" t="s">
        <v>35</v>
      </c>
      <c r="L2285" t="s">
        <v>175</v>
      </c>
      <c r="M2285" t="s">
        <v>37</v>
      </c>
      <c r="N2285">
        <v>0</v>
      </c>
      <c r="O2285">
        <v>0</v>
      </c>
      <c r="P2285">
        <v>0</v>
      </c>
      <c r="Q2285">
        <v>30</v>
      </c>
      <c r="R2285">
        <v>0</v>
      </c>
      <c r="S2285" t="str">
        <f t="shared" si="175"/>
        <v>PY: Media Crit.</v>
      </c>
      <c r="T2285">
        <f t="shared" si="176"/>
        <v>0</v>
      </c>
      <c r="U2285">
        <f t="shared" si="177"/>
        <v>0</v>
      </c>
      <c r="V2285">
        <f t="shared" si="178"/>
        <v>0</v>
      </c>
      <c r="W2285">
        <f t="shared" si="179"/>
        <v>1</v>
      </c>
      <c r="X2285">
        <v>1</v>
      </c>
      <c r="Y2285" s="2">
        <v>45768</v>
      </c>
      <c r="Z2285" s="3" t="s">
        <v>38</v>
      </c>
      <c r="AA2285" t="s">
        <v>39</v>
      </c>
      <c r="AB2285" t="s">
        <v>40</v>
      </c>
      <c r="AC2285" t="s">
        <v>40</v>
      </c>
      <c r="AD2285" t="s">
        <v>696</v>
      </c>
    </row>
    <row r="2286" spans="2:30">
      <c r="B2286">
        <v>0</v>
      </c>
      <c r="C2286">
        <v>1020</v>
      </c>
      <c r="D2286" t="s">
        <v>181</v>
      </c>
      <c r="E2286">
        <v>10056775</v>
      </c>
      <c r="F2286" t="s">
        <v>2373</v>
      </c>
      <c r="G2286" t="s">
        <v>31</v>
      </c>
      <c r="H2286" t="s">
        <v>44</v>
      </c>
      <c r="I2286" t="s">
        <v>183</v>
      </c>
      <c r="J2286" t="s">
        <v>45</v>
      </c>
      <c r="K2286" t="s">
        <v>35</v>
      </c>
      <c r="L2286" t="s">
        <v>36</v>
      </c>
      <c r="M2286" t="s">
        <v>69</v>
      </c>
      <c r="N2286">
        <v>4</v>
      </c>
      <c r="O2286">
        <v>3</v>
      </c>
      <c r="P2286">
        <v>0</v>
      </c>
      <c r="Q2286">
        <v>4</v>
      </c>
      <c r="R2286">
        <v>0</v>
      </c>
      <c r="S2286" t="str">
        <f t="shared" si="175"/>
        <v>PX: Baja Crit.</v>
      </c>
      <c r="T2286">
        <f t="shared" si="176"/>
        <v>0</v>
      </c>
      <c r="U2286">
        <f t="shared" si="177"/>
        <v>0</v>
      </c>
      <c r="V2286">
        <f t="shared" si="178"/>
        <v>1</v>
      </c>
      <c r="W2286">
        <f t="shared" si="179"/>
        <v>0</v>
      </c>
      <c r="X2286">
        <v>1</v>
      </c>
      <c r="Y2286" s="2">
        <v>45768</v>
      </c>
      <c r="Z2286" s="3" t="s">
        <v>70</v>
      </c>
      <c r="AA2286" t="s">
        <v>39</v>
      </c>
      <c r="AB2286" t="s">
        <v>40</v>
      </c>
      <c r="AC2286" t="s">
        <v>40</v>
      </c>
      <c r="AD2286" t="s">
        <v>184</v>
      </c>
    </row>
    <row r="2287" spans="2:30">
      <c r="B2287">
        <v>0</v>
      </c>
      <c r="C2287">
        <v>1020</v>
      </c>
      <c r="D2287" t="s">
        <v>384</v>
      </c>
      <c r="E2287">
        <v>10056838</v>
      </c>
      <c r="F2287" t="s">
        <v>2374</v>
      </c>
      <c r="G2287" t="s">
        <v>43</v>
      </c>
      <c r="H2287" t="s">
        <v>32</v>
      </c>
      <c r="I2287" t="s">
        <v>386</v>
      </c>
      <c r="J2287" t="s">
        <v>45</v>
      </c>
      <c r="K2287" t="s">
        <v>35</v>
      </c>
      <c r="L2287" t="s">
        <v>175</v>
      </c>
      <c r="M2287" t="s">
        <v>117</v>
      </c>
      <c r="N2287">
        <v>0</v>
      </c>
      <c r="O2287">
        <v>0</v>
      </c>
      <c r="P2287">
        <v>0</v>
      </c>
      <c r="Q2287">
        <v>3</v>
      </c>
      <c r="R2287">
        <v>0</v>
      </c>
      <c r="S2287" t="str">
        <f t="shared" si="175"/>
        <v>PY: Media Crit.</v>
      </c>
      <c r="T2287">
        <f t="shared" si="176"/>
        <v>0</v>
      </c>
      <c r="U2287">
        <f t="shared" si="177"/>
        <v>0</v>
      </c>
      <c r="V2287">
        <f t="shared" si="178"/>
        <v>0</v>
      </c>
      <c r="W2287">
        <f t="shared" si="179"/>
        <v>1</v>
      </c>
      <c r="X2287">
        <v>1</v>
      </c>
      <c r="Y2287" s="2">
        <v>45768</v>
      </c>
      <c r="Z2287" s="3" t="s">
        <v>118</v>
      </c>
      <c r="AA2287" t="s">
        <v>39</v>
      </c>
      <c r="AB2287" t="s">
        <v>40</v>
      </c>
      <c r="AC2287" t="s">
        <v>40</v>
      </c>
      <c r="AD2287" t="s">
        <v>387</v>
      </c>
    </row>
    <row r="2288" spans="2:30">
      <c r="B2288">
        <v>0</v>
      </c>
      <c r="C2288">
        <v>1020</v>
      </c>
      <c r="D2288" t="s">
        <v>384</v>
      </c>
      <c r="E2288">
        <v>10056866</v>
      </c>
      <c r="F2288" t="s">
        <v>2375</v>
      </c>
      <c r="G2288" t="s">
        <v>43</v>
      </c>
      <c r="H2288" t="s">
        <v>32</v>
      </c>
      <c r="I2288" t="s">
        <v>386</v>
      </c>
      <c r="J2288" t="s">
        <v>45</v>
      </c>
      <c r="K2288" t="s">
        <v>35</v>
      </c>
      <c r="L2288" t="s">
        <v>175</v>
      </c>
      <c r="M2288" t="s">
        <v>117</v>
      </c>
      <c r="N2288">
        <v>0</v>
      </c>
      <c r="O2288">
        <v>0</v>
      </c>
      <c r="P2288">
        <v>0</v>
      </c>
      <c r="Q2288">
        <v>3</v>
      </c>
      <c r="R2288">
        <v>0</v>
      </c>
      <c r="S2288" t="str">
        <f t="shared" si="175"/>
        <v>PY: Media Crit.</v>
      </c>
      <c r="T2288">
        <f t="shared" si="176"/>
        <v>0</v>
      </c>
      <c r="U2288">
        <f t="shared" si="177"/>
        <v>0</v>
      </c>
      <c r="V2288">
        <f t="shared" si="178"/>
        <v>0</v>
      </c>
      <c r="W2288">
        <f t="shared" si="179"/>
        <v>1</v>
      </c>
      <c r="X2288">
        <v>1</v>
      </c>
      <c r="Y2288" s="2">
        <v>45768</v>
      </c>
      <c r="Z2288" s="3" t="s">
        <v>118</v>
      </c>
      <c r="AA2288" t="s">
        <v>39</v>
      </c>
      <c r="AB2288" t="s">
        <v>40</v>
      </c>
      <c r="AC2288" t="s">
        <v>40</v>
      </c>
      <c r="AD2288" t="s">
        <v>387</v>
      </c>
    </row>
    <row r="2289" spans="2:30">
      <c r="B2289">
        <v>0</v>
      </c>
      <c r="C2289">
        <v>1020</v>
      </c>
      <c r="D2289" t="s">
        <v>693</v>
      </c>
      <c r="E2289">
        <v>10056887</v>
      </c>
      <c r="F2289" t="s">
        <v>2376</v>
      </c>
      <c r="G2289" t="s">
        <v>52</v>
      </c>
      <c r="H2289" t="s">
        <v>32</v>
      </c>
      <c r="I2289" t="s">
        <v>695</v>
      </c>
      <c r="J2289" t="s">
        <v>45</v>
      </c>
      <c r="K2289" t="s">
        <v>35</v>
      </c>
      <c r="L2289" t="s">
        <v>175</v>
      </c>
      <c r="M2289" t="s">
        <v>69</v>
      </c>
      <c r="N2289">
        <v>0</v>
      </c>
      <c r="O2289">
        <v>0</v>
      </c>
      <c r="P2289">
        <v>0</v>
      </c>
      <c r="Q2289">
        <v>1</v>
      </c>
      <c r="R2289">
        <v>0</v>
      </c>
      <c r="S2289" t="str">
        <f t="shared" si="175"/>
        <v>PZ: Alta Crit.</v>
      </c>
      <c r="T2289">
        <f t="shared" si="176"/>
        <v>0</v>
      </c>
      <c r="U2289">
        <f t="shared" si="177"/>
        <v>0</v>
      </c>
      <c r="V2289">
        <f t="shared" si="178"/>
        <v>0</v>
      </c>
      <c r="W2289">
        <f t="shared" si="179"/>
        <v>1</v>
      </c>
      <c r="X2289">
        <v>1</v>
      </c>
      <c r="Y2289" s="2">
        <v>45768</v>
      </c>
      <c r="Z2289" s="3" t="s">
        <v>70</v>
      </c>
      <c r="AA2289" t="s">
        <v>39</v>
      </c>
      <c r="AB2289" t="s">
        <v>40</v>
      </c>
      <c r="AC2289" t="s">
        <v>40</v>
      </c>
      <c r="AD2289" t="s">
        <v>696</v>
      </c>
    </row>
    <row r="2290" spans="2:30">
      <c r="B2290">
        <v>0</v>
      </c>
      <c r="C2290">
        <v>1020</v>
      </c>
      <c r="D2290" t="s">
        <v>384</v>
      </c>
      <c r="E2290">
        <v>10056943</v>
      </c>
      <c r="F2290" t="s">
        <v>2377</v>
      </c>
      <c r="G2290" t="s">
        <v>52</v>
      </c>
      <c r="H2290" t="s">
        <v>32</v>
      </c>
      <c r="I2290" t="s">
        <v>386</v>
      </c>
      <c r="J2290" t="s">
        <v>45</v>
      </c>
      <c r="K2290" t="s">
        <v>35</v>
      </c>
      <c r="L2290" t="s">
        <v>175</v>
      </c>
      <c r="M2290" t="s">
        <v>69</v>
      </c>
      <c r="N2290">
        <v>0</v>
      </c>
      <c r="O2290">
        <v>0</v>
      </c>
      <c r="P2290">
        <v>0</v>
      </c>
      <c r="Q2290">
        <v>35</v>
      </c>
      <c r="R2290">
        <v>0</v>
      </c>
      <c r="S2290" t="str">
        <f t="shared" si="175"/>
        <v>PZ: Alta Crit.</v>
      </c>
      <c r="T2290">
        <f t="shared" si="176"/>
        <v>0</v>
      </c>
      <c r="U2290">
        <f t="shared" si="177"/>
        <v>0</v>
      </c>
      <c r="V2290">
        <f t="shared" si="178"/>
        <v>0</v>
      </c>
      <c r="W2290">
        <f t="shared" si="179"/>
        <v>1</v>
      </c>
      <c r="X2290">
        <v>1</v>
      </c>
      <c r="Y2290" s="2">
        <v>45768</v>
      </c>
      <c r="Z2290" s="3" t="s">
        <v>70</v>
      </c>
      <c r="AA2290" t="s">
        <v>39</v>
      </c>
      <c r="AB2290" t="s">
        <v>40</v>
      </c>
      <c r="AC2290" t="s">
        <v>40</v>
      </c>
      <c r="AD2290" t="s">
        <v>387</v>
      </c>
    </row>
    <row r="2291" spans="2:30">
      <c r="B2291">
        <v>0</v>
      </c>
      <c r="C2291">
        <v>1020</v>
      </c>
      <c r="D2291" t="s">
        <v>384</v>
      </c>
      <c r="E2291">
        <v>10057029</v>
      </c>
      <c r="F2291" t="s">
        <v>2378</v>
      </c>
      <c r="G2291" t="s">
        <v>52</v>
      </c>
      <c r="H2291" t="s">
        <v>32</v>
      </c>
      <c r="I2291" t="s">
        <v>386</v>
      </c>
      <c r="J2291" t="s">
        <v>45</v>
      </c>
      <c r="K2291" t="s">
        <v>35</v>
      </c>
      <c r="L2291" t="s">
        <v>175</v>
      </c>
      <c r="M2291" t="s">
        <v>46</v>
      </c>
      <c r="N2291">
        <v>0</v>
      </c>
      <c r="O2291">
        <v>0</v>
      </c>
      <c r="P2291">
        <v>0</v>
      </c>
      <c r="Q2291">
        <v>3</v>
      </c>
      <c r="R2291">
        <v>0</v>
      </c>
      <c r="S2291" t="str">
        <f t="shared" si="175"/>
        <v>PZ: Alta Crit.</v>
      </c>
      <c r="T2291">
        <f t="shared" si="176"/>
        <v>0</v>
      </c>
      <c r="U2291">
        <f t="shared" si="177"/>
        <v>0</v>
      </c>
      <c r="V2291">
        <f t="shared" si="178"/>
        <v>0</v>
      </c>
      <c r="W2291">
        <f t="shared" si="179"/>
        <v>1</v>
      </c>
      <c r="X2291">
        <v>1</v>
      </c>
      <c r="Y2291" s="2">
        <v>45768</v>
      </c>
      <c r="Z2291" s="3" t="s">
        <v>47</v>
      </c>
      <c r="AA2291" t="s">
        <v>39</v>
      </c>
      <c r="AB2291" t="s">
        <v>40</v>
      </c>
      <c r="AC2291" t="s">
        <v>40</v>
      </c>
      <c r="AD2291" t="s">
        <v>387</v>
      </c>
    </row>
    <row r="2292" spans="2:30">
      <c r="B2292">
        <v>0</v>
      </c>
      <c r="C2292">
        <v>1020</v>
      </c>
      <c r="D2292" t="s">
        <v>693</v>
      </c>
      <c r="E2292">
        <v>10057030</v>
      </c>
      <c r="F2292" t="s">
        <v>2379</v>
      </c>
      <c r="G2292" t="s">
        <v>43</v>
      </c>
      <c r="H2292" t="s">
        <v>32</v>
      </c>
      <c r="I2292" t="s">
        <v>695</v>
      </c>
      <c r="J2292" t="s">
        <v>45</v>
      </c>
      <c r="K2292" t="s">
        <v>35</v>
      </c>
      <c r="L2292" t="s">
        <v>175</v>
      </c>
      <c r="M2292" t="s">
        <v>117</v>
      </c>
      <c r="N2292">
        <v>0</v>
      </c>
      <c r="O2292">
        <v>0</v>
      </c>
      <c r="P2292">
        <v>0</v>
      </c>
      <c r="Q2292">
        <v>50</v>
      </c>
      <c r="R2292">
        <v>0</v>
      </c>
      <c r="S2292" t="str">
        <f t="shared" si="175"/>
        <v>PY: Media Crit.</v>
      </c>
      <c r="T2292">
        <f t="shared" si="176"/>
        <v>0</v>
      </c>
      <c r="U2292">
        <f t="shared" si="177"/>
        <v>0</v>
      </c>
      <c r="V2292">
        <f t="shared" si="178"/>
        <v>0</v>
      </c>
      <c r="W2292">
        <f t="shared" si="179"/>
        <v>1</v>
      </c>
      <c r="X2292">
        <v>1</v>
      </c>
      <c r="Y2292" s="2">
        <v>45768</v>
      </c>
      <c r="Z2292" s="3" t="s">
        <v>118</v>
      </c>
      <c r="AA2292" t="s">
        <v>39</v>
      </c>
      <c r="AB2292" t="s">
        <v>40</v>
      </c>
      <c r="AC2292" t="s">
        <v>40</v>
      </c>
      <c r="AD2292" t="s">
        <v>696</v>
      </c>
    </row>
    <row r="2293" spans="2:30">
      <c r="B2293">
        <v>0</v>
      </c>
      <c r="C2293">
        <v>1020</v>
      </c>
      <c r="D2293" t="s">
        <v>384</v>
      </c>
      <c r="E2293">
        <v>10057068</v>
      </c>
      <c r="F2293" t="s">
        <v>2380</v>
      </c>
      <c r="G2293" t="s">
        <v>52</v>
      </c>
      <c r="H2293" t="s">
        <v>32</v>
      </c>
      <c r="I2293" t="s">
        <v>386</v>
      </c>
      <c r="J2293" t="s">
        <v>45</v>
      </c>
      <c r="K2293" t="s">
        <v>35</v>
      </c>
      <c r="L2293" t="s">
        <v>175</v>
      </c>
      <c r="M2293" t="s">
        <v>117</v>
      </c>
      <c r="N2293">
        <v>0</v>
      </c>
      <c r="O2293">
        <v>0</v>
      </c>
      <c r="P2293">
        <v>0</v>
      </c>
      <c r="Q2293">
        <v>14</v>
      </c>
      <c r="R2293">
        <v>0</v>
      </c>
      <c r="S2293" t="str">
        <f t="shared" si="175"/>
        <v>PZ: Alta Crit.</v>
      </c>
      <c r="T2293">
        <f t="shared" si="176"/>
        <v>0</v>
      </c>
      <c r="U2293">
        <f t="shared" si="177"/>
        <v>0</v>
      </c>
      <c r="V2293">
        <f t="shared" si="178"/>
        <v>0</v>
      </c>
      <c r="W2293">
        <f t="shared" si="179"/>
        <v>1</v>
      </c>
      <c r="X2293">
        <v>1</v>
      </c>
      <c r="Y2293" s="2">
        <v>45768</v>
      </c>
      <c r="Z2293" s="3" t="s">
        <v>118</v>
      </c>
      <c r="AA2293" t="s">
        <v>39</v>
      </c>
      <c r="AB2293" t="s">
        <v>40</v>
      </c>
      <c r="AC2293" t="s">
        <v>40</v>
      </c>
      <c r="AD2293" t="s">
        <v>387</v>
      </c>
    </row>
    <row r="2294" spans="2:30">
      <c r="B2294">
        <v>0</v>
      </c>
      <c r="C2294">
        <v>1020</v>
      </c>
      <c r="D2294" t="s">
        <v>384</v>
      </c>
      <c r="E2294">
        <v>10057069</v>
      </c>
      <c r="F2294" t="s">
        <v>2381</v>
      </c>
      <c r="G2294" t="s">
        <v>43</v>
      </c>
      <c r="H2294" t="s">
        <v>32</v>
      </c>
      <c r="I2294" t="s">
        <v>386</v>
      </c>
      <c r="J2294" t="s">
        <v>45</v>
      </c>
      <c r="K2294" t="s">
        <v>35</v>
      </c>
      <c r="L2294" t="s">
        <v>175</v>
      </c>
      <c r="M2294" t="s">
        <v>117</v>
      </c>
      <c r="N2294">
        <v>0</v>
      </c>
      <c r="O2294">
        <v>0</v>
      </c>
      <c r="P2294">
        <v>0</v>
      </c>
      <c r="Q2294">
        <v>20</v>
      </c>
      <c r="R2294">
        <v>0</v>
      </c>
      <c r="S2294" t="str">
        <f t="shared" si="175"/>
        <v>PY: Media Crit.</v>
      </c>
      <c r="T2294">
        <f t="shared" si="176"/>
        <v>0</v>
      </c>
      <c r="U2294">
        <f t="shared" si="177"/>
        <v>0</v>
      </c>
      <c r="V2294">
        <f t="shared" si="178"/>
        <v>0</v>
      </c>
      <c r="W2294">
        <f t="shared" si="179"/>
        <v>1</v>
      </c>
      <c r="X2294">
        <v>1</v>
      </c>
      <c r="Y2294" s="2">
        <v>45768</v>
      </c>
      <c r="Z2294" s="3" t="s">
        <v>118</v>
      </c>
      <c r="AA2294" t="s">
        <v>39</v>
      </c>
      <c r="AB2294" t="s">
        <v>40</v>
      </c>
      <c r="AC2294" t="s">
        <v>40</v>
      </c>
      <c r="AD2294" t="s">
        <v>387</v>
      </c>
    </row>
    <row r="2295" spans="2:30">
      <c r="B2295">
        <v>0</v>
      </c>
      <c r="C2295">
        <v>1020</v>
      </c>
      <c r="D2295" t="s">
        <v>693</v>
      </c>
      <c r="E2295">
        <v>10057118</v>
      </c>
      <c r="F2295" t="s">
        <v>2382</v>
      </c>
      <c r="G2295" t="s">
        <v>43</v>
      </c>
      <c r="H2295" t="s">
        <v>44</v>
      </c>
      <c r="I2295" t="s">
        <v>695</v>
      </c>
      <c r="J2295" t="s">
        <v>45</v>
      </c>
      <c r="K2295" t="s">
        <v>35</v>
      </c>
      <c r="L2295" t="s">
        <v>175</v>
      </c>
      <c r="M2295" t="s">
        <v>37</v>
      </c>
      <c r="N2295">
        <v>0</v>
      </c>
      <c r="O2295">
        <v>0</v>
      </c>
      <c r="P2295">
        <v>0</v>
      </c>
      <c r="Q2295">
        <v>10</v>
      </c>
      <c r="R2295">
        <v>0</v>
      </c>
      <c r="S2295" t="str">
        <f t="shared" si="175"/>
        <v>PY: Media Crit.</v>
      </c>
      <c r="T2295">
        <f t="shared" si="176"/>
        <v>0</v>
      </c>
      <c r="U2295">
        <f t="shared" si="177"/>
        <v>0</v>
      </c>
      <c r="V2295">
        <f t="shared" si="178"/>
        <v>0</v>
      </c>
      <c r="W2295">
        <f t="shared" si="179"/>
        <v>1</v>
      </c>
      <c r="X2295">
        <v>1</v>
      </c>
      <c r="Y2295" s="2">
        <v>45768</v>
      </c>
      <c r="Z2295" s="3" t="s">
        <v>38</v>
      </c>
      <c r="AA2295" t="s">
        <v>39</v>
      </c>
      <c r="AB2295" t="s">
        <v>40</v>
      </c>
      <c r="AC2295" t="s">
        <v>40</v>
      </c>
      <c r="AD2295" t="s">
        <v>696</v>
      </c>
    </row>
    <row r="2296" spans="2:30">
      <c r="B2296">
        <v>0</v>
      </c>
      <c r="C2296">
        <v>1020</v>
      </c>
      <c r="D2296" t="s">
        <v>693</v>
      </c>
      <c r="E2296">
        <v>10057147</v>
      </c>
      <c r="F2296" t="s">
        <v>2383</v>
      </c>
      <c r="G2296" t="s">
        <v>52</v>
      </c>
      <c r="H2296" t="s">
        <v>32</v>
      </c>
      <c r="I2296" t="s">
        <v>695</v>
      </c>
      <c r="J2296" t="s">
        <v>45</v>
      </c>
      <c r="K2296" t="s">
        <v>35</v>
      </c>
      <c r="L2296" t="s">
        <v>175</v>
      </c>
      <c r="M2296" t="s">
        <v>117</v>
      </c>
      <c r="N2296">
        <v>0</v>
      </c>
      <c r="O2296">
        <v>0</v>
      </c>
      <c r="P2296">
        <v>0</v>
      </c>
      <c r="Q2296">
        <v>8</v>
      </c>
      <c r="R2296">
        <v>0</v>
      </c>
      <c r="S2296" t="str">
        <f t="shared" si="175"/>
        <v>PZ: Alta Crit.</v>
      </c>
      <c r="T2296">
        <f t="shared" si="176"/>
        <v>0</v>
      </c>
      <c r="U2296">
        <f t="shared" si="177"/>
        <v>0</v>
      </c>
      <c r="V2296">
        <f t="shared" si="178"/>
        <v>0</v>
      </c>
      <c r="W2296">
        <f t="shared" si="179"/>
        <v>1</v>
      </c>
      <c r="X2296">
        <v>1</v>
      </c>
      <c r="Y2296" s="2">
        <v>45768</v>
      </c>
      <c r="Z2296" s="3" t="s">
        <v>118</v>
      </c>
      <c r="AA2296" t="s">
        <v>39</v>
      </c>
      <c r="AB2296" t="s">
        <v>40</v>
      </c>
      <c r="AC2296" t="s">
        <v>40</v>
      </c>
      <c r="AD2296" t="s">
        <v>696</v>
      </c>
    </row>
    <row r="2297" spans="2:30">
      <c r="B2297">
        <v>0</v>
      </c>
      <c r="C2297">
        <v>1020</v>
      </c>
      <c r="D2297" t="s">
        <v>693</v>
      </c>
      <c r="E2297">
        <v>10057148</v>
      </c>
      <c r="F2297" t="s">
        <v>2384</v>
      </c>
      <c r="G2297" t="s">
        <v>52</v>
      </c>
      <c r="H2297" t="s">
        <v>32</v>
      </c>
      <c r="I2297" t="s">
        <v>695</v>
      </c>
      <c r="J2297" t="s">
        <v>45</v>
      </c>
      <c r="K2297" t="s">
        <v>35</v>
      </c>
      <c r="L2297" t="s">
        <v>175</v>
      </c>
      <c r="M2297" t="s">
        <v>117</v>
      </c>
      <c r="N2297">
        <v>0</v>
      </c>
      <c r="O2297">
        <v>0</v>
      </c>
      <c r="P2297">
        <v>0</v>
      </c>
      <c r="Q2297">
        <v>8</v>
      </c>
      <c r="R2297">
        <v>0</v>
      </c>
      <c r="S2297" t="str">
        <f t="shared" si="175"/>
        <v>PZ: Alta Crit.</v>
      </c>
      <c r="T2297">
        <f t="shared" si="176"/>
        <v>0</v>
      </c>
      <c r="U2297">
        <f t="shared" si="177"/>
        <v>0</v>
      </c>
      <c r="V2297">
        <f t="shared" si="178"/>
        <v>0</v>
      </c>
      <c r="W2297">
        <f t="shared" si="179"/>
        <v>1</v>
      </c>
      <c r="X2297">
        <v>1</v>
      </c>
      <c r="Y2297" s="2">
        <v>45768</v>
      </c>
      <c r="Z2297" s="3" t="s">
        <v>118</v>
      </c>
      <c r="AA2297" t="s">
        <v>39</v>
      </c>
      <c r="AB2297" t="s">
        <v>40</v>
      </c>
      <c r="AC2297" t="s">
        <v>40</v>
      </c>
      <c r="AD2297" t="s">
        <v>696</v>
      </c>
    </row>
    <row r="2298" spans="2:30">
      <c r="B2298">
        <v>0</v>
      </c>
      <c r="C2298">
        <v>1020</v>
      </c>
      <c r="D2298" t="s">
        <v>693</v>
      </c>
      <c r="E2298">
        <v>10057150</v>
      </c>
      <c r="F2298" t="s">
        <v>2385</v>
      </c>
      <c r="G2298" t="s">
        <v>52</v>
      </c>
      <c r="H2298" t="s">
        <v>32</v>
      </c>
      <c r="I2298" t="s">
        <v>695</v>
      </c>
      <c r="J2298" t="s">
        <v>45</v>
      </c>
      <c r="K2298" t="s">
        <v>35</v>
      </c>
      <c r="L2298" t="s">
        <v>175</v>
      </c>
      <c r="M2298" t="s">
        <v>117</v>
      </c>
      <c r="N2298">
        <v>0</v>
      </c>
      <c r="O2298">
        <v>0</v>
      </c>
      <c r="P2298">
        <v>0</v>
      </c>
      <c r="Q2298">
        <v>8</v>
      </c>
      <c r="R2298">
        <v>0</v>
      </c>
      <c r="S2298" t="str">
        <f t="shared" si="175"/>
        <v>PZ: Alta Crit.</v>
      </c>
      <c r="T2298">
        <f t="shared" si="176"/>
        <v>0</v>
      </c>
      <c r="U2298">
        <f t="shared" si="177"/>
        <v>0</v>
      </c>
      <c r="V2298">
        <f t="shared" si="178"/>
        <v>0</v>
      </c>
      <c r="W2298">
        <f t="shared" si="179"/>
        <v>1</v>
      </c>
      <c r="X2298">
        <v>1</v>
      </c>
      <c r="Y2298" s="2">
        <v>45768</v>
      </c>
      <c r="Z2298" s="3" t="s">
        <v>118</v>
      </c>
      <c r="AA2298" t="s">
        <v>39</v>
      </c>
      <c r="AB2298" t="s">
        <v>40</v>
      </c>
      <c r="AC2298" t="s">
        <v>40</v>
      </c>
      <c r="AD2298" t="s">
        <v>696</v>
      </c>
    </row>
    <row r="2299" spans="2:30">
      <c r="B2299">
        <v>0</v>
      </c>
      <c r="C2299">
        <v>1020</v>
      </c>
      <c r="D2299" t="s">
        <v>181</v>
      </c>
      <c r="E2299">
        <v>10066691</v>
      </c>
      <c r="F2299" t="s">
        <v>2386</v>
      </c>
      <c r="G2299" t="s">
        <v>52</v>
      </c>
      <c r="H2299" t="s">
        <v>44</v>
      </c>
      <c r="I2299" t="s">
        <v>183</v>
      </c>
      <c r="J2299" t="s">
        <v>45</v>
      </c>
      <c r="K2299" t="s">
        <v>35</v>
      </c>
      <c r="L2299" t="s">
        <v>36</v>
      </c>
      <c r="M2299" t="s">
        <v>46</v>
      </c>
      <c r="N2299">
        <v>1</v>
      </c>
      <c r="O2299">
        <v>1</v>
      </c>
      <c r="P2299">
        <v>1</v>
      </c>
      <c r="Q2299">
        <v>1</v>
      </c>
      <c r="R2299">
        <v>0</v>
      </c>
      <c r="S2299" t="str">
        <f t="shared" si="175"/>
        <v>PZ: Alta Crit.</v>
      </c>
      <c r="T2299">
        <f t="shared" si="176"/>
        <v>0</v>
      </c>
      <c r="U2299">
        <f t="shared" si="177"/>
        <v>1</v>
      </c>
      <c r="V2299">
        <f t="shared" si="178"/>
        <v>0</v>
      </c>
      <c r="W2299">
        <f t="shared" si="179"/>
        <v>0</v>
      </c>
      <c r="X2299">
        <v>1</v>
      </c>
      <c r="Y2299" s="2">
        <v>45768</v>
      </c>
      <c r="Z2299" s="3" t="s">
        <v>47</v>
      </c>
      <c r="AA2299" t="s">
        <v>39</v>
      </c>
      <c r="AB2299" t="s">
        <v>40</v>
      </c>
      <c r="AC2299" t="s">
        <v>40</v>
      </c>
      <c r="AD2299" t="s">
        <v>184</v>
      </c>
    </row>
    <row r="2300" spans="2:30">
      <c r="B2300">
        <v>0</v>
      </c>
      <c r="C2300">
        <v>1020</v>
      </c>
      <c r="D2300" t="s">
        <v>181</v>
      </c>
      <c r="E2300">
        <v>10070788</v>
      </c>
      <c r="F2300" t="s">
        <v>2387</v>
      </c>
      <c r="G2300" t="s">
        <v>52</v>
      </c>
      <c r="H2300" t="s">
        <v>32</v>
      </c>
      <c r="I2300" t="s">
        <v>183</v>
      </c>
      <c r="J2300" t="s">
        <v>45</v>
      </c>
      <c r="K2300" t="s">
        <v>35</v>
      </c>
      <c r="L2300" t="s">
        <v>36</v>
      </c>
      <c r="M2300" t="s">
        <v>69</v>
      </c>
      <c r="N2300">
        <v>2</v>
      </c>
      <c r="O2300">
        <v>1</v>
      </c>
      <c r="P2300">
        <v>0</v>
      </c>
      <c r="Q2300">
        <v>2</v>
      </c>
      <c r="R2300">
        <v>0</v>
      </c>
      <c r="S2300" t="str">
        <f t="shared" si="175"/>
        <v>PZ: Alta Crit.</v>
      </c>
      <c r="T2300">
        <f t="shared" si="176"/>
        <v>0</v>
      </c>
      <c r="U2300">
        <f t="shared" si="177"/>
        <v>0</v>
      </c>
      <c r="V2300">
        <f t="shared" si="178"/>
        <v>1</v>
      </c>
      <c r="W2300">
        <f t="shared" si="179"/>
        <v>0</v>
      </c>
      <c r="X2300">
        <v>1</v>
      </c>
      <c r="Y2300" s="2">
        <v>45768</v>
      </c>
      <c r="Z2300" s="3" t="s">
        <v>70</v>
      </c>
      <c r="AA2300" t="s">
        <v>39</v>
      </c>
      <c r="AB2300" t="s">
        <v>40</v>
      </c>
      <c r="AC2300" t="s">
        <v>40</v>
      </c>
      <c r="AD2300" t="s">
        <v>184</v>
      </c>
    </row>
    <row r="2301" spans="2:30">
      <c r="B2301">
        <v>0</v>
      </c>
      <c r="C2301">
        <v>1020</v>
      </c>
      <c r="D2301" t="s">
        <v>693</v>
      </c>
      <c r="E2301">
        <v>10090562</v>
      </c>
      <c r="F2301" t="s">
        <v>2388</v>
      </c>
      <c r="G2301" t="s">
        <v>52</v>
      </c>
      <c r="H2301" t="s">
        <v>32</v>
      </c>
      <c r="I2301" t="s">
        <v>695</v>
      </c>
      <c r="J2301" t="s">
        <v>45</v>
      </c>
      <c r="K2301" t="s">
        <v>35</v>
      </c>
      <c r="L2301" t="s">
        <v>175</v>
      </c>
      <c r="M2301" t="s">
        <v>46</v>
      </c>
      <c r="N2301">
        <v>0</v>
      </c>
      <c r="O2301">
        <v>0</v>
      </c>
      <c r="P2301">
        <v>0</v>
      </c>
      <c r="Q2301">
        <v>0</v>
      </c>
      <c r="R2301">
        <v>0</v>
      </c>
      <c r="S2301" t="str">
        <f t="shared" si="175"/>
        <v>PZ: Alta Crit.</v>
      </c>
      <c r="T2301">
        <f t="shared" si="176"/>
        <v>1</v>
      </c>
      <c r="U2301">
        <f t="shared" si="177"/>
        <v>0</v>
      </c>
      <c r="V2301">
        <f t="shared" si="178"/>
        <v>0</v>
      </c>
      <c r="W2301">
        <f t="shared" si="179"/>
        <v>0</v>
      </c>
      <c r="X2301">
        <v>1</v>
      </c>
      <c r="Y2301" s="2">
        <v>45768</v>
      </c>
      <c r="Z2301" s="3" t="s">
        <v>47</v>
      </c>
      <c r="AA2301" t="s">
        <v>39</v>
      </c>
      <c r="AB2301" t="s">
        <v>40</v>
      </c>
      <c r="AC2301" t="s">
        <v>40</v>
      </c>
      <c r="AD2301" t="s">
        <v>696</v>
      </c>
    </row>
    <row r="2302" spans="2:30">
      <c r="B2302">
        <v>0</v>
      </c>
      <c r="C2302">
        <v>1020</v>
      </c>
      <c r="D2302" t="s">
        <v>388</v>
      </c>
      <c r="E2302">
        <v>10090663</v>
      </c>
      <c r="F2302" t="s">
        <v>2389</v>
      </c>
      <c r="G2302" t="s">
        <v>52</v>
      </c>
      <c r="H2302" t="s">
        <v>32</v>
      </c>
      <c r="I2302" t="s">
        <v>390</v>
      </c>
      <c r="J2302" t="s">
        <v>45</v>
      </c>
      <c r="K2302" t="s">
        <v>35</v>
      </c>
      <c r="L2302" t="s">
        <v>175</v>
      </c>
      <c r="M2302" t="s">
        <v>69</v>
      </c>
      <c r="N2302">
        <v>0</v>
      </c>
      <c r="O2302">
        <v>0</v>
      </c>
      <c r="P2302">
        <v>2</v>
      </c>
      <c r="Q2302">
        <v>2</v>
      </c>
      <c r="R2302">
        <v>0</v>
      </c>
      <c r="S2302" t="str">
        <f t="shared" si="175"/>
        <v>PZ: Alta Crit.</v>
      </c>
      <c r="T2302">
        <f t="shared" si="176"/>
        <v>0</v>
      </c>
      <c r="U2302">
        <f t="shared" si="177"/>
        <v>1</v>
      </c>
      <c r="V2302">
        <f t="shared" si="178"/>
        <v>0</v>
      </c>
      <c r="W2302">
        <f t="shared" si="179"/>
        <v>1</v>
      </c>
      <c r="X2302">
        <v>1</v>
      </c>
      <c r="Y2302" s="2">
        <v>45768</v>
      </c>
      <c r="Z2302" s="3" t="s">
        <v>70</v>
      </c>
      <c r="AA2302" t="s">
        <v>39</v>
      </c>
      <c r="AB2302" t="s">
        <v>40</v>
      </c>
      <c r="AC2302" t="s">
        <v>40</v>
      </c>
      <c r="AD2302" t="s">
        <v>391</v>
      </c>
    </row>
    <row r="2303" spans="2:30">
      <c r="B2303">
        <v>0</v>
      </c>
      <c r="C2303">
        <v>1020</v>
      </c>
      <c r="D2303" t="s">
        <v>388</v>
      </c>
      <c r="E2303">
        <v>10090679</v>
      </c>
      <c r="F2303" t="s">
        <v>2390</v>
      </c>
      <c r="G2303" t="s">
        <v>52</v>
      </c>
      <c r="H2303" t="s">
        <v>60</v>
      </c>
      <c r="I2303" t="s">
        <v>390</v>
      </c>
      <c r="J2303" t="s">
        <v>45</v>
      </c>
      <c r="K2303" t="s">
        <v>35</v>
      </c>
      <c r="L2303" t="s">
        <v>175</v>
      </c>
      <c r="M2303" t="s">
        <v>46</v>
      </c>
      <c r="N2303">
        <v>0</v>
      </c>
      <c r="O2303">
        <v>0</v>
      </c>
      <c r="P2303">
        <v>1</v>
      </c>
      <c r="Q2303">
        <v>1</v>
      </c>
      <c r="R2303">
        <v>0</v>
      </c>
      <c r="S2303" t="str">
        <f t="shared" si="175"/>
        <v>PZ: Alta Crit.</v>
      </c>
      <c r="T2303">
        <f t="shared" si="176"/>
        <v>0</v>
      </c>
      <c r="U2303">
        <f t="shared" si="177"/>
        <v>1</v>
      </c>
      <c r="V2303">
        <f t="shared" si="178"/>
        <v>0</v>
      </c>
      <c r="W2303">
        <f t="shared" si="179"/>
        <v>1</v>
      </c>
      <c r="X2303">
        <v>1</v>
      </c>
      <c r="Y2303" s="2">
        <v>45768</v>
      </c>
      <c r="Z2303" s="3" t="s">
        <v>47</v>
      </c>
      <c r="AA2303" t="s">
        <v>39</v>
      </c>
      <c r="AB2303" t="s">
        <v>40</v>
      </c>
      <c r="AC2303" t="s">
        <v>40</v>
      </c>
      <c r="AD2303" t="s">
        <v>391</v>
      </c>
    </row>
    <row r="2304" spans="2:30">
      <c r="B2304">
        <v>0</v>
      </c>
      <c r="C2304">
        <v>1020</v>
      </c>
      <c r="D2304" t="s">
        <v>388</v>
      </c>
      <c r="E2304">
        <v>10090683</v>
      </c>
      <c r="F2304" t="s">
        <v>2391</v>
      </c>
      <c r="G2304" t="s">
        <v>43</v>
      </c>
      <c r="H2304" t="s">
        <v>32</v>
      </c>
      <c r="I2304" t="s">
        <v>390</v>
      </c>
      <c r="J2304" t="s">
        <v>45</v>
      </c>
      <c r="K2304" t="s">
        <v>35</v>
      </c>
      <c r="L2304" t="s">
        <v>175</v>
      </c>
      <c r="M2304" t="s">
        <v>37</v>
      </c>
      <c r="N2304">
        <v>0</v>
      </c>
      <c r="O2304">
        <v>0</v>
      </c>
      <c r="P2304">
        <v>2</v>
      </c>
      <c r="Q2304">
        <v>2</v>
      </c>
      <c r="R2304">
        <v>0</v>
      </c>
      <c r="S2304" t="str">
        <f t="shared" si="175"/>
        <v>PY: Media Crit.</v>
      </c>
      <c r="T2304">
        <f t="shared" si="176"/>
        <v>0</v>
      </c>
      <c r="U2304">
        <f t="shared" si="177"/>
        <v>1</v>
      </c>
      <c r="V2304">
        <f t="shared" si="178"/>
        <v>0</v>
      </c>
      <c r="W2304">
        <f t="shared" si="179"/>
        <v>1</v>
      </c>
      <c r="X2304">
        <v>1</v>
      </c>
      <c r="Y2304" s="2">
        <v>45768</v>
      </c>
      <c r="Z2304" s="3" t="s">
        <v>38</v>
      </c>
      <c r="AA2304" t="s">
        <v>39</v>
      </c>
      <c r="AB2304" t="s">
        <v>40</v>
      </c>
      <c r="AC2304" t="s">
        <v>40</v>
      </c>
      <c r="AD2304" t="s">
        <v>391</v>
      </c>
    </row>
    <row r="2305" spans="2:30">
      <c r="B2305">
        <v>0</v>
      </c>
      <c r="C2305">
        <v>1020</v>
      </c>
      <c r="D2305" t="s">
        <v>384</v>
      </c>
      <c r="E2305">
        <v>10090794</v>
      </c>
      <c r="F2305" t="s">
        <v>2392</v>
      </c>
      <c r="G2305" t="s">
        <v>52</v>
      </c>
      <c r="H2305" t="s">
        <v>32</v>
      </c>
      <c r="I2305" t="s">
        <v>386</v>
      </c>
      <c r="J2305" t="s">
        <v>45</v>
      </c>
      <c r="K2305" t="s">
        <v>35</v>
      </c>
      <c r="L2305" t="s">
        <v>175</v>
      </c>
      <c r="M2305" t="s">
        <v>55</v>
      </c>
      <c r="N2305">
        <v>0</v>
      </c>
      <c r="O2305">
        <v>0</v>
      </c>
      <c r="P2305">
        <v>1</v>
      </c>
      <c r="Q2305">
        <v>1</v>
      </c>
      <c r="R2305">
        <v>0</v>
      </c>
      <c r="S2305" t="str">
        <f t="shared" si="175"/>
        <v>PZ: Alta Crit.</v>
      </c>
      <c r="T2305">
        <f t="shared" si="176"/>
        <v>0</v>
      </c>
      <c r="U2305">
        <f t="shared" si="177"/>
        <v>1</v>
      </c>
      <c r="V2305">
        <f t="shared" si="178"/>
        <v>0</v>
      </c>
      <c r="W2305">
        <f t="shared" si="179"/>
        <v>1</v>
      </c>
      <c r="X2305">
        <v>1</v>
      </c>
      <c r="Y2305" s="2">
        <v>45768</v>
      </c>
      <c r="Z2305" s="3" t="s">
        <v>56</v>
      </c>
      <c r="AA2305" t="s">
        <v>39</v>
      </c>
      <c r="AB2305" t="s">
        <v>40</v>
      </c>
      <c r="AC2305" t="s">
        <v>40</v>
      </c>
      <c r="AD2305" t="s">
        <v>387</v>
      </c>
    </row>
    <row r="2306" spans="2:30">
      <c r="B2306">
        <v>0</v>
      </c>
      <c r="C2306">
        <v>1020</v>
      </c>
      <c r="D2306" t="s">
        <v>388</v>
      </c>
      <c r="E2306">
        <v>10090795</v>
      </c>
      <c r="F2306" t="s">
        <v>2393</v>
      </c>
      <c r="G2306" t="s">
        <v>52</v>
      </c>
      <c r="H2306" t="s">
        <v>32</v>
      </c>
      <c r="I2306" t="s">
        <v>390</v>
      </c>
      <c r="J2306" t="s">
        <v>45</v>
      </c>
      <c r="K2306" t="s">
        <v>35</v>
      </c>
      <c r="L2306" t="s">
        <v>175</v>
      </c>
      <c r="M2306" t="s">
        <v>55</v>
      </c>
      <c r="N2306">
        <v>0</v>
      </c>
      <c r="O2306">
        <v>0</v>
      </c>
      <c r="P2306">
        <v>1</v>
      </c>
      <c r="Q2306">
        <v>1</v>
      </c>
      <c r="R2306">
        <v>0</v>
      </c>
      <c r="S2306" t="str">
        <f t="shared" ref="S2306:S2369" si="180">+IF(G2306="PZ", "PZ: Alta Crit.",IF(G2306="PY","PY: Media Crit.", "PX: Baja Crit."))</f>
        <v>PZ: Alta Crit.</v>
      </c>
      <c r="T2306">
        <f t="shared" ref="T2306:T2369" si="181">+IF(Q2306=0,1,0)</f>
        <v>0</v>
      </c>
      <c r="U2306">
        <f t="shared" ref="U2306:U2369" si="182">+IF(AND(Q2306&lt;=P2306,Q2306&gt;0),1,0)</f>
        <v>1</v>
      </c>
      <c r="V2306">
        <f t="shared" ref="V2306:V2369" si="183">+IF(AND(Q2306&gt;P2306,Q2306&lt;=N2306),1,0)</f>
        <v>0</v>
      </c>
      <c r="W2306">
        <f t="shared" ref="W2306:W2369" si="184">+IF(Q2306&gt;N2306,1,0)</f>
        <v>1</v>
      </c>
      <c r="X2306">
        <v>1</v>
      </c>
      <c r="Y2306" s="2">
        <v>45768</v>
      </c>
      <c r="Z2306" s="3" t="s">
        <v>56</v>
      </c>
      <c r="AA2306" t="s">
        <v>39</v>
      </c>
      <c r="AB2306" t="s">
        <v>40</v>
      </c>
      <c r="AC2306" t="s">
        <v>40</v>
      </c>
      <c r="AD2306" t="s">
        <v>391</v>
      </c>
    </row>
    <row r="2307" spans="2:30">
      <c r="B2307">
        <v>0</v>
      </c>
      <c r="C2307">
        <v>1020</v>
      </c>
      <c r="D2307" t="s">
        <v>693</v>
      </c>
      <c r="E2307">
        <v>10107119</v>
      </c>
      <c r="F2307" t="s">
        <v>2394</v>
      </c>
      <c r="G2307" t="s">
        <v>43</v>
      </c>
      <c r="H2307" t="s">
        <v>32</v>
      </c>
      <c r="I2307" t="s">
        <v>695</v>
      </c>
      <c r="J2307" t="s">
        <v>45</v>
      </c>
      <c r="K2307" t="s">
        <v>35</v>
      </c>
      <c r="L2307" t="s">
        <v>175</v>
      </c>
      <c r="M2307" t="s">
        <v>69</v>
      </c>
      <c r="N2307">
        <v>0</v>
      </c>
      <c r="O2307">
        <v>0</v>
      </c>
      <c r="P2307">
        <v>0</v>
      </c>
      <c r="Q2307">
        <v>4</v>
      </c>
      <c r="R2307">
        <v>0</v>
      </c>
      <c r="S2307" t="str">
        <f t="shared" si="180"/>
        <v>PY: Media Crit.</v>
      </c>
      <c r="T2307">
        <f t="shared" si="181"/>
        <v>0</v>
      </c>
      <c r="U2307">
        <f t="shared" si="182"/>
        <v>0</v>
      </c>
      <c r="V2307">
        <f t="shared" si="183"/>
        <v>0</v>
      </c>
      <c r="W2307">
        <f t="shared" si="184"/>
        <v>1</v>
      </c>
      <c r="X2307">
        <v>1</v>
      </c>
      <c r="Y2307" s="2">
        <v>45768</v>
      </c>
      <c r="Z2307" s="3" t="s">
        <v>70</v>
      </c>
      <c r="AA2307" t="s">
        <v>39</v>
      </c>
      <c r="AB2307" t="s">
        <v>40</v>
      </c>
      <c r="AC2307" t="s">
        <v>40</v>
      </c>
      <c r="AD2307" t="s">
        <v>696</v>
      </c>
    </row>
    <row r="2308" spans="2:30">
      <c r="B2308">
        <v>0</v>
      </c>
      <c r="C2308">
        <v>1020</v>
      </c>
      <c r="D2308" t="s">
        <v>693</v>
      </c>
      <c r="E2308">
        <v>10109406</v>
      </c>
      <c r="F2308" t="s">
        <v>2395</v>
      </c>
      <c r="G2308" t="s">
        <v>43</v>
      </c>
      <c r="H2308" t="s">
        <v>32</v>
      </c>
      <c r="I2308" t="s">
        <v>695</v>
      </c>
      <c r="J2308" t="s">
        <v>45</v>
      </c>
      <c r="K2308" t="s">
        <v>35</v>
      </c>
      <c r="L2308" t="s">
        <v>175</v>
      </c>
      <c r="M2308" t="s">
        <v>37</v>
      </c>
      <c r="N2308">
        <v>0</v>
      </c>
      <c r="O2308">
        <v>0</v>
      </c>
      <c r="P2308">
        <v>0</v>
      </c>
      <c r="Q2308">
        <v>2</v>
      </c>
      <c r="R2308">
        <v>0</v>
      </c>
      <c r="S2308" t="str">
        <f t="shared" si="180"/>
        <v>PY: Media Crit.</v>
      </c>
      <c r="T2308">
        <f t="shared" si="181"/>
        <v>0</v>
      </c>
      <c r="U2308">
        <f t="shared" si="182"/>
        <v>0</v>
      </c>
      <c r="V2308">
        <f t="shared" si="183"/>
        <v>0</v>
      </c>
      <c r="W2308">
        <f t="shared" si="184"/>
        <v>1</v>
      </c>
      <c r="X2308">
        <v>1</v>
      </c>
      <c r="Y2308" s="2">
        <v>45768</v>
      </c>
      <c r="Z2308" s="3" t="s">
        <v>38</v>
      </c>
      <c r="AA2308" t="s">
        <v>39</v>
      </c>
      <c r="AB2308" t="s">
        <v>40</v>
      </c>
      <c r="AC2308" t="s">
        <v>40</v>
      </c>
      <c r="AD2308" t="s">
        <v>696</v>
      </c>
    </row>
    <row r="2309" spans="2:30">
      <c r="B2309">
        <v>0</v>
      </c>
      <c r="C2309">
        <v>1020</v>
      </c>
      <c r="D2309" t="s">
        <v>388</v>
      </c>
      <c r="E2309">
        <v>10117465</v>
      </c>
      <c r="F2309" t="s">
        <v>2396</v>
      </c>
      <c r="G2309" t="s">
        <v>52</v>
      </c>
      <c r="H2309" t="s">
        <v>32</v>
      </c>
      <c r="I2309" t="s">
        <v>390</v>
      </c>
      <c r="J2309" t="s">
        <v>45</v>
      </c>
      <c r="K2309" t="s">
        <v>35</v>
      </c>
      <c r="L2309" t="s">
        <v>175</v>
      </c>
      <c r="M2309" t="s">
        <v>69</v>
      </c>
      <c r="N2309">
        <v>0</v>
      </c>
      <c r="O2309">
        <v>0</v>
      </c>
      <c r="P2309">
        <v>1</v>
      </c>
      <c r="Q2309">
        <v>1</v>
      </c>
      <c r="R2309">
        <v>0</v>
      </c>
      <c r="S2309" t="str">
        <f t="shared" si="180"/>
        <v>PZ: Alta Crit.</v>
      </c>
      <c r="T2309">
        <f t="shared" si="181"/>
        <v>0</v>
      </c>
      <c r="U2309">
        <f t="shared" si="182"/>
        <v>1</v>
      </c>
      <c r="V2309">
        <f t="shared" si="183"/>
        <v>0</v>
      </c>
      <c r="W2309">
        <f t="shared" si="184"/>
        <v>1</v>
      </c>
      <c r="X2309">
        <v>1</v>
      </c>
      <c r="Y2309" s="2">
        <v>45768</v>
      </c>
      <c r="Z2309" s="3" t="s">
        <v>70</v>
      </c>
      <c r="AA2309" t="s">
        <v>39</v>
      </c>
      <c r="AB2309" t="s">
        <v>40</v>
      </c>
      <c r="AC2309" t="s">
        <v>40</v>
      </c>
      <c r="AD2309" t="s">
        <v>391</v>
      </c>
    </row>
    <row r="2310" spans="2:30">
      <c r="B2310">
        <v>0</v>
      </c>
      <c r="C2310">
        <v>1020</v>
      </c>
      <c r="D2310" t="s">
        <v>388</v>
      </c>
      <c r="E2310">
        <v>10124633</v>
      </c>
      <c r="F2310" t="s">
        <v>2397</v>
      </c>
      <c r="G2310" t="s">
        <v>52</v>
      </c>
      <c r="H2310" t="s">
        <v>32</v>
      </c>
      <c r="I2310" t="s">
        <v>390</v>
      </c>
      <c r="J2310" t="s">
        <v>45</v>
      </c>
      <c r="K2310" t="s">
        <v>35</v>
      </c>
      <c r="L2310" t="s">
        <v>175</v>
      </c>
      <c r="M2310" t="s">
        <v>69</v>
      </c>
      <c r="N2310">
        <v>0</v>
      </c>
      <c r="O2310">
        <v>0</v>
      </c>
      <c r="P2310">
        <v>1</v>
      </c>
      <c r="Q2310">
        <v>1</v>
      </c>
      <c r="R2310" s="4">
        <v>2670.84</v>
      </c>
      <c r="S2310" t="str">
        <f t="shared" si="180"/>
        <v>PZ: Alta Crit.</v>
      </c>
      <c r="T2310">
        <f t="shared" si="181"/>
        <v>0</v>
      </c>
      <c r="U2310">
        <f t="shared" si="182"/>
        <v>1</v>
      </c>
      <c r="V2310">
        <f t="shared" si="183"/>
        <v>0</v>
      </c>
      <c r="W2310">
        <f t="shared" si="184"/>
        <v>1</v>
      </c>
      <c r="X2310">
        <v>1</v>
      </c>
      <c r="Y2310" s="2">
        <v>45768</v>
      </c>
      <c r="Z2310" s="3" t="s">
        <v>70</v>
      </c>
      <c r="AA2310" t="s">
        <v>39</v>
      </c>
      <c r="AB2310" t="s">
        <v>40</v>
      </c>
      <c r="AC2310" t="s">
        <v>40</v>
      </c>
      <c r="AD2310" t="s">
        <v>391</v>
      </c>
    </row>
    <row r="2311" spans="2:30">
      <c r="B2311">
        <v>0</v>
      </c>
      <c r="C2311">
        <v>1020</v>
      </c>
      <c r="D2311" t="s">
        <v>388</v>
      </c>
      <c r="E2311">
        <v>10124634</v>
      </c>
      <c r="F2311" t="s">
        <v>2398</v>
      </c>
      <c r="G2311" t="s">
        <v>52</v>
      </c>
      <c r="H2311" t="s">
        <v>32</v>
      </c>
      <c r="I2311" t="s">
        <v>390</v>
      </c>
      <c r="J2311" t="s">
        <v>45</v>
      </c>
      <c r="K2311" t="s">
        <v>35</v>
      </c>
      <c r="L2311" t="s">
        <v>175</v>
      </c>
      <c r="M2311" t="s">
        <v>69</v>
      </c>
      <c r="N2311">
        <v>0</v>
      </c>
      <c r="O2311">
        <v>0</v>
      </c>
      <c r="P2311">
        <v>1</v>
      </c>
      <c r="Q2311">
        <v>1</v>
      </c>
      <c r="R2311">
        <v>0</v>
      </c>
      <c r="S2311" t="str">
        <f t="shared" si="180"/>
        <v>PZ: Alta Crit.</v>
      </c>
      <c r="T2311">
        <f t="shared" si="181"/>
        <v>0</v>
      </c>
      <c r="U2311">
        <f t="shared" si="182"/>
        <v>1</v>
      </c>
      <c r="V2311">
        <f t="shared" si="183"/>
        <v>0</v>
      </c>
      <c r="W2311">
        <f t="shared" si="184"/>
        <v>1</v>
      </c>
      <c r="X2311">
        <v>1</v>
      </c>
      <c r="Y2311" s="2">
        <v>45768</v>
      </c>
      <c r="Z2311" s="3" t="s">
        <v>70</v>
      </c>
      <c r="AA2311" t="s">
        <v>39</v>
      </c>
      <c r="AB2311" t="s">
        <v>40</v>
      </c>
      <c r="AC2311" t="s">
        <v>40</v>
      </c>
      <c r="AD2311" t="s">
        <v>391</v>
      </c>
    </row>
    <row r="2312" spans="2:30">
      <c r="B2312">
        <v>0</v>
      </c>
      <c r="C2312">
        <v>1020</v>
      </c>
      <c r="D2312" t="s">
        <v>693</v>
      </c>
      <c r="E2312">
        <v>10125925</v>
      </c>
      <c r="F2312" t="s">
        <v>2399</v>
      </c>
      <c r="G2312" t="s">
        <v>31</v>
      </c>
      <c r="H2312" t="s">
        <v>32</v>
      </c>
      <c r="I2312" t="s">
        <v>695</v>
      </c>
      <c r="J2312" t="s">
        <v>45</v>
      </c>
      <c r="K2312" t="s">
        <v>35</v>
      </c>
      <c r="L2312" t="s">
        <v>175</v>
      </c>
      <c r="M2312" t="s">
        <v>69</v>
      </c>
      <c r="N2312">
        <v>0</v>
      </c>
      <c r="O2312">
        <v>0</v>
      </c>
      <c r="P2312">
        <v>0</v>
      </c>
      <c r="Q2312">
        <v>1</v>
      </c>
      <c r="R2312">
        <v>0</v>
      </c>
      <c r="S2312" t="str">
        <f t="shared" si="180"/>
        <v>PX: Baja Crit.</v>
      </c>
      <c r="T2312">
        <f t="shared" si="181"/>
        <v>0</v>
      </c>
      <c r="U2312">
        <f t="shared" si="182"/>
        <v>0</v>
      </c>
      <c r="V2312">
        <f t="shared" si="183"/>
        <v>0</v>
      </c>
      <c r="W2312">
        <f t="shared" si="184"/>
        <v>1</v>
      </c>
      <c r="X2312">
        <v>1</v>
      </c>
      <c r="Y2312" s="2">
        <v>45768</v>
      </c>
      <c r="Z2312" s="3" t="s">
        <v>70</v>
      </c>
      <c r="AA2312" t="s">
        <v>39</v>
      </c>
      <c r="AB2312" t="s">
        <v>40</v>
      </c>
      <c r="AC2312" t="s">
        <v>40</v>
      </c>
      <c r="AD2312" t="s">
        <v>696</v>
      </c>
    </row>
    <row r="2313" spans="2:30">
      <c r="B2313">
        <v>0</v>
      </c>
      <c r="C2313">
        <v>1020</v>
      </c>
      <c r="D2313" t="s">
        <v>693</v>
      </c>
      <c r="E2313">
        <v>10125930</v>
      </c>
      <c r="F2313" t="s">
        <v>2400</v>
      </c>
      <c r="G2313" t="s">
        <v>31</v>
      </c>
      <c r="H2313" t="s">
        <v>32</v>
      </c>
      <c r="I2313" t="s">
        <v>695</v>
      </c>
      <c r="J2313" t="s">
        <v>45</v>
      </c>
      <c r="K2313" t="s">
        <v>35</v>
      </c>
      <c r="L2313" t="s">
        <v>175</v>
      </c>
      <c r="M2313" t="s">
        <v>69</v>
      </c>
      <c r="N2313">
        <v>0</v>
      </c>
      <c r="O2313">
        <v>0</v>
      </c>
      <c r="P2313">
        <v>0</v>
      </c>
      <c r="Q2313">
        <v>1</v>
      </c>
      <c r="R2313">
        <v>0</v>
      </c>
      <c r="S2313" t="str">
        <f t="shared" si="180"/>
        <v>PX: Baja Crit.</v>
      </c>
      <c r="T2313">
        <f t="shared" si="181"/>
        <v>0</v>
      </c>
      <c r="U2313">
        <f t="shared" si="182"/>
        <v>0</v>
      </c>
      <c r="V2313">
        <f t="shared" si="183"/>
        <v>0</v>
      </c>
      <c r="W2313">
        <f t="shared" si="184"/>
        <v>1</v>
      </c>
      <c r="X2313">
        <v>1</v>
      </c>
      <c r="Y2313" s="2">
        <v>45768</v>
      </c>
      <c r="Z2313" s="3" t="s">
        <v>70</v>
      </c>
      <c r="AA2313" t="s">
        <v>39</v>
      </c>
      <c r="AB2313" t="s">
        <v>40</v>
      </c>
      <c r="AC2313" t="s">
        <v>40</v>
      </c>
      <c r="AD2313" t="s">
        <v>696</v>
      </c>
    </row>
    <row r="2314" spans="2:30">
      <c r="B2314">
        <v>0</v>
      </c>
      <c r="C2314">
        <v>1020</v>
      </c>
      <c r="D2314" t="s">
        <v>693</v>
      </c>
      <c r="E2314">
        <v>10126075</v>
      </c>
      <c r="F2314" t="s">
        <v>2401</v>
      </c>
      <c r="G2314" t="s">
        <v>52</v>
      </c>
      <c r="H2314" t="s">
        <v>32</v>
      </c>
      <c r="I2314" t="s">
        <v>695</v>
      </c>
      <c r="J2314" t="s">
        <v>45</v>
      </c>
      <c r="K2314" t="s">
        <v>35</v>
      </c>
      <c r="L2314" t="s">
        <v>175</v>
      </c>
      <c r="M2314" t="s">
        <v>37</v>
      </c>
      <c r="N2314">
        <v>0</v>
      </c>
      <c r="O2314">
        <v>0</v>
      </c>
      <c r="P2314">
        <v>0</v>
      </c>
      <c r="Q2314">
        <v>15</v>
      </c>
      <c r="R2314">
        <v>0</v>
      </c>
      <c r="S2314" t="str">
        <f t="shared" si="180"/>
        <v>PZ: Alta Crit.</v>
      </c>
      <c r="T2314">
        <f t="shared" si="181"/>
        <v>0</v>
      </c>
      <c r="U2314">
        <f t="shared" si="182"/>
        <v>0</v>
      </c>
      <c r="V2314">
        <f t="shared" si="183"/>
        <v>0</v>
      </c>
      <c r="W2314">
        <f t="shared" si="184"/>
        <v>1</v>
      </c>
      <c r="X2314">
        <v>1</v>
      </c>
      <c r="Y2314" s="2">
        <v>45768</v>
      </c>
      <c r="Z2314" s="3" t="s">
        <v>38</v>
      </c>
      <c r="AA2314" t="s">
        <v>39</v>
      </c>
      <c r="AB2314" t="s">
        <v>40</v>
      </c>
      <c r="AC2314" t="s">
        <v>40</v>
      </c>
      <c r="AD2314" t="s">
        <v>696</v>
      </c>
    </row>
    <row r="2315" spans="2:30">
      <c r="B2315">
        <v>0</v>
      </c>
      <c r="C2315">
        <v>1020</v>
      </c>
      <c r="D2315" t="s">
        <v>388</v>
      </c>
      <c r="E2315">
        <v>10126923</v>
      </c>
      <c r="F2315" t="s">
        <v>2402</v>
      </c>
      <c r="G2315" t="s">
        <v>52</v>
      </c>
      <c r="H2315" t="s">
        <v>32</v>
      </c>
      <c r="I2315" t="s">
        <v>390</v>
      </c>
      <c r="J2315" t="s">
        <v>45</v>
      </c>
      <c r="K2315" t="s">
        <v>35</v>
      </c>
      <c r="L2315" t="s">
        <v>175</v>
      </c>
      <c r="M2315" t="s">
        <v>69</v>
      </c>
      <c r="N2315">
        <v>0</v>
      </c>
      <c r="O2315">
        <v>0</v>
      </c>
      <c r="P2315">
        <v>1</v>
      </c>
      <c r="Q2315">
        <v>1</v>
      </c>
      <c r="R2315" s="4">
        <v>3293.53</v>
      </c>
      <c r="S2315" t="str">
        <f t="shared" si="180"/>
        <v>PZ: Alta Crit.</v>
      </c>
      <c r="T2315">
        <f t="shared" si="181"/>
        <v>0</v>
      </c>
      <c r="U2315">
        <f t="shared" si="182"/>
        <v>1</v>
      </c>
      <c r="V2315">
        <f t="shared" si="183"/>
        <v>0</v>
      </c>
      <c r="W2315">
        <f t="shared" si="184"/>
        <v>1</v>
      </c>
      <c r="X2315">
        <v>1</v>
      </c>
      <c r="Y2315" s="2">
        <v>45768</v>
      </c>
      <c r="Z2315" s="3" t="s">
        <v>70</v>
      </c>
      <c r="AA2315" t="s">
        <v>39</v>
      </c>
      <c r="AB2315" t="s">
        <v>40</v>
      </c>
      <c r="AC2315" t="s">
        <v>40</v>
      </c>
      <c r="AD2315" t="s">
        <v>391</v>
      </c>
    </row>
    <row r="2316" spans="2:30">
      <c r="B2316">
        <v>0</v>
      </c>
      <c r="C2316">
        <v>1020</v>
      </c>
      <c r="D2316" t="s">
        <v>388</v>
      </c>
      <c r="E2316">
        <v>10126927</v>
      </c>
      <c r="F2316" t="s">
        <v>2403</v>
      </c>
      <c r="G2316" t="s">
        <v>52</v>
      </c>
      <c r="H2316" t="s">
        <v>32</v>
      </c>
      <c r="I2316" t="s">
        <v>390</v>
      </c>
      <c r="J2316" t="s">
        <v>45</v>
      </c>
      <c r="K2316" t="s">
        <v>35</v>
      </c>
      <c r="L2316" t="s">
        <v>175</v>
      </c>
      <c r="M2316" t="s">
        <v>69</v>
      </c>
      <c r="N2316">
        <v>0</v>
      </c>
      <c r="O2316">
        <v>0</v>
      </c>
      <c r="P2316">
        <v>1</v>
      </c>
      <c r="Q2316">
        <v>1</v>
      </c>
      <c r="R2316">
        <v>0</v>
      </c>
      <c r="S2316" t="str">
        <f t="shared" si="180"/>
        <v>PZ: Alta Crit.</v>
      </c>
      <c r="T2316">
        <f t="shared" si="181"/>
        <v>0</v>
      </c>
      <c r="U2316">
        <f t="shared" si="182"/>
        <v>1</v>
      </c>
      <c r="V2316">
        <f t="shared" si="183"/>
        <v>0</v>
      </c>
      <c r="W2316">
        <f t="shared" si="184"/>
        <v>1</v>
      </c>
      <c r="X2316">
        <v>1</v>
      </c>
      <c r="Y2316" s="2">
        <v>45768</v>
      </c>
      <c r="Z2316" s="3" t="s">
        <v>70</v>
      </c>
      <c r="AA2316" t="s">
        <v>39</v>
      </c>
      <c r="AB2316" t="s">
        <v>40</v>
      </c>
      <c r="AC2316" t="s">
        <v>40</v>
      </c>
      <c r="AD2316" t="s">
        <v>391</v>
      </c>
    </row>
    <row r="2317" spans="2:30">
      <c r="B2317">
        <v>0</v>
      </c>
      <c r="C2317">
        <v>1020</v>
      </c>
      <c r="D2317" t="s">
        <v>181</v>
      </c>
      <c r="E2317">
        <v>10149012</v>
      </c>
      <c r="F2317" t="s">
        <v>2404</v>
      </c>
      <c r="G2317" t="s">
        <v>31</v>
      </c>
      <c r="H2317" t="s">
        <v>32</v>
      </c>
      <c r="I2317" t="s">
        <v>183</v>
      </c>
      <c r="J2317" t="s">
        <v>45</v>
      </c>
      <c r="K2317" t="s">
        <v>35</v>
      </c>
      <c r="L2317" t="s">
        <v>36</v>
      </c>
      <c r="M2317" t="s">
        <v>69</v>
      </c>
      <c r="N2317">
        <v>2</v>
      </c>
      <c r="O2317">
        <v>2</v>
      </c>
      <c r="P2317">
        <v>1</v>
      </c>
      <c r="Q2317">
        <v>2</v>
      </c>
      <c r="R2317">
        <v>0</v>
      </c>
      <c r="S2317" t="str">
        <f t="shared" si="180"/>
        <v>PX: Baja Crit.</v>
      </c>
      <c r="T2317">
        <f t="shared" si="181"/>
        <v>0</v>
      </c>
      <c r="U2317">
        <f t="shared" si="182"/>
        <v>0</v>
      </c>
      <c r="V2317">
        <f t="shared" si="183"/>
        <v>1</v>
      </c>
      <c r="W2317">
        <f t="shared" si="184"/>
        <v>0</v>
      </c>
      <c r="X2317">
        <v>1</v>
      </c>
      <c r="Y2317" s="2">
        <v>45768</v>
      </c>
      <c r="Z2317" s="3" t="s">
        <v>70</v>
      </c>
      <c r="AA2317" t="s">
        <v>39</v>
      </c>
      <c r="AB2317" t="s">
        <v>40</v>
      </c>
      <c r="AC2317" t="s">
        <v>40</v>
      </c>
      <c r="AD2317" t="s">
        <v>184</v>
      </c>
    </row>
    <row r="2318" spans="2:30">
      <c r="B2318">
        <v>0</v>
      </c>
      <c r="C2318">
        <v>1020</v>
      </c>
      <c r="D2318" t="s">
        <v>693</v>
      </c>
      <c r="E2318">
        <v>10149014</v>
      </c>
      <c r="F2318" t="s">
        <v>2405</v>
      </c>
      <c r="G2318" t="s">
        <v>31</v>
      </c>
      <c r="H2318" t="s">
        <v>32</v>
      </c>
      <c r="I2318" t="s">
        <v>695</v>
      </c>
      <c r="J2318" t="s">
        <v>45</v>
      </c>
      <c r="K2318" t="s">
        <v>35</v>
      </c>
      <c r="L2318" t="s">
        <v>175</v>
      </c>
      <c r="M2318" t="s">
        <v>46</v>
      </c>
      <c r="N2318">
        <v>0</v>
      </c>
      <c r="O2318">
        <v>0</v>
      </c>
      <c r="P2318">
        <v>0</v>
      </c>
      <c r="Q2318">
        <v>3</v>
      </c>
      <c r="R2318">
        <v>0</v>
      </c>
      <c r="S2318" t="str">
        <f t="shared" si="180"/>
        <v>PX: Baja Crit.</v>
      </c>
      <c r="T2318">
        <f t="shared" si="181"/>
        <v>0</v>
      </c>
      <c r="U2318">
        <f t="shared" si="182"/>
        <v>0</v>
      </c>
      <c r="V2318">
        <f t="shared" si="183"/>
        <v>0</v>
      </c>
      <c r="W2318">
        <f t="shared" si="184"/>
        <v>1</v>
      </c>
      <c r="X2318">
        <v>1</v>
      </c>
      <c r="Y2318" s="2">
        <v>45768</v>
      </c>
      <c r="Z2318" s="3" t="s">
        <v>47</v>
      </c>
      <c r="AA2318" t="s">
        <v>39</v>
      </c>
      <c r="AB2318" t="s">
        <v>40</v>
      </c>
      <c r="AC2318" t="s">
        <v>40</v>
      </c>
      <c r="AD2318" t="s">
        <v>696</v>
      </c>
    </row>
    <row r="2319" spans="2:30">
      <c r="B2319">
        <v>0</v>
      </c>
      <c r="C2319">
        <v>1020</v>
      </c>
      <c r="D2319" t="s">
        <v>693</v>
      </c>
      <c r="E2319">
        <v>10155387</v>
      </c>
      <c r="F2319" t="s">
        <v>2406</v>
      </c>
      <c r="G2319" t="s">
        <v>52</v>
      </c>
      <c r="H2319" t="s">
        <v>32</v>
      </c>
      <c r="I2319" t="s">
        <v>695</v>
      </c>
      <c r="J2319" t="s">
        <v>45</v>
      </c>
      <c r="K2319" t="s">
        <v>35</v>
      </c>
      <c r="L2319" t="s">
        <v>175</v>
      </c>
      <c r="M2319" t="s">
        <v>46</v>
      </c>
      <c r="N2319">
        <v>0</v>
      </c>
      <c r="O2319">
        <v>0</v>
      </c>
      <c r="P2319">
        <v>0</v>
      </c>
      <c r="Q2319">
        <v>1</v>
      </c>
      <c r="R2319">
        <v>0</v>
      </c>
      <c r="S2319" t="str">
        <f t="shared" si="180"/>
        <v>PZ: Alta Crit.</v>
      </c>
      <c r="T2319">
        <f t="shared" si="181"/>
        <v>0</v>
      </c>
      <c r="U2319">
        <f t="shared" si="182"/>
        <v>0</v>
      </c>
      <c r="V2319">
        <f t="shared" si="183"/>
        <v>0</v>
      </c>
      <c r="W2319">
        <f t="shared" si="184"/>
        <v>1</v>
      </c>
      <c r="X2319">
        <v>1</v>
      </c>
      <c r="Y2319" s="2">
        <v>45768</v>
      </c>
      <c r="Z2319" s="3" t="s">
        <v>47</v>
      </c>
      <c r="AA2319" t="s">
        <v>39</v>
      </c>
      <c r="AB2319" t="s">
        <v>40</v>
      </c>
      <c r="AC2319" t="s">
        <v>40</v>
      </c>
      <c r="AD2319" t="s">
        <v>696</v>
      </c>
    </row>
    <row r="2320" spans="2:30">
      <c r="B2320">
        <v>0</v>
      </c>
      <c r="C2320">
        <v>1020</v>
      </c>
      <c r="D2320" t="s">
        <v>388</v>
      </c>
      <c r="E2320">
        <v>10155729</v>
      </c>
      <c r="F2320" t="s">
        <v>2407</v>
      </c>
      <c r="G2320" t="s">
        <v>52</v>
      </c>
      <c r="H2320" t="s">
        <v>32</v>
      </c>
      <c r="I2320" t="s">
        <v>390</v>
      </c>
      <c r="J2320" t="s">
        <v>45</v>
      </c>
      <c r="K2320" t="s">
        <v>35</v>
      </c>
      <c r="L2320" t="s">
        <v>175</v>
      </c>
      <c r="M2320" t="s">
        <v>46</v>
      </c>
      <c r="N2320">
        <v>0</v>
      </c>
      <c r="O2320">
        <v>0</v>
      </c>
      <c r="P2320">
        <v>1</v>
      </c>
      <c r="Q2320">
        <v>1</v>
      </c>
      <c r="R2320">
        <v>0</v>
      </c>
      <c r="S2320" t="str">
        <f t="shared" si="180"/>
        <v>PZ: Alta Crit.</v>
      </c>
      <c r="T2320">
        <f t="shared" si="181"/>
        <v>0</v>
      </c>
      <c r="U2320">
        <f t="shared" si="182"/>
        <v>1</v>
      </c>
      <c r="V2320">
        <f t="shared" si="183"/>
        <v>0</v>
      </c>
      <c r="W2320">
        <f t="shared" si="184"/>
        <v>1</v>
      </c>
      <c r="X2320">
        <v>1</v>
      </c>
      <c r="Y2320" s="2">
        <v>45768</v>
      </c>
      <c r="Z2320" s="3" t="s">
        <v>47</v>
      </c>
      <c r="AA2320" t="s">
        <v>39</v>
      </c>
      <c r="AB2320" t="s">
        <v>40</v>
      </c>
      <c r="AC2320" t="s">
        <v>40</v>
      </c>
      <c r="AD2320" t="s">
        <v>391</v>
      </c>
    </row>
    <row r="2321" spans="2:30">
      <c r="B2321">
        <v>0</v>
      </c>
      <c r="C2321">
        <v>1020</v>
      </c>
      <c r="D2321" t="s">
        <v>388</v>
      </c>
      <c r="E2321">
        <v>10158449</v>
      </c>
      <c r="F2321" t="s">
        <v>2408</v>
      </c>
      <c r="G2321" t="s">
        <v>52</v>
      </c>
      <c r="H2321" t="s">
        <v>32</v>
      </c>
      <c r="I2321" t="s">
        <v>390</v>
      </c>
      <c r="J2321" t="s">
        <v>45</v>
      </c>
      <c r="K2321" t="s">
        <v>35</v>
      </c>
      <c r="L2321" t="s">
        <v>175</v>
      </c>
      <c r="M2321" t="s">
        <v>46</v>
      </c>
      <c r="N2321">
        <v>0</v>
      </c>
      <c r="O2321">
        <v>0</v>
      </c>
      <c r="P2321">
        <v>2</v>
      </c>
      <c r="Q2321">
        <v>2</v>
      </c>
      <c r="R2321">
        <v>0</v>
      </c>
      <c r="S2321" t="str">
        <f t="shared" si="180"/>
        <v>PZ: Alta Crit.</v>
      </c>
      <c r="T2321">
        <f t="shared" si="181"/>
        <v>0</v>
      </c>
      <c r="U2321">
        <f t="shared" si="182"/>
        <v>1</v>
      </c>
      <c r="V2321">
        <f t="shared" si="183"/>
        <v>0</v>
      </c>
      <c r="W2321">
        <f t="shared" si="184"/>
        <v>1</v>
      </c>
      <c r="X2321">
        <v>1</v>
      </c>
      <c r="Y2321" s="2">
        <v>45768</v>
      </c>
      <c r="Z2321" s="3" t="s">
        <v>47</v>
      </c>
      <c r="AA2321" t="s">
        <v>39</v>
      </c>
      <c r="AB2321" t="s">
        <v>40</v>
      </c>
      <c r="AC2321" t="s">
        <v>40</v>
      </c>
      <c r="AD2321" t="s">
        <v>391</v>
      </c>
    </row>
    <row r="2322" spans="2:30">
      <c r="B2322">
        <v>0</v>
      </c>
      <c r="C2322">
        <v>1020</v>
      </c>
      <c r="D2322" t="s">
        <v>388</v>
      </c>
      <c r="E2322">
        <v>10158450</v>
      </c>
      <c r="F2322" t="s">
        <v>2409</v>
      </c>
      <c r="G2322" t="s">
        <v>52</v>
      </c>
      <c r="H2322" t="s">
        <v>32</v>
      </c>
      <c r="I2322" t="s">
        <v>390</v>
      </c>
      <c r="J2322" t="s">
        <v>45</v>
      </c>
      <c r="K2322" t="s">
        <v>35</v>
      </c>
      <c r="L2322" t="s">
        <v>175</v>
      </c>
      <c r="M2322" t="s">
        <v>46</v>
      </c>
      <c r="N2322">
        <v>0</v>
      </c>
      <c r="O2322">
        <v>0</v>
      </c>
      <c r="P2322">
        <v>2</v>
      </c>
      <c r="Q2322">
        <v>2</v>
      </c>
      <c r="R2322">
        <v>0</v>
      </c>
      <c r="S2322" t="str">
        <f t="shared" si="180"/>
        <v>PZ: Alta Crit.</v>
      </c>
      <c r="T2322">
        <f t="shared" si="181"/>
        <v>0</v>
      </c>
      <c r="U2322">
        <f t="shared" si="182"/>
        <v>1</v>
      </c>
      <c r="V2322">
        <f t="shared" si="183"/>
        <v>0</v>
      </c>
      <c r="W2322">
        <f t="shared" si="184"/>
        <v>1</v>
      </c>
      <c r="X2322">
        <v>1</v>
      </c>
      <c r="Y2322" s="2">
        <v>45768</v>
      </c>
      <c r="Z2322" s="3" t="s">
        <v>47</v>
      </c>
      <c r="AA2322" t="s">
        <v>39</v>
      </c>
      <c r="AB2322" t="s">
        <v>40</v>
      </c>
      <c r="AC2322" t="s">
        <v>40</v>
      </c>
      <c r="AD2322" t="s">
        <v>391</v>
      </c>
    </row>
    <row r="2323" spans="2:30">
      <c r="B2323">
        <v>0</v>
      </c>
      <c r="C2323">
        <v>1020</v>
      </c>
      <c r="D2323" t="s">
        <v>388</v>
      </c>
      <c r="E2323">
        <v>10162782</v>
      </c>
      <c r="F2323" t="s">
        <v>2410</v>
      </c>
      <c r="G2323" t="s">
        <v>43</v>
      </c>
      <c r="H2323" t="s">
        <v>32</v>
      </c>
      <c r="I2323" t="s">
        <v>390</v>
      </c>
      <c r="J2323" t="s">
        <v>45</v>
      </c>
      <c r="K2323" t="s">
        <v>35</v>
      </c>
      <c r="L2323" t="s">
        <v>175</v>
      </c>
      <c r="M2323" t="s">
        <v>69</v>
      </c>
      <c r="N2323">
        <v>0</v>
      </c>
      <c r="O2323">
        <v>0</v>
      </c>
      <c r="P2323">
        <v>1</v>
      </c>
      <c r="Q2323">
        <v>1</v>
      </c>
      <c r="R2323">
        <v>0</v>
      </c>
      <c r="S2323" t="str">
        <f t="shared" si="180"/>
        <v>PY: Media Crit.</v>
      </c>
      <c r="T2323">
        <f t="shared" si="181"/>
        <v>0</v>
      </c>
      <c r="U2323">
        <f t="shared" si="182"/>
        <v>1</v>
      </c>
      <c r="V2323">
        <f t="shared" si="183"/>
        <v>0</v>
      </c>
      <c r="W2323">
        <f t="shared" si="184"/>
        <v>1</v>
      </c>
      <c r="X2323">
        <v>1</v>
      </c>
      <c r="Y2323" s="2">
        <v>45768</v>
      </c>
      <c r="Z2323" s="3" t="s">
        <v>70</v>
      </c>
      <c r="AA2323" t="s">
        <v>39</v>
      </c>
      <c r="AB2323" t="s">
        <v>40</v>
      </c>
      <c r="AC2323" t="s">
        <v>40</v>
      </c>
      <c r="AD2323" t="s">
        <v>391</v>
      </c>
    </row>
    <row r="2324" spans="2:30">
      <c r="B2324">
        <v>0</v>
      </c>
      <c r="C2324">
        <v>1020</v>
      </c>
      <c r="D2324" t="s">
        <v>388</v>
      </c>
      <c r="E2324">
        <v>10163960</v>
      </c>
      <c r="F2324" t="s">
        <v>2411</v>
      </c>
      <c r="G2324" t="s">
        <v>52</v>
      </c>
      <c r="H2324" t="s">
        <v>32</v>
      </c>
      <c r="I2324" t="s">
        <v>390</v>
      </c>
      <c r="J2324" t="s">
        <v>45</v>
      </c>
      <c r="K2324" t="s">
        <v>35</v>
      </c>
      <c r="L2324" t="s">
        <v>175</v>
      </c>
      <c r="M2324" t="s">
        <v>46</v>
      </c>
      <c r="N2324">
        <v>0</v>
      </c>
      <c r="O2324">
        <v>0</v>
      </c>
      <c r="P2324">
        <v>1</v>
      </c>
      <c r="Q2324">
        <v>2</v>
      </c>
      <c r="R2324">
        <v>0</v>
      </c>
      <c r="S2324" t="str">
        <f t="shared" si="180"/>
        <v>PZ: Alta Crit.</v>
      </c>
      <c r="T2324">
        <f t="shared" si="181"/>
        <v>0</v>
      </c>
      <c r="U2324">
        <f t="shared" si="182"/>
        <v>0</v>
      </c>
      <c r="V2324">
        <f t="shared" si="183"/>
        <v>0</v>
      </c>
      <c r="W2324">
        <f t="shared" si="184"/>
        <v>1</v>
      </c>
      <c r="X2324">
        <v>1</v>
      </c>
      <c r="Y2324" s="2">
        <v>45768</v>
      </c>
      <c r="Z2324" s="3" t="s">
        <v>47</v>
      </c>
      <c r="AA2324" t="s">
        <v>39</v>
      </c>
      <c r="AB2324" t="s">
        <v>40</v>
      </c>
      <c r="AC2324" t="s">
        <v>40</v>
      </c>
      <c r="AD2324" t="s">
        <v>391</v>
      </c>
    </row>
    <row r="2325" spans="2:30">
      <c r="B2325">
        <v>0</v>
      </c>
      <c r="C2325">
        <v>1020</v>
      </c>
      <c r="D2325" t="s">
        <v>693</v>
      </c>
      <c r="E2325">
        <v>10173144</v>
      </c>
      <c r="F2325" t="s">
        <v>2412</v>
      </c>
      <c r="G2325" t="s">
        <v>43</v>
      </c>
      <c r="H2325" t="s">
        <v>32</v>
      </c>
      <c r="I2325" t="s">
        <v>695</v>
      </c>
      <c r="J2325" t="s">
        <v>45</v>
      </c>
      <c r="K2325" t="s">
        <v>35</v>
      </c>
      <c r="L2325" t="s">
        <v>175</v>
      </c>
      <c r="M2325" t="s">
        <v>37</v>
      </c>
      <c r="N2325">
        <v>0</v>
      </c>
      <c r="O2325">
        <v>0</v>
      </c>
      <c r="P2325">
        <v>0</v>
      </c>
      <c r="Q2325">
        <v>1</v>
      </c>
      <c r="R2325">
        <v>0</v>
      </c>
      <c r="S2325" t="str">
        <f t="shared" si="180"/>
        <v>PY: Media Crit.</v>
      </c>
      <c r="T2325">
        <f t="shared" si="181"/>
        <v>0</v>
      </c>
      <c r="U2325">
        <f t="shared" si="182"/>
        <v>0</v>
      </c>
      <c r="V2325">
        <f t="shared" si="183"/>
        <v>0</v>
      </c>
      <c r="W2325">
        <f t="shared" si="184"/>
        <v>1</v>
      </c>
      <c r="X2325">
        <v>1</v>
      </c>
      <c r="Y2325" s="2">
        <v>45768</v>
      </c>
      <c r="Z2325" s="3" t="s">
        <v>38</v>
      </c>
      <c r="AA2325" t="s">
        <v>39</v>
      </c>
      <c r="AB2325" t="s">
        <v>40</v>
      </c>
      <c r="AC2325" t="s">
        <v>40</v>
      </c>
      <c r="AD2325" t="s">
        <v>696</v>
      </c>
    </row>
    <row r="2326" spans="2:30">
      <c r="B2326">
        <v>0</v>
      </c>
      <c r="C2326">
        <v>1020</v>
      </c>
      <c r="D2326" t="s">
        <v>693</v>
      </c>
      <c r="E2326">
        <v>10174337</v>
      </c>
      <c r="F2326" t="s">
        <v>2413</v>
      </c>
      <c r="G2326" t="s">
        <v>43</v>
      </c>
      <c r="H2326" t="s">
        <v>32</v>
      </c>
      <c r="I2326" t="s">
        <v>695</v>
      </c>
      <c r="J2326" t="s">
        <v>45</v>
      </c>
      <c r="K2326" t="s">
        <v>35</v>
      </c>
      <c r="L2326" t="s">
        <v>175</v>
      </c>
      <c r="M2326" t="s">
        <v>46</v>
      </c>
      <c r="N2326">
        <v>0</v>
      </c>
      <c r="O2326">
        <v>0</v>
      </c>
      <c r="P2326">
        <v>0</v>
      </c>
      <c r="Q2326">
        <v>1</v>
      </c>
      <c r="R2326">
        <v>0</v>
      </c>
      <c r="S2326" t="str">
        <f t="shared" si="180"/>
        <v>PY: Media Crit.</v>
      </c>
      <c r="T2326">
        <f t="shared" si="181"/>
        <v>0</v>
      </c>
      <c r="U2326">
        <f t="shared" si="182"/>
        <v>0</v>
      </c>
      <c r="V2326">
        <f t="shared" si="183"/>
        <v>0</v>
      </c>
      <c r="W2326">
        <f t="shared" si="184"/>
        <v>1</v>
      </c>
      <c r="X2326">
        <v>1</v>
      </c>
      <c r="Y2326" s="2">
        <v>45768</v>
      </c>
      <c r="Z2326" s="3" t="s">
        <v>47</v>
      </c>
      <c r="AA2326" t="s">
        <v>39</v>
      </c>
      <c r="AB2326" t="s">
        <v>40</v>
      </c>
      <c r="AC2326" t="s">
        <v>40</v>
      </c>
      <c r="AD2326" t="s">
        <v>696</v>
      </c>
    </row>
    <row r="2327" spans="2:30">
      <c r="B2327">
        <v>0</v>
      </c>
      <c r="C2327">
        <v>1020</v>
      </c>
      <c r="D2327" t="s">
        <v>693</v>
      </c>
      <c r="E2327">
        <v>10192043</v>
      </c>
      <c r="F2327" t="s">
        <v>2414</v>
      </c>
      <c r="G2327" t="s">
        <v>43</v>
      </c>
      <c r="H2327" t="s">
        <v>32</v>
      </c>
      <c r="I2327" t="s">
        <v>695</v>
      </c>
      <c r="J2327" t="s">
        <v>45</v>
      </c>
      <c r="K2327" t="s">
        <v>35</v>
      </c>
      <c r="L2327" t="s">
        <v>175</v>
      </c>
      <c r="M2327" t="s">
        <v>46</v>
      </c>
      <c r="N2327">
        <v>0</v>
      </c>
      <c r="O2327">
        <v>0</v>
      </c>
      <c r="P2327">
        <v>0</v>
      </c>
      <c r="Q2327">
        <v>153</v>
      </c>
      <c r="R2327">
        <v>0</v>
      </c>
      <c r="S2327" t="str">
        <f t="shared" si="180"/>
        <v>PY: Media Crit.</v>
      </c>
      <c r="T2327">
        <f t="shared" si="181"/>
        <v>0</v>
      </c>
      <c r="U2327">
        <f t="shared" si="182"/>
        <v>0</v>
      </c>
      <c r="V2327">
        <f t="shared" si="183"/>
        <v>0</v>
      </c>
      <c r="W2327">
        <f t="shared" si="184"/>
        <v>1</v>
      </c>
      <c r="X2327">
        <v>1</v>
      </c>
      <c r="Y2327" s="2">
        <v>45768</v>
      </c>
      <c r="Z2327" s="3" t="s">
        <v>47</v>
      </c>
      <c r="AA2327" t="s">
        <v>39</v>
      </c>
      <c r="AB2327" t="s">
        <v>40</v>
      </c>
      <c r="AC2327" t="s">
        <v>40</v>
      </c>
      <c r="AD2327" t="s">
        <v>696</v>
      </c>
    </row>
    <row r="2328" spans="2:30">
      <c r="B2328">
        <v>0</v>
      </c>
      <c r="C2328">
        <v>1020</v>
      </c>
      <c r="D2328" t="s">
        <v>693</v>
      </c>
      <c r="E2328">
        <v>10192044</v>
      </c>
      <c r="F2328" t="s">
        <v>2415</v>
      </c>
      <c r="G2328" t="s">
        <v>43</v>
      </c>
      <c r="H2328" t="s">
        <v>32</v>
      </c>
      <c r="I2328" t="s">
        <v>695</v>
      </c>
      <c r="J2328" t="s">
        <v>45</v>
      </c>
      <c r="K2328" t="s">
        <v>35</v>
      </c>
      <c r="L2328" t="s">
        <v>175</v>
      </c>
      <c r="M2328" t="s">
        <v>46</v>
      </c>
      <c r="N2328">
        <v>0</v>
      </c>
      <c r="O2328">
        <v>0</v>
      </c>
      <c r="P2328">
        <v>0</v>
      </c>
      <c r="Q2328">
        <v>160</v>
      </c>
      <c r="R2328">
        <v>0</v>
      </c>
      <c r="S2328" t="str">
        <f t="shared" si="180"/>
        <v>PY: Media Crit.</v>
      </c>
      <c r="T2328">
        <f t="shared" si="181"/>
        <v>0</v>
      </c>
      <c r="U2328">
        <f t="shared" si="182"/>
        <v>0</v>
      </c>
      <c r="V2328">
        <f t="shared" si="183"/>
        <v>0</v>
      </c>
      <c r="W2328">
        <f t="shared" si="184"/>
        <v>1</v>
      </c>
      <c r="X2328">
        <v>1</v>
      </c>
      <c r="Y2328" s="2">
        <v>45768</v>
      </c>
      <c r="Z2328" s="3" t="s">
        <v>47</v>
      </c>
      <c r="AA2328" t="s">
        <v>39</v>
      </c>
      <c r="AB2328" t="s">
        <v>40</v>
      </c>
      <c r="AC2328" t="s">
        <v>40</v>
      </c>
      <c r="AD2328" t="s">
        <v>696</v>
      </c>
    </row>
    <row r="2329" spans="2:30">
      <c r="B2329">
        <v>0</v>
      </c>
      <c r="C2329">
        <v>1020</v>
      </c>
      <c r="D2329" t="s">
        <v>388</v>
      </c>
      <c r="E2329">
        <v>10192102</v>
      </c>
      <c r="F2329" t="s">
        <v>2416</v>
      </c>
      <c r="G2329" t="s">
        <v>52</v>
      </c>
      <c r="H2329" t="s">
        <v>32</v>
      </c>
      <c r="I2329" t="s">
        <v>390</v>
      </c>
      <c r="J2329" t="s">
        <v>45</v>
      </c>
      <c r="K2329" t="s">
        <v>35</v>
      </c>
      <c r="L2329" t="s">
        <v>175</v>
      </c>
      <c r="M2329" t="s">
        <v>69</v>
      </c>
      <c r="N2329">
        <v>0</v>
      </c>
      <c r="O2329">
        <v>0</v>
      </c>
      <c r="P2329">
        <v>1</v>
      </c>
      <c r="Q2329">
        <v>1</v>
      </c>
      <c r="R2329">
        <v>0</v>
      </c>
      <c r="S2329" t="str">
        <f t="shared" si="180"/>
        <v>PZ: Alta Crit.</v>
      </c>
      <c r="T2329">
        <f t="shared" si="181"/>
        <v>0</v>
      </c>
      <c r="U2329">
        <f t="shared" si="182"/>
        <v>1</v>
      </c>
      <c r="V2329">
        <f t="shared" si="183"/>
        <v>0</v>
      </c>
      <c r="W2329">
        <f t="shared" si="184"/>
        <v>1</v>
      </c>
      <c r="X2329">
        <v>1</v>
      </c>
      <c r="Y2329" s="2">
        <v>45768</v>
      </c>
      <c r="Z2329" s="3" t="s">
        <v>70</v>
      </c>
      <c r="AA2329" t="s">
        <v>39</v>
      </c>
      <c r="AB2329" t="s">
        <v>40</v>
      </c>
      <c r="AC2329" t="s">
        <v>40</v>
      </c>
      <c r="AD2329" t="s">
        <v>391</v>
      </c>
    </row>
    <row r="2330" spans="2:30">
      <c r="B2330">
        <v>0</v>
      </c>
      <c r="C2330">
        <v>1020</v>
      </c>
      <c r="D2330" t="s">
        <v>384</v>
      </c>
      <c r="E2330">
        <v>10192104</v>
      </c>
      <c r="F2330" t="s">
        <v>2417</v>
      </c>
      <c r="G2330" t="s">
        <v>52</v>
      </c>
      <c r="H2330" t="s">
        <v>32</v>
      </c>
      <c r="I2330" t="s">
        <v>386</v>
      </c>
      <c r="J2330" t="s">
        <v>45</v>
      </c>
      <c r="K2330" t="s">
        <v>35</v>
      </c>
      <c r="L2330" t="s">
        <v>175</v>
      </c>
      <c r="M2330" t="s">
        <v>69</v>
      </c>
      <c r="N2330">
        <v>0</v>
      </c>
      <c r="O2330">
        <v>0</v>
      </c>
      <c r="P2330">
        <v>0</v>
      </c>
      <c r="Q2330">
        <v>1</v>
      </c>
      <c r="R2330">
        <v>0</v>
      </c>
      <c r="S2330" t="str">
        <f t="shared" si="180"/>
        <v>PZ: Alta Crit.</v>
      </c>
      <c r="T2330">
        <f t="shared" si="181"/>
        <v>0</v>
      </c>
      <c r="U2330">
        <f t="shared" si="182"/>
        <v>0</v>
      </c>
      <c r="V2330">
        <f t="shared" si="183"/>
        <v>0</v>
      </c>
      <c r="W2330">
        <f t="shared" si="184"/>
        <v>1</v>
      </c>
      <c r="X2330">
        <v>1</v>
      </c>
      <c r="Y2330" s="2">
        <v>45768</v>
      </c>
      <c r="Z2330" s="3" t="s">
        <v>70</v>
      </c>
      <c r="AA2330" t="s">
        <v>39</v>
      </c>
      <c r="AB2330" t="s">
        <v>40</v>
      </c>
      <c r="AC2330" t="s">
        <v>40</v>
      </c>
      <c r="AD2330" t="s">
        <v>387</v>
      </c>
    </row>
    <row r="2331" spans="2:30">
      <c r="B2331">
        <v>0</v>
      </c>
      <c r="C2331">
        <v>1020</v>
      </c>
      <c r="D2331" t="s">
        <v>181</v>
      </c>
      <c r="E2331">
        <v>10192109</v>
      </c>
      <c r="F2331" t="s">
        <v>2418</v>
      </c>
      <c r="G2331" t="s">
        <v>52</v>
      </c>
      <c r="H2331" t="s">
        <v>32</v>
      </c>
      <c r="I2331" t="s">
        <v>183</v>
      </c>
      <c r="J2331" t="s">
        <v>45</v>
      </c>
      <c r="K2331" t="s">
        <v>260</v>
      </c>
      <c r="L2331" t="s">
        <v>36</v>
      </c>
      <c r="M2331" t="s">
        <v>46</v>
      </c>
      <c r="N2331">
        <v>3</v>
      </c>
      <c r="O2331">
        <v>2</v>
      </c>
      <c r="P2331">
        <v>0</v>
      </c>
      <c r="Q2331">
        <v>3</v>
      </c>
      <c r="R2331">
        <v>0</v>
      </c>
      <c r="S2331" t="str">
        <f t="shared" si="180"/>
        <v>PZ: Alta Crit.</v>
      </c>
      <c r="T2331">
        <f t="shared" si="181"/>
        <v>0</v>
      </c>
      <c r="U2331">
        <f t="shared" si="182"/>
        <v>0</v>
      </c>
      <c r="V2331">
        <f t="shared" si="183"/>
        <v>1</v>
      </c>
      <c r="W2331">
        <f t="shared" si="184"/>
        <v>0</v>
      </c>
      <c r="X2331">
        <v>1</v>
      </c>
      <c r="Y2331" s="2">
        <v>45768</v>
      </c>
      <c r="Z2331" s="3" t="s">
        <v>47</v>
      </c>
      <c r="AA2331" t="s">
        <v>39</v>
      </c>
      <c r="AB2331" t="s">
        <v>40</v>
      </c>
      <c r="AC2331" t="s">
        <v>40</v>
      </c>
      <c r="AD2331" t="s">
        <v>184</v>
      </c>
    </row>
    <row r="2332" spans="2:30">
      <c r="B2332">
        <v>0</v>
      </c>
      <c r="C2332">
        <v>1020</v>
      </c>
      <c r="D2332" t="s">
        <v>181</v>
      </c>
      <c r="E2332">
        <v>10192115</v>
      </c>
      <c r="F2332" t="s">
        <v>2419</v>
      </c>
      <c r="G2332" t="s">
        <v>52</v>
      </c>
      <c r="H2332" t="s">
        <v>32</v>
      </c>
      <c r="I2332" t="s">
        <v>183</v>
      </c>
      <c r="J2332" t="s">
        <v>45</v>
      </c>
      <c r="K2332" t="s">
        <v>260</v>
      </c>
      <c r="L2332" t="s">
        <v>36</v>
      </c>
      <c r="M2332" t="s">
        <v>46</v>
      </c>
      <c r="N2332">
        <v>3</v>
      </c>
      <c r="O2332">
        <v>2</v>
      </c>
      <c r="P2332">
        <v>0</v>
      </c>
      <c r="Q2332">
        <v>3</v>
      </c>
      <c r="R2332">
        <v>0</v>
      </c>
      <c r="S2332" t="str">
        <f t="shared" si="180"/>
        <v>PZ: Alta Crit.</v>
      </c>
      <c r="T2332">
        <f t="shared" si="181"/>
        <v>0</v>
      </c>
      <c r="U2332">
        <f t="shared" si="182"/>
        <v>0</v>
      </c>
      <c r="V2332">
        <f t="shared" si="183"/>
        <v>1</v>
      </c>
      <c r="W2332">
        <f t="shared" si="184"/>
        <v>0</v>
      </c>
      <c r="X2332">
        <v>1</v>
      </c>
      <c r="Y2332" s="2">
        <v>45768</v>
      </c>
      <c r="Z2332" s="3" t="s">
        <v>47</v>
      </c>
      <c r="AA2332" t="s">
        <v>39</v>
      </c>
      <c r="AB2332" t="s">
        <v>40</v>
      </c>
      <c r="AC2332" t="s">
        <v>40</v>
      </c>
      <c r="AD2332" t="s">
        <v>184</v>
      </c>
    </row>
    <row r="2333" spans="2:30">
      <c r="B2333">
        <v>0</v>
      </c>
      <c r="C2333">
        <v>1020</v>
      </c>
      <c r="D2333" t="s">
        <v>693</v>
      </c>
      <c r="E2333">
        <v>10192117</v>
      </c>
      <c r="F2333" t="s">
        <v>2420</v>
      </c>
      <c r="G2333" t="s">
        <v>31</v>
      </c>
      <c r="H2333" t="s">
        <v>32</v>
      </c>
      <c r="I2333" t="s">
        <v>695</v>
      </c>
      <c r="J2333" t="s">
        <v>45</v>
      </c>
      <c r="K2333" t="s">
        <v>35</v>
      </c>
      <c r="L2333" t="s">
        <v>175</v>
      </c>
      <c r="M2333" t="s">
        <v>69</v>
      </c>
      <c r="N2333">
        <v>0</v>
      </c>
      <c r="O2333">
        <v>0</v>
      </c>
      <c r="P2333">
        <v>0</v>
      </c>
      <c r="Q2333">
        <v>1</v>
      </c>
      <c r="R2333">
        <v>0</v>
      </c>
      <c r="S2333" t="str">
        <f t="shared" si="180"/>
        <v>PX: Baja Crit.</v>
      </c>
      <c r="T2333">
        <f t="shared" si="181"/>
        <v>0</v>
      </c>
      <c r="U2333">
        <f t="shared" si="182"/>
        <v>0</v>
      </c>
      <c r="V2333">
        <f t="shared" si="183"/>
        <v>0</v>
      </c>
      <c r="W2333">
        <f t="shared" si="184"/>
        <v>1</v>
      </c>
      <c r="X2333">
        <v>1</v>
      </c>
      <c r="Y2333" s="2">
        <v>45768</v>
      </c>
      <c r="Z2333" s="3" t="s">
        <v>70</v>
      </c>
      <c r="AA2333" t="s">
        <v>39</v>
      </c>
      <c r="AB2333" t="s">
        <v>40</v>
      </c>
      <c r="AC2333" t="s">
        <v>40</v>
      </c>
      <c r="AD2333" t="s">
        <v>696</v>
      </c>
    </row>
    <row r="2334" spans="2:30">
      <c r="B2334">
        <v>0</v>
      </c>
      <c r="C2334">
        <v>1020</v>
      </c>
      <c r="D2334" t="s">
        <v>181</v>
      </c>
      <c r="E2334">
        <v>10192122</v>
      </c>
      <c r="F2334" t="s">
        <v>2421</v>
      </c>
      <c r="G2334" t="s">
        <v>52</v>
      </c>
      <c r="H2334" t="s">
        <v>44</v>
      </c>
      <c r="I2334" t="s">
        <v>183</v>
      </c>
      <c r="J2334" t="s">
        <v>45</v>
      </c>
      <c r="K2334" t="s">
        <v>260</v>
      </c>
      <c r="L2334" t="s">
        <v>36</v>
      </c>
      <c r="M2334" t="s">
        <v>46</v>
      </c>
      <c r="N2334">
        <v>3</v>
      </c>
      <c r="O2334">
        <v>2</v>
      </c>
      <c r="P2334">
        <v>0</v>
      </c>
      <c r="Q2334">
        <v>3</v>
      </c>
      <c r="R2334">
        <v>0</v>
      </c>
      <c r="S2334" t="str">
        <f t="shared" si="180"/>
        <v>PZ: Alta Crit.</v>
      </c>
      <c r="T2334">
        <f t="shared" si="181"/>
        <v>0</v>
      </c>
      <c r="U2334">
        <f t="shared" si="182"/>
        <v>0</v>
      </c>
      <c r="V2334">
        <f t="shared" si="183"/>
        <v>1</v>
      </c>
      <c r="W2334">
        <f t="shared" si="184"/>
        <v>0</v>
      </c>
      <c r="X2334">
        <v>1</v>
      </c>
      <c r="Y2334" s="2">
        <v>45768</v>
      </c>
      <c r="Z2334" s="3" t="s">
        <v>47</v>
      </c>
      <c r="AA2334" t="s">
        <v>39</v>
      </c>
      <c r="AB2334" t="s">
        <v>40</v>
      </c>
      <c r="AC2334" t="s">
        <v>40</v>
      </c>
      <c r="AD2334" t="s">
        <v>184</v>
      </c>
    </row>
    <row r="2335" spans="2:30">
      <c r="B2335">
        <v>0</v>
      </c>
      <c r="C2335">
        <v>1020</v>
      </c>
      <c r="D2335" t="s">
        <v>181</v>
      </c>
      <c r="E2335">
        <v>10192124</v>
      </c>
      <c r="F2335" t="s">
        <v>2422</v>
      </c>
      <c r="G2335" t="s">
        <v>52</v>
      </c>
      <c r="H2335" t="s">
        <v>44</v>
      </c>
      <c r="I2335" t="s">
        <v>183</v>
      </c>
      <c r="J2335" t="s">
        <v>45</v>
      </c>
      <c r="K2335" t="s">
        <v>260</v>
      </c>
      <c r="L2335" t="s">
        <v>36</v>
      </c>
      <c r="M2335" t="s">
        <v>46</v>
      </c>
      <c r="N2335">
        <v>1</v>
      </c>
      <c r="O2335">
        <v>1</v>
      </c>
      <c r="P2335">
        <v>0</v>
      </c>
      <c r="Q2335">
        <v>1</v>
      </c>
      <c r="R2335">
        <v>0</v>
      </c>
      <c r="S2335" t="str">
        <f t="shared" si="180"/>
        <v>PZ: Alta Crit.</v>
      </c>
      <c r="T2335">
        <f t="shared" si="181"/>
        <v>0</v>
      </c>
      <c r="U2335">
        <f t="shared" si="182"/>
        <v>0</v>
      </c>
      <c r="V2335">
        <f t="shared" si="183"/>
        <v>1</v>
      </c>
      <c r="W2335">
        <f t="shared" si="184"/>
        <v>0</v>
      </c>
      <c r="X2335">
        <v>1</v>
      </c>
      <c r="Y2335" s="2">
        <v>45768</v>
      </c>
      <c r="Z2335" s="3" t="s">
        <v>47</v>
      </c>
      <c r="AA2335" t="s">
        <v>39</v>
      </c>
      <c r="AB2335" t="s">
        <v>40</v>
      </c>
      <c r="AC2335" t="s">
        <v>40</v>
      </c>
      <c r="AD2335" t="s">
        <v>184</v>
      </c>
    </row>
    <row r="2336" spans="2:30">
      <c r="B2336">
        <v>0</v>
      </c>
      <c r="C2336">
        <v>1020</v>
      </c>
      <c r="D2336" t="s">
        <v>388</v>
      </c>
      <c r="E2336">
        <v>10192137</v>
      </c>
      <c r="F2336" t="s">
        <v>2423</v>
      </c>
      <c r="G2336" t="s">
        <v>43</v>
      </c>
      <c r="H2336" t="s">
        <v>32</v>
      </c>
      <c r="I2336" t="s">
        <v>390</v>
      </c>
      <c r="J2336" t="s">
        <v>45</v>
      </c>
      <c r="K2336" t="s">
        <v>35</v>
      </c>
      <c r="L2336" t="s">
        <v>175</v>
      </c>
      <c r="M2336" t="s">
        <v>117</v>
      </c>
      <c r="N2336">
        <v>0</v>
      </c>
      <c r="O2336">
        <v>0</v>
      </c>
      <c r="P2336">
        <v>1</v>
      </c>
      <c r="Q2336">
        <v>1</v>
      </c>
      <c r="R2336">
        <v>0</v>
      </c>
      <c r="S2336" t="str">
        <f t="shared" si="180"/>
        <v>PY: Media Crit.</v>
      </c>
      <c r="T2336">
        <f t="shared" si="181"/>
        <v>0</v>
      </c>
      <c r="U2336">
        <f t="shared" si="182"/>
        <v>1</v>
      </c>
      <c r="V2336">
        <f t="shared" si="183"/>
        <v>0</v>
      </c>
      <c r="W2336">
        <f t="shared" si="184"/>
        <v>1</v>
      </c>
      <c r="X2336">
        <v>1</v>
      </c>
      <c r="Y2336" s="2">
        <v>45768</v>
      </c>
      <c r="Z2336" s="3" t="s">
        <v>118</v>
      </c>
      <c r="AA2336" t="s">
        <v>39</v>
      </c>
      <c r="AB2336" t="s">
        <v>40</v>
      </c>
      <c r="AC2336" t="s">
        <v>40</v>
      </c>
      <c r="AD2336" t="s">
        <v>391</v>
      </c>
    </row>
    <row r="2337" spans="2:30">
      <c r="B2337">
        <v>0</v>
      </c>
      <c r="C2337">
        <v>1020</v>
      </c>
      <c r="D2337" t="s">
        <v>181</v>
      </c>
      <c r="E2337">
        <v>10192138</v>
      </c>
      <c r="F2337" t="s">
        <v>2424</v>
      </c>
      <c r="G2337" t="s">
        <v>31</v>
      </c>
      <c r="H2337" t="s">
        <v>32</v>
      </c>
      <c r="I2337" t="s">
        <v>183</v>
      </c>
      <c r="J2337" t="s">
        <v>45</v>
      </c>
      <c r="K2337" t="s">
        <v>35</v>
      </c>
      <c r="L2337" t="s">
        <v>36</v>
      </c>
      <c r="M2337" t="s">
        <v>117</v>
      </c>
      <c r="N2337">
        <v>2</v>
      </c>
      <c r="O2337">
        <v>2</v>
      </c>
      <c r="P2337">
        <v>1</v>
      </c>
      <c r="Q2337">
        <v>3</v>
      </c>
      <c r="R2337">
        <v>0</v>
      </c>
      <c r="S2337" t="str">
        <f t="shared" si="180"/>
        <v>PX: Baja Crit.</v>
      </c>
      <c r="T2337">
        <f t="shared" si="181"/>
        <v>0</v>
      </c>
      <c r="U2337">
        <f t="shared" si="182"/>
        <v>0</v>
      </c>
      <c r="V2337">
        <f t="shared" si="183"/>
        <v>0</v>
      </c>
      <c r="W2337">
        <f t="shared" si="184"/>
        <v>1</v>
      </c>
      <c r="X2337">
        <v>1</v>
      </c>
      <c r="Y2337" s="2">
        <v>45768</v>
      </c>
      <c r="Z2337" s="3" t="s">
        <v>118</v>
      </c>
      <c r="AA2337" t="s">
        <v>39</v>
      </c>
      <c r="AB2337" t="s">
        <v>40</v>
      </c>
      <c r="AC2337" t="s">
        <v>40</v>
      </c>
      <c r="AD2337" t="s">
        <v>184</v>
      </c>
    </row>
    <row r="2338" spans="2:30">
      <c r="B2338">
        <v>0</v>
      </c>
      <c r="C2338">
        <v>1020</v>
      </c>
      <c r="D2338" t="s">
        <v>693</v>
      </c>
      <c r="E2338">
        <v>10192163</v>
      </c>
      <c r="F2338" t="s">
        <v>2425</v>
      </c>
      <c r="G2338" t="s">
        <v>43</v>
      </c>
      <c r="H2338" t="s">
        <v>32</v>
      </c>
      <c r="I2338" t="s">
        <v>695</v>
      </c>
      <c r="J2338" t="s">
        <v>45</v>
      </c>
      <c r="K2338" t="s">
        <v>35</v>
      </c>
      <c r="L2338" t="s">
        <v>175</v>
      </c>
      <c r="M2338" t="s">
        <v>117</v>
      </c>
      <c r="N2338">
        <v>0</v>
      </c>
      <c r="O2338">
        <v>0</v>
      </c>
      <c r="P2338">
        <v>0</v>
      </c>
      <c r="Q2338">
        <v>9</v>
      </c>
      <c r="R2338">
        <v>0</v>
      </c>
      <c r="S2338" t="str">
        <f t="shared" si="180"/>
        <v>PY: Media Crit.</v>
      </c>
      <c r="T2338">
        <f t="shared" si="181"/>
        <v>0</v>
      </c>
      <c r="U2338">
        <f t="shared" si="182"/>
        <v>0</v>
      </c>
      <c r="V2338">
        <f t="shared" si="183"/>
        <v>0</v>
      </c>
      <c r="W2338">
        <f t="shared" si="184"/>
        <v>1</v>
      </c>
      <c r="X2338">
        <v>1</v>
      </c>
      <c r="Y2338" s="2">
        <v>45768</v>
      </c>
      <c r="Z2338" s="3" t="s">
        <v>118</v>
      </c>
      <c r="AA2338" t="s">
        <v>39</v>
      </c>
      <c r="AB2338" t="s">
        <v>40</v>
      </c>
      <c r="AC2338" t="s">
        <v>40</v>
      </c>
      <c r="AD2338" t="s">
        <v>696</v>
      </c>
    </row>
    <row r="2339" spans="2:30">
      <c r="B2339">
        <v>0</v>
      </c>
      <c r="C2339">
        <v>1020</v>
      </c>
      <c r="D2339" t="s">
        <v>693</v>
      </c>
      <c r="E2339">
        <v>10192184</v>
      </c>
      <c r="F2339" t="s">
        <v>2426</v>
      </c>
      <c r="G2339" t="s">
        <v>43</v>
      </c>
      <c r="H2339" t="s">
        <v>32</v>
      </c>
      <c r="I2339" t="s">
        <v>695</v>
      </c>
      <c r="J2339" t="s">
        <v>45</v>
      </c>
      <c r="K2339" t="s">
        <v>35</v>
      </c>
      <c r="L2339" t="s">
        <v>175</v>
      </c>
      <c r="M2339" t="s">
        <v>117</v>
      </c>
      <c r="N2339">
        <v>0</v>
      </c>
      <c r="O2339">
        <v>0</v>
      </c>
      <c r="P2339">
        <v>0</v>
      </c>
      <c r="Q2339">
        <v>6</v>
      </c>
      <c r="R2339">
        <v>0</v>
      </c>
      <c r="S2339" t="str">
        <f t="shared" si="180"/>
        <v>PY: Media Crit.</v>
      </c>
      <c r="T2339">
        <f t="shared" si="181"/>
        <v>0</v>
      </c>
      <c r="U2339">
        <f t="shared" si="182"/>
        <v>0</v>
      </c>
      <c r="V2339">
        <f t="shared" si="183"/>
        <v>0</v>
      </c>
      <c r="W2339">
        <f t="shared" si="184"/>
        <v>1</v>
      </c>
      <c r="X2339">
        <v>1</v>
      </c>
      <c r="Y2339" s="2">
        <v>45768</v>
      </c>
      <c r="Z2339" s="3" t="s">
        <v>118</v>
      </c>
      <c r="AA2339" t="s">
        <v>39</v>
      </c>
      <c r="AB2339" t="s">
        <v>40</v>
      </c>
      <c r="AC2339" t="s">
        <v>40</v>
      </c>
      <c r="AD2339" t="s">
        <v>696</v>
      </c>
    </row>
    <row r="2340" spans="2:30">
      <c r="B2340">
        <v>0</v>
      </c>
      <c r="C2340">
        <v>1020</v>
      </c>
      <c r="D2340" t="s">
        <v>693</v>
      </c>
      <c r="E2340">
        <v>10192191</v>
      </c>
      <c r="F2340" t="s">
        <v>2427</v>
      </c>
      <c r="G2340" t="s">
        <v>43</v>
      </c>
      <c r="H2340" t="s">
        <v>60</v>
      </c>
      <c r="I2340" t="s">
        <v>695</v>
      </c>
      <c r="J2340" t="s">
        <v>45</v>
      </c>
      <c r="K2340" t="s">
        <v>35</v>
      </c>
      <c r="L2340" t="s">
        <v>175</v>
      </c>
      <c r="M2340" t="s">
        <v>37</v>
      </c>
      <c r="N2340">
        <v>4</v>
      </c>
      <c r="O2340">
        <v>1</v>
      </c>
      <c r="P2340">
        <v>1</v>
      </c>
      <c r="Q2340">
        <v>4</v>
      </c>
      <c r="R2340">
        <v>0</v>
      </c>
      <c r="S2340" t="str">
        <f t="shared" si="180"/>
        <v>PY: Media Crit.</v>
      </c>
      <c r="T2340">
        <f t="shared" si="181"/>
        <v>0</v>
      </c>
      <c r="U2340">
        <f t="shared" si="182"/>
        <v>0</v>
      </c>
      <c r="V2340">
        <f t="shared" si="183"/>
        <v>1</v>
      </c>
      <c r="W2340">
        <f t="shared" si="184"/>
        <v>0</v>
      </c>
      <c r="X2340">
        <v>1</v>
      </c>
      <c r="Y2340" s="2">
        <v>45768</v>
      </c>
      <c r="Z2340" s="3" t="s">
        <v>38</v>
      </c>
      <c r="AA2340" t="s">
        <v>39</v>
      </c>
      <c r="AB2340" t="s">
        <v>40</v>
      </c>
      <c r="AC2340" t="s">
        <v>40</v>
      </c>
      <c r="AD2340" t="s">
        <v>696</v>
      </c>
    </row>
    <row r="2341" spans="2:30">
      <c r="B2341">
        <v>0</v>
      </c>
      <c r="C2341">
        <v>1020</v>
      </c>
      <c r="D2341" t="s">
        <v>693</v>
      </c>
      <c r="E2341">
        <v>10192193</v>
      </c>
      <c r="F2341" t="s">
        <v>2428</v>
      </c>
      <c r="G2341" t="s">
        <v>43</v>
      </c>
      <c r="H2341" t="s">
        <v>60</v>
      </c>
      <c r="I2341" t="s">
        <v>695</v>
      </c>
      <c r="J2341" t="s">
        <v>45</v>
      </c>
      <c r="K2341" t="s">
        <v>35</v>
      </c>
      <c r="L2341" t="s">
        <v>175</v>
      </c>
      <c r="M2341" t="s">
        <v>37</v>
      </c>
      <c r="N2341">
        <v>4</v>
      </c>
      <c r="O2341">
        <v>1</v>
      </c>
      <c r="P2341">
        <v>1</v>
      </c>
      <c r="Q2341">
        <v>3</v>
      </c>
      <c r="R2341">
        <v>0</v>
      </c>
      <c r="S2341" t="str">
        <f t="shared" si="180"/>
        <v>PY: Media Crit.</v>
      </c>
      <c r="T2341">
        <f t="shared" si="181"/>
        <v>0</v>
      </c>
      <c r="U2341">
        <f t="shared" si="182"/>
        <v>0</v>
      </c>
      <c r="V2341">
        <f t="shared" si="183"/>
        <v>1</v>
      </c>
      <c r="W2341">
        <f t="shared" si="184"/>
        <v>0</v>
      </c>
      <c r="X2341">
        <v>1</v>
      </c>
      <c r="Y2341" s="2">
        <v>45768</v>
      </c>
      <c r="Z2341" s="3" t="s">
        <v>38</v>
      </c>
      <c r="AA2341" t="s">
        <v>39</v>
      </c>
      <c r="AB2341" t="s">
        <v>40</v>
      </c>
      <c r="AC2341" t="s">
        <v>40</v>
      </c>
      <c r="AD2341" t="s">
        <v>696</v>
      </c>
    </row>
    <row r="2342" spans="2:30">
      <c r="B2342">
        <v>0</v>
      </c>
      <c r="C2342">
        <v>1020</v>
      </c>
      <c r="D2342" t="s">
        <v>693</v>
      </c>
      <c r="E2342">
        <v>10192741</v>
      </c>
      <c r="F2342" t="s">
        <v>2429</v>
      </c>
      <c r="G2342" t="s">
        <v>31</v>
      </c>
      <c r="H2342" t="s">
        <v>32</v>
      </c>
      <c r="I2342" t="s">
        <v>695</v>
      </c>
      <c r="J2342" t="s">
        <v>45</v>
      </c>
      <c r="K2342" t="s">
        <v>35</v>
      </c>
      <c r="L2342" t="s">
        <v>175</v>
      </c>
      <c r="M2342" t="s">
        <v>88</v>
      </c>
      <c r="N2342">
        <v>0</v>
      </c>
      <c r="O2342">
        <v>0</v>
      </c>
      <c r="P2342">
        <v>0</v>
      </c>
      <c r="Q2342">
        <v>18</v>
      </c>
      <c r="R2342">
        <v>0</v>
      </c>
      <c r="S2342" t="str">
        <f t="shared" si="180"/>
        <v>PX: Baja Crit.</v>
      </c>
      <c r="T2342">
        <f t="shared" si="181"/>
        <v>0</v>
      </c>
      <c r="U2342">
        <f t="shared" si="182"/>
        <v>0</v>
      </c>
      <c r="V2342">
        <f t="shared" si="183"/>
        <v>0</v>
      </c>
      <c r="W2342">
        <f t="shared" si="184"/>
        <v>1</v>
      </c>
      <c r="X2342">
        <v>1</v>
      </c>
      <c r="Y2342" s="2">
        <v>45768</v>
      </c>
      <c r="Z2342" s="3" t="s">
        <v>89</v>
      </c>
      <c r="AA2342" t="s">
        <v>39</v>
      </c>
      <c r="AB2342" t="s">
        <v>40</v>
      </c>
      <c r="AC2342" t="s">
        <v>40</v>
      </c>
      <c r="AD2342" t="s">
        <v>696</v>
      </c>
    </row>
    <row r="2343" spans="2:30">
      <c r="B2343">
        <v>0</v>
      </c>
      <c r="C2343">
        <v>1020</v>
      </c>
      <c r="D2343" t="s">
        <v>693</v>
      </c>
      <c r="E2343">
        <v>10202157</v>
      </c>
      <c r="F2343" t="s">
        <v>2430</v>
      </c>
      <c r="G2343" t="s">
        <v>52</v>
      </c>
      <c r="H2343" t="s">
        <v>32</v>
      </c>
      <c r="I2343" t="s">
        <v>695</v>
      </c>
      <c r="J2343" t="s">
        <v>45</v>
      </c>
      <c r="K2343" t="s">
        <v>35</v>
      </c>
      <c r="L2343" t="s">
        <v>175</v>
      </c>
      <c r="M2343" t="s">
        <v>69</v>
      </c>
      <c r="N2343">
        <v>0</v>
      </c>
      <c r="O2343">
        <v>0</v>
      </c>
      <c r="P2343">
        <v>0</v>
      </c>
      <c r="Q2343">
        <v>1</v>
      </c>
      <c r="R2343">
        <v>0</v>
      </c>
      <c r="S2343" t="str">
        <f t="shared" si="180"/>
        <v>PZ: Alta Crit.</v>
      </c>
      <c r="T2343">
        <f t="shared" si="181"/>
        <v>0</v>
      </c>
      <c r="U2343">
        <f t="shared" si="182"/>
        <v>0</v>
      </c>
      <c r="V2343">
        <f t="shared" si="183"/>
        <v>0</v>
      </c>
      <c r="W2343">
        <f t="shared" si="184"/>
        <v>1</v>
      </c>
      <c r="X2343">
        <v>1</v>
      </c>
      <c r="Y2343" s="2">
        <v>45768</v>
      </c>
      <c r="Z2343" s="3" t="s">
        <v>70</v>
      </c>
      <c r="AA2343" t="s">
        <v>39</v>
      </c>
      <c r="AB2343" t="s">
        <v>40</v>
      </c>
      <c r="AC2343" t="s">
        <v>40</v>
      </c>
      <c r="AD2343" t="s">
        <v>696</v>
      </c>
    </row>
    <row r="2344" spans="2:30">
      <c r="B2344">
        <v>0</v>
      </c>
      <c r="C2344">
        <v>1020</v>
      </c>
      <c r="D2344" t="s">
        <v>693</v>
      </c>
      <c r="E2344">
        <v>10203537</v>
      </c>
      <c r="F2344" t="s">
        <v>2431</v>
      </c>
      <c r="G2344" t="s">
        <v>43</v>
      </c>
      <c r="H2344" t="s">
        <v>32</v>
      </c>
      <c r="I2344" t="s">
        <v>695</v>
      </c>
      <c r="J2344" t="s">
        <v>45</v>
      </c>
      <c r="K2344" t="s">
        <v>35</v>
      </c>
      <c r="L2344" t="s">
        <v>175</v>
      </c>
      <c r="M2344" t="s">
        <v>69</v>
      </c>
      <c r="N2344">
        <v>0</v>
      </c>
      <c r="O2344">
        <v>0</v>
      </c>
      <c r="P2344">
        <v>0</v>
      </c>
      <c r="Q2344">
        <v>0</v>
      </c>
      <c r="R2344">
        <v>0</v>
      </c>
      <c r="S2344" t="str">
        <f t="shared" si="180"/>
        <v>PY: Media Crit.</v>
      </c>
      <c r="T2344">
        <f t="shared" si="181"/>
        <v>1</v>
      </c>
      <c r="U2344">
        <f t="shared" si="182"/>
        <v>0</v>
      </c>
      <c r="V2344">
        <f t="shared" si="183"/>
        <v>0</v>
      </c>
      <c r="W2344">
        <f t="shared" si="184"/>
        <v>0</v>
      </c>
      <c r="X2344">
        <v>1</v>
      </c>
      <c r="Y2344" s="2">
        <v>45768</v>
      </c>
      <c r="Z2344" s="3" t="s">
        <v>70</v>
      </c>
      <c r="AA2344" t="s">
        <v>39</v>
      </c>
      <c r="AB2344" t="s">
        <v>40</v>
      </c>
      <c r="AC2344" t="s">
        <v>40</v>
      </c>
      <c r="AD2344" t="s">
        <v>696</v>
      </c>
    </row>
    <row r="2345" spans="2:30">
      <c r="B2345">
        <v>0</v>
      </c>
      <c r="C2345">
        <v>1020</v>
      </c>
      <c r="D2345" t="s">
        <v>388</v>
      </c>
      <c r="E2345">
        <v>10204873</v>
      </c>
      <c r="F2345" t="s">
        <v>2432</v>
      </c>
      <c r="G2345" t="s">
        <v>43</v>
      </c>
      <c r="H2345" t="s">
        <v>32</v>
      </c>
      <c r="I2345" t="s">
        <v>390</v>
      </c>
      <c r="J2345" t="s">
        <v>45</v>
      </c>
      <c r="K2345" t="s">
        <v>35</v>
      </c>
      <c r="L2345" t="s">
        <v>175</v>
      </c>
      <c r="M2345" t="s">
        <v>46</v>
      </c>
      <c r="N2345">
        <v>0</v>
      </c>
      <c r="O2345">
        <v>0</v>
      </c>
      <c r="P2345">
        <v>1</v>
      </c>
      <c r="Q2345">
        <v>1</v>
      </c>
      <c r="R2345">
        <v>0</v>
      </c>
      <c r="S2345" t="str">
        <f t="shared" si="180"/>
        <v>PY: Media Crit.</v>
      </c>
      <c r="T2345">
        <f t="shared" si="181"/>
        <v>0</v>
      </c>
      <c r="U2345">
        <f t="shared" si="182"/>
        <v>1</v>
      </c>
      <c r="V2345">
        <f t="shared" si="183"/>
        <v>0</v>
      </c>
      <c r="W2345">
        <f t="shared" si="184"/>
        <v>1</v>
      </c>
      <c r="X2345">
        <v>1</v>
      </c>
      <c r="Y2345" s="2">
        <v>45768</v>
      </c>
      <c r="Z2345" s="3" t="s">
        <v>47</v>
      </c>
      <c r="AA2345" t="s">
        <v>39</v>
      </c>
      <c r="AB2345" t="s">
        <v>40</v>
      </c>
      <c r="AC2345" t="s">
        <v>40</v>
      </c>
      <c r="AD2345" t="s">
        <v>391</v>
      </c>
    </row>
    <row r="2346" spans="2:30">
      <c r="B2346">
        <v>0</v>
      </c>
      <c r="C2346">
        <v>1020</v>
      </c>
      <c r="D2346" t="s">
        <v>181</v>
      </c>
      <c r="E2346">
        <v>10206394</v>
      </c>
      <c r="F2346" t="s">
        <v>2433</v>
      </c>
      <c r="G2346" t="s">
        <v>43</v>
      </c>
      <c r="H2346" t="s">
        <v>32</v>
      </c>
      <c r="I2346" t="s">
        <v>183</v>
      </c>
      <c r="J2346" t="s">
        <v>45</v>
      </c>
      <c r="K2346" t="s">
        <v>35</v>
      </c>
      <c r="L2346" t="s">
        <v>36</v>
      </c>
      <c r="M2346" t="s">
        <v>37</v>
      </c>
      <c r="N2346">
        <v>4</v>
      </c>
      <c r="O2346">
        <v>3</v>
      </c>
      <c r="P2346">
        <v>1</v>
      </c>
      <c r="Q2346">
        <v>4</v>
      </c>
      <c r="R2346" s="4">
        <v>35013.99</v>
      </c>
      <c r="S2346" t="str">
        <f t="shared" si="180"/>
        <v>PY: Media Crit.</v>
      </c>
      <c r="T2346">
        <f t="shared" si="181"/>
        <v>0</v>
      </c>
      <c r="U2346">
        <f t="shared" si="182"/>
        <v>0</v>
      </c>
      <c r="V2346">
        <f t="shared" si="183"/>
        <v>1</v>
      </c>
      <c r="W2346">
        <f t="shared" si="184"/>
        <v>0</v>
      </c>
      <c r="X2346">
        <v>1</v>
      </c>
      <c r="Y2346" s="2">
        <v>45768</v>
      </c>
      <c r="Z2346" s="3" t="s">
        <v>38</v>
      </c>
      <c r="AA2346" t="s">
        <v>39</v>
      </c>
      <c r="AB2346" t="s">
        <v>40</v>
      </c>
      <c r="AC2346" t="s">
        <v>40</v>
      </c>
      <c r="AD2346" t="s">
        <v>184</v>
      </c>
    </row>
    <row r="2347" spans="2:30">
      <c r="B2347">
        <v>0</v>
      </c>
      <c r="C2347">
        <v>1020</v>
      </c>
      <c r="D2347" t="s">
        <v>693</v>
      </c>
      <c r="E2347">
        <v>10237183</v>
      </c>
      <c r="F2347" t="s">
        <v>2434</v>
      </c>
      <c r="G2347" t="s">
        <v>31</v>
      </c>
      <c r="H2347" t="s">
        <v>32</v>
      </c>
      <c r="I2347" t="s">
        <v>695</v>
      </c>
      <c r="J2347" t="s">
        <v>45</v>
      </c>
      <c r="K2347" t="s">
        <v>35</v>
      </c>
      <c r="L2347" t="s">
        <v>175</v>
      </c>
      <c r="M2347" t="s">
        <v>69</v>
      </c>
      <c r="N2347">
        <v>0</v>
      </c>
      <c r="O2347">
        <v>0</v>
      </c>
      <c r="P2347">
        <v>0</v>
      </c>
      <c r="Q2347">
        <v>2</v>
      </c>
      <c r="R2347">
        <v>0</v>
      </c>
      <c r="S2347" t="str">
        <f t="shared" si="180"/>
        <v>PX: Baja Crit.</v>
      </c>
      <c r="T2347">
        <f t="shared" si="181"/>
        <v>0</v>
      </c>
      <c r="U2347">
        <f t="shared" si="182"/>
        <v>0</v>
      </c>
      <c r="V2347">
        <f t="shared" si="183"/>
        <v>0</v>
      </c>
      <c r="W2347">
        <f t="shared" si="184"/>
        <v>1</v>
      </c>
      <c r="X2347">
        <v>1</v>
      </c>
      <c r="Y2347" s="2">
        <v>45768</v>
      </c>
      <c r="Z2347" s="3" t="s">
        <v>70</v>
      </c>
      <c r="AA2347" t="s">
        <v>39</v>
      </c>
      <c r="AB2347" t="s">
        <v>40</v>
      </c>
      <c r="AC2347" t="s">
        <v>40</v>
      </c>
      <c r="AD2347" t="s">
        <v>696</v>
      </c>
    </row>
    <row r="2348" spans="2:30">
      <c r="B2348">
        <v>0</v>
      </c>
      <c r="C2348">
        <v>1020</v>
      </c>
      <c r="D2348" t="s">
        <v>388</v>
      </c>
      <c r="E2348">
        <v>10244033</v>
      </c>
      <c r="F2348" t="s">
        <v>2435</v>
      </c>
      <c r="G2348" t="s">
        <v>43</v>
      </c>
      <c r="H2348" t="s">
        <v>44</v>
      </c>
      <c r="I2348" t="s">
        <v>390</v>
      </c>
      <c r="J2348" t="s">
        <v>45</v>
      </c>
      <c r="K2348" t="s">
        <v>35</v>
      </c>
      <c r="L2348" t="s">
        <v>175</v>
      </c>
      <c r="M2348" t="s">
        <v>69</v>
      </c>
      <c r="N2348">
        <v>0</v>
      </c>
      <c r="O2348">
        <v>0</v>
      </c>
      <c r="P2348">
        <v>1</v>
      </c>
      <c r="Q2348">
        <v>1</v>
      </c>
      <c r="R2348" s="4">
        <v>1283.03</v>
      </c>
      <c r="S2348" t="str">
        <f t="shared" si="180"/>
        <v>PY: Media Crit.</v>
      </c>
      <c r="T2348">
        <f t="shared" si="181"/>
        <v>0</v>
      </c>
      <c r="U2348">
        <f t="shared" si="182"/>
        <v>1</v>
      </c>
      <c r="V2348">
        <f t="shared" si="183"/>
        <v>0</v>
      </c>
      <c r="W2348">
        <f t="shared" si="184"/>
        <v>1</v>
      </c>
      <c r="X2348">
        <v>1</v>
      </c>
      <c r="Y2348" s="2">
        <v>45768</v>
      </c>
      <c r="Z2348" s="3" t="s">
        <v>70</v>
      </c>
      <c r="AA2348" t="s">
        <v>39</v>
      </c>
      <c r="AB2348" t="s">
        <v>40</v>
      </c>
      <c r="AC2348" t="s">
        <v>40</v>
      </c>
      <c r="AD2348" t="s">
        <v>391</v>
      </c>
    </row>
    <row r="2349" spans="2:30">
      <c r="B2349">
        <v>0</v>
      </c>
      <c r="C2349">
        <v>1020</v>
      </c>
      <c r="D2349" t="s">
        <v>693</v>
      </c>
      <c r="E2349">
        <v>10248827</v>
      </c>
      <c r="F2349" t="s">
        <v>2436</v>
      </c>
      <c r="G2349" t="s">
        <v>52</v>
      </c>
      <c r="H2349" t="s">
        <v>32</v>
      </c>
      <c r="I2349" t="s">
        <v>695</v>
      </c>
      <c r="J2349" t="s">
        <v>45</v>
      </c>
      <c r="K2349" t="s">
        <v>35</v>
      </c>
      <c r="L2349" t="s">
        <v>175</v>
      </c>
      <c r="M2349" t="s">
        <v>46</v>
      </c>
      <c r="N2349">
        <v>0</v>
      </c>
      <c r="O2349">
        <v>0</v>
      </c>
      <c r="P2349">
        <v>0</v>
      </c>
      <c r="Q2349">
        <v>41</v>
      </c>
      <c r="R2349">
        <v>0</v>
      </c>
      <c r="S2349" t="str">
        <f t="shared" si="180"/>
        <v>PZ: Alta Crit.</v>
      </c>
      <c r="T2349">
        <f t="shared" si="181"/>
        <v>0</v>
      </c>
      <c r="U2349">
        <f t="shared" si="182"/>
        <v>0</v>
      </c>
      <c r="V2349">
        <f t="shared" si="183"/>
        <v>0</v>
      </c>
      <c r="W2349">
        <f t="shared" si="184"/>
        <v>1</v>
      </c>
      <c r="X2349">
        <v>1</v>
      </c>
      <c r="Y2349" s="2">
        <v>45768</v>
      </c>
      <c r="Z2349" s="3" t="s">
        <v>47</v>
      </c>
      <c r="AA2349" t="s">
        <v>39</v>
      </c>
      <c r="AB2349" t="s">
        <v>40</v>
      </c>
      <c r="AC2349" t="s">
        <v>40</v>
      </c>
      <c r="AD2349" t="s">
        <v>696</v>
      </c>
    </row>
    <row r="2350" spans="2:30">
      <c r="B2350">
        <v>0</v>
      </c>
      <c r="C2350">
        <v>1020</v>
      </c>
      <c r="D2350" t="s">
        <v>693</v>
      </c>
      <c r="E2350">
        <v>10249489</v>
      </c>
      <c r="F2350" t="s">
        <v>2437</v>
      </c>
      <c r="G2350" t="s">
        <v>31</v>
      </c>
      <c r="H2350" t="s">
        <v>32</v>
      </c>
      <c r="I2350" t="s">
        <v>695</v>
      </c>
      <c r="J2350" t="s">
        <v>45</v>
      </c>
      <c r="K2350" t="s">
        <v>35</v>
      </c>
      <c r="L2350" t="s">
        <v>175</v>
      </c>
      <c r="M2350" t="s">
        <v>46</v>
      </c>
      <c r="N2350">
        <v>0</v>
      </c>
      <c r="O2350">
        <v>0</v>
      </c>
      <c r="P2350">
        <v>0</v>
      </c>
      <c r="Q2350">
        <v>10</v>
      </c>
      <c r="R2350">
        <v>0</v>
      </c>
      <c r="S2350" t="str">
        <f t="shared" si="180"/>
        <v>PX: Baja Crit.</v>
      </c>
      <c r="T2350">
        <f t="shared" si="181"/>
        <v>0</v>
      </c>
      <c r="U2350">
        <f t="shared" si="182"/>
        <v>0</v>
      </c>
      <c r="V2350">
        <f t="shared" si="183"/>
        <v>0</v>
      </c>
      <c r="W2350">
        <f t="shared" si="184"/>
        <v>1</v>
      </c>
      <c r="X2350">
        <v>1</v>
      </c>
      <c r="Y2350" s="2">
        <v>45768</v>
      </c>
      <c r="Z2350" s="3" t="s">
        <v>47</v>
      </c>
      <c r="AA2350" t="s">
        <v>39</v>
      </c>
      <c r="AB2350" t="s">
        <v>40</v>
      </c>
      <c r="AC2350" t="s">
        <v>40</v>
      </c>
      <c r="AD2350" t="s">
        <v>696</v>
      </c>
    </row>
    <row r="2351" spans="2:30">
      <c r="B2351">
        <v>0</v>
      </c>
      <c r="C2351">
        <v>1020</v>
      </c>
      <c r="D2351" t="s">
        <v>388</v>
      </c>
      <c r="E2351">
        <v>10264304</v>
      </c>
      <c r="F2351" t="s">
        <v>2438</v>
      </c>
      <c r="G2351" t="s">
        <v>43</v>
      </c>
      <c r="H2351" t="s">
        <v>32</v>
      </c>
      <c r="I2351" t="s">
        <v>390</v>
      </c>
      <c r="J2351" t="s">
        <v>45</v>
      </c>
      <c r="K2351" t="s">
        <v>35</v>
      </c>
      <c r="L2351" t="s">
        <v>175</v>
      </c>
      <c r="M2351" t="s">
        <v>69</v>
      </c>
      <c r="N2351">
        <v>0</v>
      </c>
      <c r="O2351">
        <v>0</v>
      </c>
      <c r="P2351">
        <v>2</v>
      </c>
      <c r="Q2351">
        <v>2</v>
      </c>
      <c r="R2351">
        <v>0</v>
      </c>
      <c r="S2351" t="str">
        <f t="shared" si="180"/>
        <v>PY: Media Crit.</v>
      </c>
      <c r="T2351">
        <f t="shared" si="181"/>
        <v>0</v>
      </c>
      <c r="U2351">
        <f t="shared" si="182"/>
        <v>1</v>
      </c>
      <c r="V2351">
        <f t="shared" si="183"/>
        <v>0</v>
      </c>
      <c r="W2351">
        <f t="shared" si="184"/>
        <v>1</v>
      </c>
      <c r="X2351">
        <v>1</v>
      </c>
      <c r="Y2351" s="2">
        <v>45768</v>
      </c>
      <c r="Z2351" s="3" t="s">
        <v>70</v>
      </c>
      <c r="AA2351" t="s">
        <v>39</v>
      </c>
      <c r="AB2351" t="s">
        <v>40</v>
      </c>
      <c r="AC2351" t="s">
        <v>40</v>
      </c>
      <c r="AD2351" t="s">
        <v>391</v>
      </c>
    </row>
    <row r="2352" spans="2:30">
      <c r="B2352">
        <v>0</v>
      </c>
      <c r="C2352">
        <v>1020</v>
      </c>
      <c r="D2352" t="s">
        <v>384</v>
      </c>
      <c r="E2352">
        <v>10284568</v>
      </c>
      <c r="F2352" t="s">
        <v>2439</v>
      </c>
      <c r="G2352" t="s">
        <v>52</v>
      </c>
      <c r="H2352" t="s">
        <v>32</v>
      </c>
      <c r="I2352" t="s">
        <v>386</v>
      </c>
      <c r="J2352" t="s">
        <v>45</v>
      </c>
      <c r="K2352" t="s">
        <v>35</v>
      </c>
      <c r="L2352" t="s">
        <v>175</v>
      </c>
      <c r="M2352" t="s">
        <v>117</v>
      </c>
      <c r="N2352">
        <v>0</v>
      </c>
      <c r="O2352">
        <v>0</v>
      </c>
      <c r="P2352">
        <v>0</v>
      </c>
      <c r="Q2352">
        <v>4</v>
      </c>
      <c r="R2352">
        <v>0</v>
      </c>
      <c r="S2352" t="str">
        <f t="shared" si="180"/>
        <v>PZ: Alta Crit.</v>
      </c>
      <c r="T2352">
        <f t="shared" si="181"/>
        <v>0</v>
      </c>
      <c r="U2352">
        <f t="shared" si="182"/>
        <v>0</v>
      </c>
      <c r="V2352">
        <f t="shared" si="183"/>
        <v>0</v>
      </c>
      <c r="W2352">
        <f t="shared" si="184"/>
        <v>1</v>
      </c>
      <c r="X2352">
        <v>1</v>
      </c>
      <c r="Y2352" s="2">
        <v>45768</v>
      </c>
      <c r="Z2352" s="3" t="s">
        <v>118</v>
      </c>
      <c r="AA2352" t="s">
        <v>39</v>
      </c>
      <c r="AB2352" t="s">
        <v>40</v>
      </c>
      <c r="AC2352" t="s">
        <v>40</v>
      </c>
      <c r="AD2352" t="s">
        <v>387</v>
      </c>
    </row>
    <row r="2353" spans="2:30">
      <c r="B2353">
        <v>0</v>
      </c>
      <c r="C2353">
        <v>1020</v>
      </c>
      <c r="D2353" t="s">
        <v>693</v>
      </c>
      <c r="E2353">
        <v>10284607</v>
      </c>
      <c r="F2353" t="s">
        <v>2440</v>
      </c>
      <c r="G2353" t="s">
        <v>43</v>
      </c>
      <c r="H2353" t="s">
        <v>32</v>
      </c>
      <c r="I2353" t="s">
        <v>695</v>
      </c>
      <c r="J2353" t="s">
        <v>45</v>
      </c>
      <c r="K2353" t="s">
        <v>35</v>
      </c>
      <c r="L2353" t="s">
        <v>175</v>
      </c>
      <c r="M2353" t="s">
        <v>88</v>
      </c>
      <c r="N2353">
        <v>0</v>
      </c>
      <c r="O2353">
        <v>0</v>
      </c>
      <c r="P2353">
        <v>0</v>
      </c>
      <c r="Q2353">
        <v>8</v>
      </c>
      <c r="R2353">
        <v>0</v>
      </c>
      <c r="S2353" t="str">
        <f t="shared" si="180"/>
        <v>PY: Media Crit.</v>
      </c>
      <c r="T2353">
        <f t="shared" si="181"/>
        <v>0</v>
      </c>
      <c r="U2353">
        <f t="shared" si="182"/>
        <v>0</v>
      </c>
      <c r="V2353">
        <f t="shared" si="183"/>
        <v>0</v>
      </c>
      <c r="W2353">
        <f t="shared" si="184"/>
        <v>1</v>
      </c>
      <c r="X2353">
        <v>1</v>
      </c>
      <c r="Y2353" s="2">
        <v>45768</v>
      </c>
      <c r="Z2353" s="3" t="s">
        <v>89</v>
      </c>
      <c r="AA2353" t="s">
        <v>39</v>
      </c>
      <c r="AB2353" t="s">
        <v>40</v>
      </c>
      <c r="AC2353" t="s">
        <v>40</v>
      </c>
      <c r="AD2353" t="s">
        <v>696</v>
      </c>
    </row>
    <row r="2354" spans="2:30">
      <c r="B2354">
        <v>0</v>
      </c>
      <c r="C2354">
        <v>1020</v>
      </c>
      <c r="D2354" t="s">
        <v>181</v>
      </c>
      <c r="E2354">
        <v>10286487</v>
      </c>
      <c r="F2354" t="s">
        <v>2441</v>
      </c>
      <c r="G2354" t="s">
        <v>31</v>
      </c>
      <c r="H2354" t="s">
        <v>32</v>
      </c>
      <c r="I2354" t="s">
        <v>183</v>
      </c>
      <c r="J2354" t="s">
        <v>45</v>
      </c>
      <c r="K2354" t="s">
        <v>35</v>
      </c>
      <c r="L2354" t="s">
        <v>36</v>
      </c>
      <c r="M2354" t="s">
        <v>46</v>
      </c>
      <c r="N2354">
        <v>4</v>
      </c>
      <c r="O2354">
        <v>3</v>
      </c>
      <c r="P2354">
        <v>0</v>
      </c>
      <c r="Q2354">
        <v>4</v>
      </c>
      <c r="R2354">
        <v>0</v>
      </c>
      <c r="S2354" t="str">
        <f t="shared" si="180"/>
        <v>PX: Baja Crit.</v>
      </c>
      <c r="T2354">
        <f t="shared" si="181"/>
        <v>0</v>
      </c>
      <c r="U2354">
        <f t="shared" si="182"/>
        <v>0</v>
      </c>
      <c r="V2354">
        <f t="shared" si="183"/>
        <v>1</v>
      </c>
      <c r="W2354">
        <f t="shared" si="184"/>
        <v>0</v>
      </c>
      <c r="X2354">
        <v>1</v>
      </c>
      <c r="Y2354" s="2">
        <v>45768</v>
      </c>
      <c r="Z2354" s="3" t="s">
        <v>47</v>
      </c>
      <c r="AA2354" t="s">
        <v>39</v>
      </c>
      <c r="AB2354" t="s">
        <v>40</v>
      </c>
      <c r="AC2354" t="s">
        <v>40</v>
      </c>
      <c r="AD2354" t="s">
        <v>184</v>
      </c>
    </row>
    <row r="2355" spans="2:30">
      <c r="B2355">
        <v>0</v>
      </c>
      <c r="C2355">
        <v>1020</v>
      </c>
      <c r="D2355" t="s">
        <v>181</v>
      </c>
      <c r="E2355">
        <v>10286488</v>
      </c>
      <c r="F2355" t="s">
        <v>2442</v>
      </c>
      <c r="G2355" t="s">
        <v>31</v>
      </c>
      <c r="H2355" t="s">
        <v>60</v>
      </c>
      <c r="I2355" t="s">
        <v>183</v>
      </c>
      <c r="J2355" t="s">
        <v>45</v>
      </c>
      <c r="K2355" t="s">
        <v>35</v>
      </c>
      <c r="L2355" t="s">
        <v>36</v>
      </c>
      <c r="M2355" t="s">
        <v>46</v>
      </c>
      <c r="N2355">
        <v>4</v>
      </c>
      <c r="O2355">
        <v>3</v>
      </c>
      <c r="P2355">
        <v>0</v>
      </c>
      <c r="Q2355">
        <v>4</v>
      </c>
      <c r="R2355">
        <v>0</v>
      </c>
      <c r="S2355" t="str">
        <f t="shared" si="180"/>
        <v>PX: Baja Crit.</v>
      </c>
      <c r="T2355">
        <f t="shared" si="181"/>
        <v>0</v>
      </c>
      <c r="U2355">
        <f t="shared" si="182"/>
        <v>0</v>
      </c>
      <c r="V2355">
        <f t="shared" si="183"/>
        <v>1</v>
      </c>
      <c r="W2355">
        <f t="shared" si="184"/>
        <v>0</v>
      </c>
      <c r="X2355">
        <v>1</v>
      </c>
      <c r="Y2355" s="2">
        <v>45768</v>
      </c>
      <c r="Z2355" s="3" t="s">
        <v>47</v>
      </c>
      <c r="AA2355" t="s">
        <v>39</v>
      </c>
      <c r="AB2355" t="s">
        <v>40</v>
      </c>
      <c r="AC2355" t="s">
        <v>40</v>
      </c>
      <c r="AD2355" t="s">
        <v>184</v>
      </c>
    </row>
    <row r="2356" spans="2:30">
      <c r="B2356">
        <v>0</v>
      </c>
      <c r="C2356">
        <v>1020</v>
      </c>
      <c r="D2356" t="s">
        <v>693</v>
      </c>
      <c r="E2356">
        <v>10291753</v>
      </c>
      <c r="F2356" t="s">
        <v>2443</v>
      </c>
      <c r="G2356" t="s">
        <v>52</v>
      </c>
      <c r="H2356" t="s">
        <v>32</v>
      </c>
      <c r="I2356" t="s">
        <v>695</v>
      </c>
      <c r="J2356" t="s">
        <v>45</v>
      </c>
      <c r="K2356" t="s">
        <v>35</v>
      </c>
      <c r="L2356" t="s">
        <v>175</v>
      </c>
      <c r="M2356" t="s">
        <v>46</v>
      </c>
      <c r="N2356">
        <v>0</v>
      </c>
      <c r="O2356">
        <v>0</v>
      </c>
      <c r="P2356">
        <v>0</v>
      </c>
      <c r="Q2356">
        <v>2</v>
      </c>
      <c r="R2356">
        <v>0</v>
      </c>
      <c r="S2356" t="str">
        <f t="shared" si="180"/>
        <v>PZ: Alta Crit.</v>
      </c>
      <c r="T2356">
        <f t="shared" si="181"/>
        <v>0</v>
      </c>
      <c r="U2356">
        <f t="shared" si="182"/>
        <v>0</v>
      </c>
      <c r="V2356">
        <f t="shared" si="183"/>
        <v>0</v>
      </c>
      <c r="W2356">
        <f t="shared" si="184"/>
        <v>1</v>
      </c>
      <c r="X2356">
        <v>1</v>
      </c>
      <c r="Y2356" s="2">
        <v>45768</v>
      </c>
      <c r="Z2356" s="3" t="s">
        <v>47</v>
      </c>
      <c r="AA2356" t="s">
        <v>39</v>
      </c>
      <c r="AB2356" t="s">
        <v>40</v>
      </c>
      <c r="AC2356" t="s">
        <v>40</v>
      </c>
      <c r="AD2356" t="s">
        <v>696</v>
      </c>
    </row>
    <row r="2357" spans="2:30">
      <c r="B2357">
        <v>0</v>
      </c>
      <c r="C2357">
        <v>1020</v>
      </c>
      <c r="D2357" t="s">
        <v>388</v>
      </c>
      <c r="E2357">
        <v>10291802</v>
      </c>
      <c r="F2357" t="s">
        <v>2444</v>
      </c>
      <c r="G2357" t="s">
        <v>52</v>
      </c>
      <c r="H2357" t="s">
        <v>32</v>
      </c>
      <c r="I2357" t="s">
        <v>1002</v>
      </c>
      <c r="J2357" t="s">
        <v>45</v>
      </c>
      <c r="K2357" t="s">
        <v>260</v>
      </c>
      <c r="L2357" t="s">
        <v>175</v>
      </c>
      <c r="M2357" t="s">
        <v>69</v>
      </c>
      <c r="N2357">
        <v>0</v>
      </c>
      <c r="O2357">
        <v>0</v>
      </c>
      <c r="P2357">
        <v>2</v>
      </c>
      <c r="Q2357">
        <v>2</v>
      </c>
      <c r="R2357">
        <v>0</v>
      </c>
      <c r="S2357" t="str">
        <f t="shared" si="180"/>
        <v>PZ: Alta Crit.</v>
      </c>
      <c r="T2357">
        <f t="shared" si="181"/>
        <v>0</v>
      </c>
      <c r="U2357">
        <f t="shared" si="182"/>
        <v>1</v>
      </c>
      <c r="V2357">
        <f t="shared" si="183"/>
        <v>0</v>
      </c>
      <c r="W2357">
        <f t="shared" si="184"/>
        <v>1</v>
      </c>
      <c r="X2357">
        <v>1</v>
      </c>
      <c r="Y2357" s="2">
        <v>45768</v>
      </c>
      <c r="Z2357" s="3" t="s">
        <v>70</v>
      </c>
      <c r="AA2357" t="s">
        <v>39</v>
      </c>
      <c r="AB2357" t="s">
        <v>40</v>
      </c>
      <c r="AC2357" t="s">
        <v>40</v>
      </c>
      <c r="AD2357" t="s">
        <v>391</v>
      </c>
    </row>
    <row r="2358" spans="2:30">
      <c r="B2358">
        <v>0</v>
      </c>
      <c r="C2358">
        <v>1020</v>
      </c>
      <c r="D2358" t="s">
        <v>388</v>
      </c>
      <c r="E2358">
        <v>10291816</v>
      </c>
      <c r="F2358" t="s">
        <v>2445</v>
      </c>
      <c r="G2358" t="s">
        <v>52</v>
      </c>
      <c r="H2358" t="s">
        <v>32</v>
      </c>
      <c r="I2358" t="s">
        <v>390</v>
      </c>
      <c r="J2358" t="s">
        <v>45</v>
      </c>
      <c r="K2358" t="s">
        <v>260</v>
      </c>
      <c r="L2358" t="s">
        <v>175</v>
      </c>
      <c r="M2358" t="s">
        <v>69</v>
      </c>
      <c r="N2358">
        <v>0</v>
      </c>
      <c r="O2358">
        <v>0</v>
      </c>
      <c r="P2358">
        <v>1</v>
      </c>
      <c r="Q2358">
        <v>1</v>
      </c>
      <c r="R2358">
        <v>0</v>
      </c>
      <c r="S2358" t="str">
        <f t="shared" si="180"/>
        <v>PZ: Alta Crit.</v>
      </c>
      <c r="T2358">
        <f t="shared" si="181"/>
        <v>0</v>
      </c>
      <c r="U2358">
        <f t="shared" si="182"/>
        <v>1</v>
      </c>
      <c r="V2358">
        <f t="shared" si="183"/>
        <v>0</v>
      </c>
      <c r="W2358">
        <f t="shared" si="184"/>
        <v>1</v>
      </c>
      <c r="X2358">
        <v>1</v>
      </c>
      <c r="Y2358" s="2">
        <v>45768</v>
      </c>
      <c r="Z2358" s="3" t="s">
        <v>70</v>
      </c>
      <c r="AA2358" t="s">
        <v>39</v>
      </c>
      <c r="AB2358" t="s">
        <v>40</v>
      </c>
      <c r="AC2358" t="s">
        <v>40</v>
      </c>
      <c r="AD2358" t="s">
        <v>391</v>
      </c>
    </row>
    <row r="2359" spans="2:30">
      <c r="B2359">
        <v>0</v>
      </c>
      <c r="C2359">
        <v>1020</v>
      </c>
      <c r="D2359" t="s">
        <v>388</v>
      </c>
      <c r="E2359">
        <v>10291817</v>
      </c>
      <c r="F2359" t="s">
        <v>2446</v>
      </c>
      <c r="G2359" t="s">
        <v>52</v>
      </c>
      <c r="H2359" t="s">
        <v>32</v>
      </c>
      <c r="I2359" t="s">
        <v>390</v>
      </c>
      <c r="J2359" t="s">
        <v>45</v>
      </c>
      <c r="K2359" t="s">
        <v>260</v>
      </c>
      <c r="L2359" t="s">
        <v>175</v>
      </c>
      <c r="M2359" t="s">
        <v>69</v>
      </c>
      <c r="N2359">
        <v>0</v>
      </c>
      <c r="O2359">
        <v>0</v>
      </c>
      <c r="P2359">
        <v>1</v>
      </c>
      <c r="Q2359">
        <v>1</v>
      </c>
      <c r="R2359">
        <v>0</v>
      </c>
      <c r="S2359" t="str">
        <f t="shared" si="180"/>
        <v>PZ: Alta Crit.</v>
      </c>
      <c r="T2359">
        <f t="shared" si="181"/>
        <v>0</v>
      </c>
      <c r="U2359">
        <f t="shared" si="182"/>
        <v>1</v>
      </c>
      <c r="V2359">
        <f t="shared" si="183"/>
        <v>0</v>
      </c>
      <c r="W2359">
        <f t="shared" si="184"/>
        <v>1</v>
      </c>
      <c r="X2359">
        <v>1</v>
      </c>
      <c r="Y2359" s="2">
        <v>45768</v>
      </c>
      <c r="Z2359" s="3" t="s">
        <v>70</v>
      </c>
      <c r="AA2359" t="s">
        <v>39</v>
      </c>
      <c r="AB2359" t="s">
        <v>40</v>
      </c>
      <c r="AC2359" t="s">
        <v>40</v>
      </c>
      <c r="AD2359" t="s">
        <v>391</v>
      </c>
    </row>
    <row r="2360" spans="2:30">
      <c r="B2360">
        <v>0</v>
      </c>
      <c r="C2360">
        <v>1020</v>
      </c>
      <c r="D2360" t="s">
        <v>693</v>
      </c>
      <c r="E2360">
        <v>10291820</v>
      </c>
      <c r="F2360" t="s">
        <v>2447</v>
      </c>
      <c r="G2360" t="s">
        <v>52</v>
      </c>
      <c r="H2360" t="s">
        <v>32</v>
      </c>
      <c r="I2360" t="s">
        <v>695</v>
      </c>
      <c r="J2360" t="s">
        <v>45</v>
      </c>
      <c r="K2360" t="s">
        <v>35</v>
      </c>
      <c r="L2360" t="s">
        <v>175</v>
      </c>
      <c r="M2360" t="s">
        <v>46</v>
      </c>
      <c r="N2360">
        <v>0</v>
      </c>
      <c r="O2360">
        <v>0</v>
      </c>
      <c r="P2360">
        <v>0</v>
      </c>
      <c r="Q2360">
        <v>2</v>
      </c>
      <c r="R2360">
        <v>0</v>
      </c>
      <c r="S2360" t="str">
        <f t="shared" si="180"/>
        <v>PZ: Alta Crit.</v>
      </c>
      <c r="T2360">
        <f t="shared" si="181"/>
        <v>0</v>
      </c>
      <c r="U2360">
        <f t="shared" si="182"/>
        <v>0</v>
      </c>
      <c r="V2360">
        <f t="shared" si="183"/>
        <v>0</v>
      </c>
      <c r="W2360">
        <f t="shared" si="184"/>
        <v>1</v>
      </c>
      <c r="X2360">
        <v>1</v>
      </c>
      <c r="Y2360" s="2">
        <v>45768</v>
      </c>
      <c r="Z2360" s="3" t="s">
        <v>47</v>
      </c>
      <c r="AA2360" t="s">
        <v>39</v>
      </c>
      <c r="AB2360" t="s">
        <v>40</v>
      </c>
      <c r="AC2360" t="s">
        <v>40</v>
      </c>
      <c r="AD2360" t="s">
        <v>696</v>
      </c>
    </row>
    <row r="2361" spans="2:30">
      <c r="B2361">
        <v>0</v>
      </c>
      <c r="C2361">
        <v>1020</v>
      </c>
      <c r="D2361" t="s">
        <v>693</v>
      </c>
      <c r="E2361">
        <v>10291867</v>
      </c>
      <c r="F2361" t="s">
        <v>2448</v>
      </c>
      <c r="G2361" t="s">
        <v>52</v>
      </c>
      <c r="H2361" t="s">
        <v>32</v>
      </c>
      <c r="I2361" t="s">
        <v>695</v>
      </c>
      <c r="J2361" t="s">
        <v>45</v>
      </c>
      <c r="K2361" t="s">
        <v>35</v>
      </c>
      <c r="L2361" t="s">
        <v>175</v>
      </c>
      <c r="M2361" t="s">
        <v>46</v>
      </c>
      <c r="N2361">
        <v>0</v>
      </c>
      <c r="O2361">
        <v>0</v>
      </c>
      <c r="P2361">
        <v>0</v>
      </c>
      <c r="Q2361">
        <v>1</v>
      </c>
      <c r="R2361">
        <v>0</v>
      </c>
      <c r="S2361" t="str">
        <f t="shared" si="180"/>
        <v>PZ: Alta Crit.</v>
      </c>
      <c r="T2361">
        <f t="shared" si="181"/>
        <v>0</v>
      </c>
      <c r="U2361">
        <f t="shared" si="182"/>
        <v>0</v>
      </c>
      <c r="V2361">
        <f t="shared" si="183"/>
        <v>0</v>
      </c>
      <c r="W2361">
        <f t="shared" si="184"/>
        <v>1</v>
      </c>
      <c r="X2361">
        <v>1</v>
      </c>
      <c r="Y2361" s="2">
        <v>45768</v>
      </c>
      <c r="Z2361" s="3" t="s">
        <v>47</v>
      </c>
      <c r="AA2361" t="s">
        <v>39</v>
      </c>
      <c r="AB2361" t="s">
        <v>40</v>
      </c>
      <c r="AC2361" t="s">
        <v>40</v>
      </c>
      <c r="AD2361" t="s">
        <v>696</v>
      </c>
    </row>
    <row r="2362" spans="2:30">
      <c r="B2362">
        <v>0</v>
      </c>
      <c r="C2362">
        <v>1020</v>
      </c>
      <c r="D2362" t="s">
        <v>388</v>
      </c>
      <c r="E2362">
        <v>10291879</v>
      </c>
      <c r="F2362" t="s">
        <v>2449</v>
      </c>
      <c r="G2362" t="s">
        <v>52</v>
      </c>
      <c r="H2362" t="s">
        <v>32</v>
      </c>
      <c r="I2362" t="s">
        <v>390</v>
      </c>
      <c r="J2362" t="s">
        <v>45</v>
      </c>
      <c r="K2362" t="s">
        <v>35</v>
      </c>
      <c r="L2362" t="s">
        <v>175</v>
      </c>
      <c r="M2362" t="s">
        <v>69</v>
      </c>
      <c r="N2362">
        <v>0</v>
      </c>
      <c r="O2362">
        <v>0</v>
      </c>
      <c r="P2362">
        <v>1</v>
      </c>
      <c r="Q2362">
        <v>1</v>
      </c>
      <c r="R2362">
        <v>0</v>
      </c>
      <c r="S2362" t="str">
        <f t="shared" si="180"/>
        <v>PZ: Alta Crit.</v>
      </c>
      <c r="T2362">
        <f t="shared" si="181"/>
        <v>0</v>
      </c>
      <c r="U2362">
        <f t="shared" si="182"/>
        <v>1</v>
      </c>
      <c r="V2362">
        <f t="shared" si="183"/>
        <v>0</v>
      </c>
      <c r="W2362">
        <f t="shared" si="184"/>
        <v>1</v>
      </c>
      <c r="X2362">
        <v>1</v>
      </c>
      <c r="Y2362" s="2">
        <v>45768</v>
      </c>
      <c r="Z2362" s="3" t="s">
        <v>70</v>
      </c>
      <c r="AA2362" t="s">
        <v>39</v>
      </c>
      <c r="AB2362" t="s">
        <v>40</v>
      </c>
      <c r="AC2362" t="s">
        <v>40</v>
      </c>
      <c r="AD2362" t="s">
        <v>391</v>
      </c>
    </row>
    <row r="2363" spans="2:30">
      <c r="B2363">
        <v>0</v>
      </c>
      <c r="C2363">
        <v>1020</v>
      </c>
      <c r="D2363" t="s">
        <v>384</v>
      </c>
      <c r="E2363">
        <v>10291899</v>
      </c>
      <c r="F2363" t="s">
        <v>2450</v>
      </c>
      <c r="G2363" t="s">
        <v>52</v>
      </c>
      <c r="H2363" t="s">
        <v>32</v>
      </c>
      <c r="I2363" t="s">
        <v>386</v>
      </c>
      <c r="J2363" t="s">
        <v>45</v>
      </c>
      <c r="K2363" t="s">
        <v>35</v>
      </c>
      <c r="L2363" t="s">
        <v>175</v>
      </c>
      <c r="M2363" t="s">
        <v>46</v>
      </c>
      <c r="N2363">
        <v>0</v>
      </c>
      <c r="O2363">
        <v>0</v>
      </c>
      <c r="P2363">
        <v>0</v>
      </c>
      <c r="Q2363">
        <v>4</v>
      </c>
      <c r="R2363">
        <v>0</v>
      </c>
      <c r="S2363" t="str">
        <f t="shared" si="180"/>
        <v>PZ: Alta Crit.</v>
      </c>
      <c r="T2363">
        <f t="shared" si="181"/>
        <v>0</v>
      </c>
      <c r="U2363">
        <f t="shared" si="182"/>
        <v>0</v>
      </c>
      <c r="V2363">
        <f t="shared" si="183"/>
        <v>0</v>
      </c>
      <c r="W2363">
        <f t="shared" si="184"/>
        <v>1</v>
      </c>
      <c r="X2363">
        <v>1</v>
      </c>
      <c r="Y2363" s="2">
        <v>45768</v>
      </c>
      <c r="Z2363" s="3" t="s">
        <v>47</v>
      </c>
      <c r="AA2363" t="s">
        <v>39</v>
      </c>
      <c r="AB2363" t="s">
        <v>40</v>
      </c>
      <c r="AC2363" t="s">
        <v>40</v>
      </c>
      <c r="AD2363" t="s">
        <v>387</v>
      </c>
    </row>
    <row r="2364" spans="2:30">
      <c r="B2364">
        <v>0</v>
      </c>
      <c r="C2364">
        <v>1020</v>
      </c>
      <c r="D2364" t="s">
        <v>693</v>
      </c>
      <c r="E2364">
        <v>10291931</v>
      </c>
      <c r="F2364" t="s">
        <v>2451</v>
      </c>
      <c r="G2364" t="s">
        <v>43</v>
      </c>
      <c r="H2364" t="s">
        <v>32</v>
      </c>
      <c r="I2364" t="s">
        <v>695</v>
      </c>
      <c r="J2364" t="s">
        <v>45</v>
      </c>
      <c r="K2364" t="s">
        <v>35</v>
      </c>
      <c r="L2364" t="s">
        <v>175</v>
      </c>
      <c r="M2364" t="s">
        <v>117</v>
      </c>
      <c r="N2364">
        <v>0</v>
      </c>
      <c r="O2364">
        <v>0</v>
      </c>
      <c r="P2364">
        <v>0</v>
      </c>
      <c r="Q2364">
        <v>0</v>
      </c>
      <c r="R2364">
        <v>0</v>
      </c>
      <c r="S2364" t="str">
        <f t="shared" si="180"/>
        <v>PY: Media Crit.</v>
      </c>
      <c r="T2364">
        <f t="shared" si="181"/>
        <v>1</v>
      </c>
      <c r="U2364">
        <f t="shared" si="182"/>
        <v>0</v>
      </c>
      <c r="V2364">
        <f t="shared" si="183"/>
        <v>0</v>
      </c>
      <c r="W2364">
        <f t="shared" si="184"/>
        <v>0</v>
      </c>
      <c r="X2364">
        <v>1</v>
      </c>
      <c r="Y2364" s="2">
        <v>45768</v>
      </c>
      <c r="Z2364" s="3" t="s">
        <v>118</v>
      </c>
      <c r="AA2364" t="s">
        <v>39</v>
      </c>
      <c r="AB2364" t="s">
        <v>40</v>
      </c>
      <c r="AC2364" t="s">
        <v>40</v>
      </c>
      <c r="AD2364" t="s">
        <v>696</v>
      </c>
    </row>
    <row r="2365" spans="2:30">
      <c r="B2365">
        <v>0</v>
      </c>
      <c r="C2365">
        <v>1020</v>
      </c>
      <c r="D2365" t="s">
        <v>693</v>
      </c>
      <c r="E2365">
        <v>10291932</v>
      </c>
      <c r="F2365" t="s">
        <v>2452</v>
      </c>
      <c r="G2365" t="s">
        <v>43</v>
      </c>
      <c r="H2365" t="s">
        <v>32</v>
      </c>
      <c r="I2365" t="s">
        <v>695</v>
      </c>
      <c r="J2365" t="s">
        <v>45</v>
      </c>
      <c r="K2365" t="s">
        <v>35</v>
      </c>
      <c r="L2365" t="s">
        <v>175</v>
      </c>
      <c r="M2365" t="s">
        <v>117</v>
      </c>
      <c r="N2365">
        <v>0</v>
      </c>
      <c r="O2365">
        <v>0</v>
      </c>
      <c r="P2365">
        <v>0</v>
      </c>
      <c r="Q2365">
        <v>0</v>
      </c>
      <c r="R2365">
        <v>0</v>
      </c>
      <c r="S2365" t="str">
        <f t="shared" si="180"/>
        <v>PY: Media Crit.</v>
      </c>
      <c r="T2365">
        <f t="shared" si="181"/>
        <v>1</v>
      </c>
      <c r="U2365">
        <f t="shared" si="182"/>
        <v>0</v>
      </c>
      <c r="V2365">
        <f t="shared" si="183"/>
        <v>0</v>
      </c>
      <c r="W2365">
        <f t="shared" si="184"/>
        <v>0</v>
      </c>
      <c r="X2365">
        <v>1</v>
      </c>
      <c r="Y2365" s="2">
        <v>45768</v>
      </c>
      <c r="Z2365" s="3" t="s">
        <v>118</v>
      </c>
      <c r="AA2365" t="s">
        <v>39</v>
      </c>
      <c r="AB2365" t="s">
        <v>40</v>
      </c>
      <c r="AC2365" t="s">
        <v>40</v>
      </c>
      <c r="AD2365" t="s">
        <v>696</v>
      </c>
    </row>
    <row r="2366" spans="2:30">
      <c r="B2366">
        <v>0</v>
      </c>
      <c r="C2366">
        <v>1020</v>
      </c>
      <c r="D2366" t="s">
        <v>693</v>
      </c>
      <c r="E2366">
        <v>10291953</v>
      </c>
      <c r="F2366" t="s">
        <v>2453</v>
      </c>
      <c r="G2366" t="s">
        <v>43</v>
      </c>
      <c r="H2366" t="s">
        <v>32</v>
      </c>
      <c r="I2366" t="s">
        <v>695</v>
      </c>
      <c r="J2366" t="s">
        <v>45</v>
      </c>
      <c r="K2366" t="s">
        <v>35</v>
      </c>
      <c r="L2366" t="s">
        <v>175</v>
      </c>
      <c r="M2366" t="s">
        <v>117</v>
      </c>
      <c r="N2366">
        <v>0</v>
      </c>
      <c r="O2366">
        <v>0</v>
      </c>
      <c r="P2366">
        <v>0</v>
      </c>
      <c r="Q2366">
        <v>10</v>
      </c>
      <c r="R2366">
        <v>0</v>
      </c>
      <c r="S2366" t="str">
        <f t="shared" si="180"/>
        <v>PY: Media Crit.</v>
      </c>
      <c r="T2366">
        <f t="shared" si="181"/>
        <v>0</v>
      </c>
      <c r="U2366">
        <f t="shared" si="182"/>
        <v>0</v>
      </c>
      <c r="V2366">
        <f t="shared" si="183"/>
        <v>0</v>
      </c>
      <c r="W2366">
        <f t="shared" si="184"/>
        <v>1</v>
      </c>
      <c r="X2366">
        <v>1</v>
      </c>
      <c r="Y2366" s="2">
        <v>45768</v>
      </c>
      <c r="Z2366" s="3" t="s">
        <v>118</v>
      </c>
      <c r="AA2366" t="s">
        <v>39</v>
      </c>
      <c r="AB2366" t="s">
        <v>40</v>
      </c>
      <c r="AC2366" t="s">
        <v>40</v>
      </c>
      <c r="AD2366" t="s">
        <v>696</v>
      </c>
    </row>
    <row r="2367" spans="2:30">
      <c r="B2367">
        <v>0</v>
      </c>
      <c r="C2367">
        <v>1020</v>
      </c>
      <c r="D2367" t="s">
        <v>384</v>
      </c>
      <c r="E2367">
        <v>10291957</v>
      </c>
      <c r="F2367" t="s">
        <v>2454</v>
      </c>
      <c r="G2367" t="s">
        <v>52</v>
      </c>
      <c r="H2367" t="s">
        <v>32</v>
      </c>
      <c r="I2367" t="s">
        <v>386</v>
      </c>
      <c r="J2367" t="s">
        <v>45</v>
      </c>
      <c r="K2367" t="s">
        <v>35</v>
      </c>
      <c r="L2367" t="s">
        <v>175</v>
      </c>
      <c r="M2367" t="s">
        <v>117</v>
      </c>
      <c r="N2367">
        <v>0</v>
      </c>
      <c r="O2367">
        <v>0</v>
      </c>
      <c r="P2367">
        <v>0</v>
      </c>
      <c r="Q2367">
        <v>3</v>
      </c>
      <c r="R2367">
        <v>0</v>
      </c>
      <c r="S2367" t="str">
        <f t="shared" si="180"/>
        <v>PZ: Alta Crit.</v>
      </c>
      <c r="T2367">
        <f t="shared" si="181"/>
        <v>0</v>
      </c>
      <c r="U2367">
        <f t="shared" si="182"/>
        <v>0</v>
      </c>
      <c r="V2367">
        <f t="shared" si="183"/>
        <v>0</v>
      </c>
      <c r="W2367">
        <f t="shared" si="184"/>
        <v>1</v>
      </c>
      <c r="X2367">
        <v>1</v>
      </c>
      <c r="Y2367" s="2">
        <v>45768</v>
      </c>
      <c r="Z2367" s="3" t="s">
        <v>118</v>
      </c>
      <c r="AA2367" t="s">
        <v>39</v>
      </c>
      <c r="AB2367" t="s">
        <v>40</v>
      </c>
      <c r="AC2367" t="s">
        <v>40</v>
      </c>
      <c r="AD2367" t="s">
        <v>387</v>
      </c>
    </row>
    <row r="2368" spans="2:30">
      <c r="B2368">
        <v>0</v>
      </c>
      <c r="C2368">
        <v>1020</v>
      </c>
      <c r="D2368" t="s">
        <v>693</v>
      </c>
      <c r="E2368">
        <v>10291974</v>
      </c>
      <c r="F2368" t="s">
        <v>2455</v>
      </c>
      <c r="G2368" t="s">
        <v>52</v>
      </c>
      <c r="H2368" t="s">
        <v>32</v>
      </c>
      <c r="I2368" t="s">
        <v>695</v>
      </c>
      <c r="J2368" t="s">
        <v>45</v>
      </c>
      <c r="K2368" t="s">
        <v>35</v>
      </c>
      <c r="L2368" t="s">
        <v>175</v>
      </c>
      <c r="M2368" t="s">
        <v>117</v>
      </c>
      <c r="N2368">
        <v>0</v>
      </c>
      <c r="O2368">
        <v>0</v>
      </c>
      <c r="P2368">
        <v>0</v>
      </c>
      <c r="Q2368">
        <v>1</v>
      </c>
      <c r="R2368">
        <v>0</v>
      </c>
      <c r="S2368" t="str">
        <f t="shared" si="180"/>
        <v>PZ: Alta Crit.</v>
      </c>
      <c r="T2368">
        <f t="shared" si="181"/>
        <v>0</v>
      </c>
      <c r="U2368">
        <f t="shared" si="182"/>
        <v>0</v>
      </c>
      <c r="V2368">
        <f t="shared" si="183"/>
        <v>0</v>
      </c>
      <c r="W2368">
        <f t="shared" si="184"/>
        <v>1</v>
      </c>
      <c r="X2368">
        <v>1</v>
      </c>
      <c r="Y2368" s="2">
        <v>45768</v>
      </c>
      <c r="Z2368" s="3" t="s">
        <v>118</v>
      </c>
      <c r="AA2368" t="s">
        <v>39</v>
      </c>
      <c r="AB2368" t="s">
        <v>40</v>
      </c>
      <c r="AC2368" t="s">
        <v>40</v>
      </c>
      <c r="AD2368" t="s">
        <v>696</v>
      </c>
    </row>
    <row r="2369" spans="2:30">
      <c r="B2369">
        <v>0</v>
      </c>
      <c r="C2369">
        <v>1020</v>
      </c>
      <c r="D2369" t="s">
        <v>181</v>
      </c>
      <c r="E2369">
        <v>10292078</v>
      </c>
      <c r="F2369" t="s">
        <v>2456</v>
      </c>
      <c r="G2369" t="s">
        <v>43</v>
      </c>
      <c r="H2369" t="s">
        <v>32</v>
      </c>
      <c r="I2369" t="s">
        <v>183</v>
      </c>
      <c r="J2369" t="s">
        <v>45</v>
      </c>
      <c r="K2369" t="s">
        <v>35</v>
      </c>
      <c r="L2369" t="s">
        <v>36</v>
      </c>
      <c r="M2369" t="s">
        <v>88</v>
      </c>
      <c r="N2369">
        <v>2</v>
      </c>
      <c r="O2369">
        <v>2</v>
      </c>
      <c r="P2369">
        <v>0</v>
      </c>
      <c r="Q2369">
        <v>2</v>
      </c>
      <c r="R2369">
        <v>0</v>
      </c>
      <c r="S2369" t="str">
        <f t="shared" si="180"/>
        <v>PY: Media Crit.</v>
      </c>
      <c r="T2369">
        <f t="shared" si="181"/>
        <v>0</v>
      </c>
      <c r="U2369">
        <f t="shared" si="182"/>
        <v>0</v>
      </c>
      <c r="V2369">
        <f t="shared" si="183"/>
        <v>1</v>
      </c>
      <c r="W2369">
        <f t="shared" si="184"/>
        <v>0</v>
      </c>
      <c r="X2369">
        <v>1</v>
      </c>
      <c r="Y2369" s="2">
        <v>45768</v>
      </c>
      <c r="Z2369" s="3" t="s">
        <v>89</v>
      </c>
      <c r="AA2369" t="s">
        <v>39</v>
      </c>
      <c r="AB2369" t="s">
        <v>40</v>
      </c>
      <c r="AC2369" t="s">
        <v>40</v>
      </c>
      <c r="AD2369" t="s">
        <v>184</v>
      </c>
    </row>
    <row r="2370" spans="2:30">
      <c r="B2370">
        <v>0</v>
      </c>
      <c r="C2370">
        <v>1020</v>
      </c>
      <c r="D2370" t="s">
        <v>693</v>
      </c>
      <c r="E2370">
        <v>10292083</v>
      </c>
      <c r="F2370" t="s">
        <v>2457</v>
      </c>
      <c r="G2370" t="s">
        <v>43</v>
      </c>
      <c r="H2370" t="s">
        <v>32</v>
      </c>
      <c r="I2370" t="s">
        <v>695</v>
      </c>
      <c r="J2370" t="s">
        <v>45</v>
      </c>
      <c r="K2370" t="s">
        <v>35</v>
      </c>
      <c r="L2370" t="s">
        <v>175</v>
      </c>
      <c r="M2370" t="s">
        <v>117</v>
      </c>
      <c r="N2370">
        <v>0</v>
      </c>
      <c r="O2370">
        <v>0</v>
      </c>
      <c r="P2370">
        <v>0</v>
      </c>
      <c r="Q2370">
        <v>1</v>
      </c>
      <c r="R2370">
        <v>0</v>
      </c>
      <c r="S2370" t="str">
        <f t="shared" ref="S2370:S2433" si="185">+IF(G2370="PZ", "PZ: Alta Crit.",IF(G2370="PY","PY: Media Crit.", "PX: Baja Crit."))</f>
        <v>PY: Media Crit.</v>
      </c>
      <c r="T2370">
        <f t="shared" ref="T2370:T2433" si="186">+IF(Q2370=0,1,0)</f>
        <v>0</v>
      </c>
      <c r="U2370">
        <f t="shared" ref="U2370:U2433" si="187">+IF(AND(Q2370&lt;=P2370,Q2370&gt;0),1,0)</f>
        <v>0</v>
      </c>
      <c r="V2370">
        <f t="shared" ref="V2370:V2433" si="188">+IF(AND(Q2370&gt;P2370,Q2370&lt;=N2370),1,0)</f>
        <v>0</v>
      </c>
      <c r="W2370">
        <f t="shared" ref="W2370:W2433" si="189">+IF(Q2370&gt;N2370,1,0)</f>
        <v>1</v>
      </c>
      <c r="X2370">
        <v>1</v>
      </c>
      <c r="Y2370" s="2">
        <v>45768</v>
      </c>
      <c r="Z2370" s="3" t="s">
        <v>118</v>
      </c>
      <c r="AA2370" t="s">
        <v>39</v>
      </c>
      <c r="AB2370" t="s">
        <v>40</v>
      </c>
      <c r="AC2370" t="s">
        <v>40</v>
      </c>
      <c r="AD2370" t="s">
        <v>696</v>
      </c>
    </row>
    <row r="2371" spans="2:30">
      <c r="B2371">
        <v>0</v>
      </c>
      <c r="C2371">
        <v>1020</v>
      </c>
      <c r="D2371" t="s">
        <v>693</v>
      </c>
      <c r="E2371">
        <v>10292089</v>
      </c>
      <c r="F2371" t="s">
        <v>2458</v>
      </c>
      <c r="G2371" t="s">
        <v>52</v>
      </c>
      <c r="H2371" t="s">
        <v>32</v>
      </c>
      <c r="I2371" t="s">
        <v>695</v>
      </c>
      <c r="J2371" t="s">
        <v>45</v>
      </c>
      <c r="K2371" t="s">
        <v>35</v>
      </c>
      <c r="L2371" t="s">
        <v>175</v>
      </c>
      <c r="M2371" t="s">
        <v>117</v>
      </c>
      <c r="N2371">
        <v>4</v>
      </c>
      <c r="O2371">
        <v>1</v>
      </c>
      <c r="P2371">
        <v>1</v>
      </c>
      <c r="Q2371">
        <v>4</v>
      </c>
      <c r="R2371">
        <v>0</v>
      </c>
      <c r="S2371" t="str">
        <f t="shared" si="185"/>
        <v>PZ: Alta Crit.</v>
      </c>
      <c r="T2371">
        <f t="shared" si="186"/>
        <v>0</v>
      </c>
      <c r="U2371">
        <f t="shared" si="187"/>
        <v>0</v>
      </c>
      <c r="V2371">
        <f t="shared" si="188"/>
        <v>1</v>
      </c>
      <c r="W2371">
        <f t="shared" si="189"/>
        <v>0</v>
      </c>
      <c r="X2371">
        <v>1</v>
      </c>
      <c r="Y2371" s="2">
        <v>45768</v>
      </c>
      <c r="Z2371" s="3" t="s">
        <v>118</v>
      </c>
      <c r="AA2371" t="s">
        <v>39</v>
      </c>
      <c r="AB2371" t="s">
        <v>40</v>
      </c>
      <c r="AC2371" t="s">
        <v>40</v>
      </c>
      <c r="AD2371" t="s">
        <v>696</v>
      </c>
    </row>
    <row r="2372" spans="2:30">
      <c r="B2372">
        <v>0</v>
      </c>
      <c r="C2372">
        <v>1020</v>
      </c>
      <c r="D2372" t="s">
        <v>388</v>
      </c>
      <c r="E2372">
        <v>10292126</v>
      </c>
      <c r="F2372" t="s">
        <v>2459</v>
      </c>
      <c r="G2372" t="s">
        <v>43</v>
      </c>
      <c r="H2372" t="s">
        <v>44</v>
      </c>
      <c r="I2372" t="s">
        <v>33</v>
      </c>
      <c r="J2372" t="s">
        <v>45</v>
      </c>
      <c r="K2372" t="s">
        <v>35</v>
      </c>
      <c r="L2372" t="s">
        <v>175</v>
      </c>
      <c r="M2372" t="s">
        <v>117</v>
      </c>
      <c r="N2372">
        <v>0</v>
      </c>
      <c r="O2372">
        <v>0</v>
      </c>
      <c r="P2372">
        <v>1</v>
      </c>
      <c r="Q2372">
        <v>0</v>
      </c>
      <c r="R2372">
        <v>0</v>
      </c>
      <c r="S2372" t="str">
        <f t="shared" si="185"/>
        <v>PY: Media Crit.</v>
      </c>
      <c r="T2372">
        <f t="shared" si="186"/>
        <v>1</v>
      </c>
      <c r="U2372">
        <f t="shared" si="187"/>
        <v>0</v>
      </c>
      <c r="V2372">
        <f t="shared" si="188"/>
        <v>0</v>
      </c>
      <c r="W2372">
        <f t="shared" si="189"/>
        <v>0</v>
      </c>
      <c r="X2372">
        <v>1</v>
      </c>
      <c r="Y2372" s="2">
        <v>45768</v>
      </c>
      <c r="Z2372" s="3" t="s">
        <v>118</v>
      </c>
      <c r="AA2372" t="s">
        <v>39</v>
      </c>
      <c r="AB2372" t="s">
        <v>49</v>
      </c>
      <c r="AC2372" s="5" t="s">
        <v>50</v>
      </c>
      <c r="AD2372" t="s">
        <v>391</v>
      </c>
    </row>
    <row r="2373" spans="2:30">
      <c r="B2373">
        <v>0</v>
      </c>
      <c r="C2373">
        <v>1020</v>
      </c>
      <c r="D2373" t="s">
        <v>388</v>
      </c>
      <c r="E2373">
        <v>10292136</v>
      </c>
      <c r="F2373" t="s">
        <v>2460</v>
      </c>
      <c r="G2373" t="s">
        <v>43</v>
      </c>
      <c r="H2373" t="s">
        <v>32</v>
      </c>
      <c r="I2373" t="s">
        <v>390</v>
      </c>
      <c r="J2373" t="s">
        <v>45</v>
      </c>
      <c r="K2373" t="s">
        <v>35</v>
      </c>
      <c r="L2373" t="s">
        <v>175</v>
      </c>
      <c r="M2373" t="s">
        <v>46</v>
      </c>
      <c r="N2373">
        <v>0</v>
      </c>
      <c r="O2373">
        <v>0</v>
      </c>
      <c r="P2373">
        <v>1</v>
      </c>
      <c r="Q2373">
        <v>1</v>
      </c>
      <c r="R2373">
        <v>0</v>
      </c>
      <c r="S2373" t="str">
        <f t="shared" si="185"/>
        <v>PY: Media Crit.</v>
      </c>
      <c r="T2373">
        <f t="shared" si="186"/>
        <v>0</v>
      </c>
      <c r="U2373">
        <f t="shared" si="187"/>
        <v>1</v>
      </c>
      <c r="V2373">
        <f t="shared" si="188"/>
        <v>0</v>
      </c>
      <c r="W2373">
        <f t="shared" si="189"/>
        <v>1</v>
      </c>
      <c r="X2373">
        <v>1</v>
      </c>
      <c r="Y2373" s="2">
        <v>45768</v>
      </c>
      <c r="Z2373" s="3" t="s">
        <v>47</v>
      </c>
      <c r="AA2373" t="s">
        <v>39</v>
      </c>
      <c r="AB2373" t="s">
        <v>40</v>
      </c>
      <c r="AC2373" t="s">
        <v>40</v>
      </c>
      <c r="AD2373" t="s">
        <v>391</v>
      </c>
    </row>
    <row r="2374" spans="2:30">
      <c r="B2374">
        <v>0</v>
      </c>
      <c r="C2374">
        <v>1020</v>
      </c>
      <c r="D2374" t="s">
        <v>181</v>
      </c>
      <c r="E2374">
        <v>10292185</v>
      </c>
      <c r="F2374" t="s">
        <v>2461</v>
      </c>
      <c r="G2374" t="s">
        <v>43</v>
      </c>
      <c r="H2374" t="s">
        <v>44</v>
      </c>
      <c r="I2374" t="s">
        <v>183</v>
      </c>
      <c r="J2374" t="s">
        <v>45</v>
      </c>
      <c r="K2374" t="s">
        <v>35</v>
      </c>
      <c r="L2374" t="s">
        <v>36</v>
      </c>
      <c r="M2374" t="s">
        <v>46</v>
      </c>
      <c r="N2374">
        <v>7</v>
      </c>
      <c r="O2374">
        <v>5</v>
      </c>
      <c r="P2374">
        <v>1</v>
      </c>
      <c r="Q2374">
        <v>13</v>
      </c>
      <c r="R2374">
        <v>0</v>
      </c>
      <c r="S2374" t="str">
        <f t="shared" si="185"/>
        <v>PY: Media Crit.</v>
      </c>
      <c r="T2374">
        <f t="shared" si="186"/>
        <v>0</v>
      </c>
      <c r="U2374">
        <f t="shared" si="187"/>
        <v>0</v>
      </c>
      <c r="V2374">
        <f t="shared" si="188"/>
        <v>0</v>
      </c>
      <c r="W2374">
        <f t="shared" si="189"/>
        <v>1</v>
      </c>
      <c r="X2374">
        <v>1</v>
      </c>
      <c r="Y2374" s="2">
        <v>45768</v>
      </c>
      <c r="Z2374" s="3" t="s">
        <v>47</v>
      </c>
      <c r="AA2374" t="s">
        <v>39</v>
      </c>
      <c r="AB2374" t="s">
        <v>40</v>
      </c>
      <c r="AC2374" t="s">
        <v>40</v>
      </c>
      <c r="AD2374" t="s">
        <v>184</v>
      </c>
    </row>
    <row r="2375" spans="2:30">
      <c r="B2375">
        <v>0</v>
      </c>
      <c r="C2375">
        <v>1020</v>
      </c>
      <c r="D2375" t="s">
        <v>388</v>
      </c>
      <c r="E2375">
        <v>10292189</v>
      </c>
      <c r="F2375" t="s">
        <v>2462</v>
      </c>
      <c r="G2375" t="s">
        <v>52</v>
      </c>
      <c r="H2375" t="s">
        <v>32</v>
      </c>
      <c r="I2375" t="s">
        <v>390</v>
      </c>
      <c r="J2375" t="s">
        <v>45</v>
      </c>
      <c r="K2375" t="s">
        <v>35</v>
      </c>
      <c r="L2375" t="s">
        <v>175</v>
      </c>
      <c r="M2375" t="s">
        <v>46</v>
      </c>
      <c r="N2375">
        <v>0</v>
      </c>
      <c r="O2375">
        <v>0</v>
      </c>
      <c r="P2375">
        <v>1</v>
      </c>
      <c r="Q2375">
        <v>1</v>
      </c>
      <c r="R2375">
        <v>0</v>
      </c>
      <c r="S2375" t="str">
        <f t="shared" si="185"/>
        <v>PZ: Alta Crit.</v>
      </c>
      <c r="T2375">
        <f t="shared" si="186"/>
        <v>0</v>
      </c>
      <c r="U2375">
        <f t="shared" si="187"/>
        <v>1</v>
      </c>
      <c r="V2375">
        <f t="shared" si="188"/>
        <v>0</v>
      </c>
      <c r="W2375">
        <f t="shared" si="189"/>
        <v>1</v>
      </c>
      <c r="X2375">
        <v>1</v>
      </c>
      <c r="Y2375" s="2">
        <v>45768</v>
      </c>
      <c r="Z2375" s="3" t="s">
        <v>47</v>
      </c>
      <c r="AA2375" t="s">
        <v>39</v>
      </c>
      <c r="AB2375" t="s">
        <v>40</v>
      </c>
      <c r="AC2375" t="s">
        <v>40</v>
      </c>
      <c r="AD2375" t="s">
        <v>391</v>
      </c>
    </row>
    <row r="2376" spans="2:30">
      <c r="B2376">
        <v>0</v>
      </c>
      <c r="C2376">
        <v>1020</v>
      </c>
      <c r="D2376" t="s">
        <v>388</v>
      </c>
      <c r="E2376">
        <v>10292201</v>
      </c>
      <c r="F2376" t="s">
        <v>2463</v>
      </c>
      <c r="G2376" t="s">
        <v>52</v>
      </c>
      <c r="H2376" t="s">
        <v>32</v>
      </c>
      <c r="I2376" t="s">
        <v>390</v>
      </c>
      <c r="J2376" t="s">
        <v>45</v>
      </c>
      <c r="K2376" t="s">
        <v>35</v>
      </c>
      <c r="L2376" t="s">
        <v>175</v>
      </c>
      <c r="M2376" t="s">
        <v>117</v>
      </c>
      <c r="N2376">
        <v>0</v>
      </c>
      <c r="O2376">
        <v>0</v>
      </c>
      <c r="P2376">
        <v>1</v>
      </c>
      <c r="Q2376">
        <v>1</v>
      </c>
      <c r="R2376">
        <v>0</v>
      </c>
      <c r="S2376" t="str">
        <f t="shared" si="185"/>
        <v>PZ: Alta Crit.</v>
      </c>
      <c r="T2376">
        <f t="shared" si="186"/>
        <v>0</v>
      </c>
      <c r="U2376">
        <f t="shared" si="187"/>
        <v>1</v>
      </c>
      <c r="V2376">
        <f t="shared" si="188"/>
        <v>0</v>
      </c>
      <c r="W2376">
        <f t="shared" si="189"/>
        <v>1</v>
      </c>
      <c r="X2376">
        <v>1</v>
      </c>
      <c r="Y2376" s="2">
        <v>45768</v>
      </c>
      <c r="Z2376" s="3" t="s">
        <v>118</v>
      </c>
      <c r="AA2376" t="s">
        <v>39</v>
      </c>
      <c r="AB2376" t="s">
        <v>40</v>
      </c>
      <c r="AC2376" t="s">
        <v>40</v>
      </c>
      <c r="AD2376" t="s">
        <v>391</v>
      </c>
    </row>
    <row r="2377" spans="2:30">
      <c r="B2377">
        <v>0</v>
      </c>
      <c r="C2377">
        <v>1020</v>
      </c>
      <c r="D2377" t="s">
        <v>384</v>
      </c>
      <c r="E2377">
        <v>10292343</v>
      </c>
      <c r="F2377" t="s">
        <v>2464</v>
      </c>
      <c r="G2377" t="s">
        <v>52</v>
      </c>
      <c r="H2377" t="s">
        <v>32</v>
      </c>
      <c r="I2377" t="s">
        <v>386</v>
      </c>
      <c r="J2377" t="s">
        <v>45</v>
      </c>
      <c r="K2377" t="s">
        <v>35</v>
      </c>
      <c r="L2377" t="s">
        <v>175</v>
      </c>
      <c r="M2377" t="s">
        <v>69</v>
      </c>
      <c r="N2377">
        <v>0</v>
      </c>
      <c r="O2377">
        <v>0</v>
      </c>
      <c r="P2377">
        <v>0</v>
      </c>
      <c r="Q2377">
        <v>2</v>
      </c>
      <c r="R2377">
        <v>0</v>
      </c>
      <c r="S2377" t="str">
        <f t="shared" si="185"/>
        <v>PZ: Alta Crit.</v>
      </c>
      <c r="T2377">
        <f t="shared" si="186"/>
        <v>0</v>
      </c>
      <c r="U2377">
        <f t="shared" si="187"/>
        <v>0</v>
      </c>
      <c r="V2377">
        <f t="shared" si="188"/>
        <v>0</v>
      </c>
      <c r="W2377">
        <f t="shared" si="189"/>
        <v>1</v>
      </c>
      <c r="X2377">
        <v>1</v>
      </c>
      <c r="Y2377" s="2">
        <v>45768</v>
      </c>
      <c r="Z2377" s="3" t="s">
        <v>70</v>
      </c>
      <c r="AA2377" t="s">
        <v>39</v>
      </c>
      <c r="AB2377" t="s">
        <v>40</v>
      </c>
      <c r="AC2377" t="s">
        <v>40</v>
      </c>
      <c r="AD2377" t="s">
        <v>387</v>
      </c>
    </row>
    <row r="2378" spans="2:30">
      <c r="B2378">
        <v>0</v>
      </c>
      <c r="C2378">
        <v>1020</v>
      </c>
      <c r="D2378" t="s">
        <v>693</v>
      </c>
      <c r="E2378">
        <v>10292350</v>
      </c>
      <c r="F2378" t="s">
        <v>2465</v>
      </c>
      <c r="G2378" t="s">
        <v>52</v>
      </c>
      <c r="H2378" t="s">
        <v>32</v>
      </c>
      <c r="I2378" t="s">
        <v>695</v>
      </c>
      <c r="J2378" t="s">
        <v>45</v>
      </c>
      <c r="K2378" t="s">
        <v>35</v>
      </c>
      <c r="L2378" t="s">
        <v>175</v>
      </c>
      <c r="M2378" t="s">
        <v>117</v>
      </c>
      <c r="N2378">
        <v>0</v>
      </c>
      <c r="O2378">
        <v>0</v>
      </c>
      <c r="P2378">
        <v>0</v>
      </c>
      <c r="Q2378">
        <v>3</v>
      </c>
      <c r="R2378">
        <v>0</v>
      </c>
      <c r="S2378" t="str">
        <f t="shared" si="185"/>
        <v>PZ: Alta Crit.</v>
      </c>
      <c r="T2378">
        <f t="shared" si="186"/>
        <v>0</v>
      </c>
      <c r="U2378">
        <f t="shared" si="187"/>
        <v>0</v>
      </c>
      <c r="V2378">
        <f t="shared" si="188"/>
        <v>0</v>
      </c>
      <c r="W2378">
        <f t="shared" si="189"/>
        <v>1</v>
      </c>
      <c r="X2378">
        <v>1</v>
      </c>
      <c r="Y2378" s="2">
        <v>45768</v>
      </c>
      <c r="Z2378" s="3" t="s">
        <v>118</v>
      </c>
      <c r="AA2378" t="s">
        <v>39</v>
      </c>
      <c r="AB2378" t="s">
        <v>40</v>
      </c>
      <c r="AC2378" t="s">
        <v>40</v>
      </c>
      <c r="AD2378" t="s">
        <v>696</v>
      </c>
    </row>
    <row r="2379" spans="2:30">
      <c r="B2379">
        <v>0</v>
      </c>
      <c r="C2379">
        <v>1020</v>
      </c>
      <c r="D2379" t="s">
        <v>693</v>
      </c>
      <c r="E2379">
        <v>10292353</v>
      </c>
      <c r="F2379" t="s">
        <v>2466</v>
      </c>
      <c r="G2379" t="s">
        <v>43</v>
      </c>
      <c r="H2379" t="s">
        <v>32</v>
      </c>
      <c r="I2379" t="s">
        <v>695</v>
      </c>
      <c r="J2379" t="s">
        <v>45</v>
      </c>
      <c r="K2379" t="s">
        <v>35</v>
      </c>
      <c r="L2379" t="s">
        <v>175</v>
      </c>
      <c r="M2379" t="s">
        <v>117</v>
      </c>
      <c r="N2379">
        <v>0</v>
      </c>
      <c r="O2379">
        <v>0</v>
      </c>
      <c r="P2379">
        <v>0</v>
      </c>
      <c r="Q2379">
        <v>4</v>
      </c>
      <c r="R2379">
        <v>0</v>
      </c>
      <c r="S2379" t="str">
        <f t="shared" si="185"/>
        <v>PY: Media Crit.</v>
      </c>
      <c r="T2379">
        <f t="shared" si="186"/>
        <v>0</v>
      </c>
      <c r="U2379">
        <f t="shared" si="187"/>
        <v>0</v>
      </c>
      <c r="V2379">
        <f t="shared" si="188"/>
        <v>0</v>
      </c>
      <c r="W2379">
        <f t="shared" si="189"/>
        <v>1</v>
      </c>
      <c r="X2379">
        <v>1</v>
      </c>
      <c r="Y2379" s="2">
        <v>45768</v>
      </c>
      <c r="Z2379" s="3" t="s">
        <v>118</v>
      </c>
      <c r="AA2379" t="s">
        <v>39</v>
      </c>
      <c r="AB2379" t="s">
        <v>40</v>
      </c>
      <c r="AC2379" t="s">
        <v>40</v>
      </c>
      <c r="AD2379" t="s">
        <v>696</v>
      </c>
    </row>
    <row r="2380" spans="2:30">
      <c r="B2380">
        <v>0</v>
      </c>
      <c r="C2380">
        <v>1020</v>
      </c>
      <c r="D2380" t="s">
        <v>693</v>
      </c>
      <c r="E2380">
        <v>10292386</v>
      </c>
      <c r="F2380" t="s">
        <v>2467</v>
      </c>
      <c r="G2380" t="s">
        <v>52</v>
      </c>
      <c r="H2380" t="s">
        <v>32</v>
      </c>
      <c r="I2380" t="s">
        <v>695</v>
      </c>
      <c r="J2380" t="s">
        <v>45</v>
      </c>
      <c r="K2380" t="s">
        <v>35</v>
      </c>
      <c r="L2380" t="s">
        <v>175</v>
      </c>
      <c r="M2380" t="s">
        <v>69</v>
      </c>
      <c r="N2380">
        <v>0</v>
      </c>
      <c r="O2380">
        <v>0</v>
      </c>
      <c r="P2380">
        <v>0</v>
      </c>
      <c r="Q2380">
        <v>2</v>
      </c>
      <c r="R2380">
        <v>0</v>
      </c>
      <c r="S2380" t="str">
        <f t="shared" si="185"/>
        <v>PZ: Alta Crit.</v>
      </c>
      <c r="T2380">
        <f t="shared" si="186"/>
        <v>0</v>
      </c>
      <c r="U2380">
        <f t="shared" si="187"/>
        <v>0</v>
      </c>
      <c r="V2380">
        <f t="shared" si="188"/>
        <v>0</v>
      </c>
      <c r="W2380">
        <f t="shared" si="189"/>
        <v>1</v>
      </c>
      <c r="X2380">
        <v>1</v>
      </c>
      <c r="Y2380" s="2">
        <v>45768</v>
      </c>
      <c r="Z2380" s="3" t="s">
        <v>70</v>
      </c>
      <c r="AA2380" t="s">
        <v>39</v>
      </c>
      <c r="AB2380" t="s">
        <v>40</v>
      </c>
      <c r="AC2380" t="s">
        <v>40</v>
      </c>
      <c r="AD2380" t="s">
        <v>696</v>
      </c>
    </row>
    <row r="2381" spans="2:30">
      <c r="B2381">
        <v>0</v>
      </c>
      <c r="C2381">
        <v>1020</v>
      </c>
      <c r="D2381" t="s">
        <v>181</v>
      </c>
      <c r="E2381">
        <v>10292389</v>
      </c>
      <c r="F2381" t="s">
        <v>2468</v>
      </c>
      <c r="G2381" t="s">
        <v>52</v>
      </c>
      <c r="H2381" t="s">
        <v>32</v>
      </c>
      <c r="I2381" t="s">
        <v>183</v>
      </c>
      <c r="J2381" t="s">
        <v>45</v>
      </c>
      <c r="K2381" t="s">
        <v>35</v>
      </c>
      <c r="L2381" t="s">
        <v>36</v>
      </c>
      <c r="M2381" t="s">
        <v>69</v>
      </c>
      <c r="N2381">
        <v>2</v>
      </c>
      <c r="O2381">
        <v>1</v>
      </c>
      <c r="P2381">
        <v>0</v>
      </c>
      <c r="Q2381">
        <v>2</v>
      </c>
      <c r="R2381">
        <v>0</v>
      </c>
      <c r="S2381" t="str">
        <f t="shared" si="185"/>
        <v>PZ: Alta Crit.</v>
      </c>
      <c r="T2381">
        <f t="shared" si="186"/>
        <v>0</v>
      </c>
      <c r="U2381">
        <f t="shared" si="187"/>
        <v>0</v>
      </c>
      <c r="V2381">
        <f t="shared" si="188"/>
        <v>1</v>
      </c>
      <c r="W2381">
        <f t="shared" si="189"/>
        <v>0</v>
      </c>
      <c r="X2381">
        <v>1</v>
      </c>
      <c r="Y2381" s="2">
        <v>45768</v>
      </c>
      <c r="Z2381" s="3" t="s">
        <v>70</v>
      </c>
      <c r="AA2381" t="s">
        <v>39</v>
      </c>
      <c r="AB2381" t="s">
        <v>40</v>
      </c>
      <c r="AC2381" t="s">
        <v>40</v>
      </c>
      <c r="AD2381" t="s">
        <v>184</v>
      </c>
    </row>
    <row r="2382" spans="2:30">
      <c r="B2382">
        <v>0</v>
      </c>
      <c r="C2382">
        <v>1020</v>
      </c>
      <c r="D2382" t="s">
        <v>693</v>
      </c>
      <c r="E2382">
        <v>10292407</v>
      </c>
      <c r="F2382" t="s">
        <v>2469</v>
      </c>
      <c r="G2382" t="s">
        <v>43</v>
      </c>
      <c r="H2382" t="s">
        <v>32</v>
      </c>
      <c r="I2382" t="s">
        <v>695</v>
      </c>
      <c r="J2382" t="s">
        <v>45</v>
      </c>
      <c r="K2382" t="s">
        <v>35</v>
      </c>
      <c r="L2382" t="s">
        <v>175</v>
      </c>
      <c r="M2382" t="s">
        <v>37</v>
      </c>
      <c r="N2382">
        <v>0</v>
      </c>
      <c r="O2382">
        <v>0</v>
      </c>
      <c r="P2382">
        <v>0</v>
      </c>
      <c r="Q2382">
        <v>7</v>
      </c>
      <c r="R2382">
        <v>0</v>
      </c>
      <c r="S2382" t="str">
        <f t="shared" si="185"/>
        <v>PY: Media Crit.</v>
      </c>
      <c r="T2382">
        <f t="shared" si="186"/>
        <v>0</v>
      </c>
      <c r="U2382">
        <f t="shared" si="187"/>
        <v>0</v>
      </c>
      <c r="V2382">
        <f t="shared" si="188"/>
        <v>0</v>
      </c>
      <c r="W2382">
        <f t="shared" si="189"/>
        <v>1</v>
      </c>
      <c r="X2382">
        <v>1</v>
      </c>
      <c r="Y2382" s="2">
        <v>45768</v>
      </c>
      <c r="Z2382" s="3" t="s">
        <v>38</v>
      </c>
      <c r="AA2382" t="s">
        <v>39</v>
      </c>
      <c r="AB2382" t="s">
        <v>40</v>
      </c>
      <c r="AC2382" t="s">
        <v>40</v>
      </c>
      <c r="AD2382" t="s">
        <v>696</v>
      </c>
    </row>
    <row r="2383" spans="2:30">
      <c r="B2383">
        <v>0</v>
      </c>
      <c r="C2383">
        <v>1020</v>
      </c>
      <c r="D2383" t="s">
        <v>388</v>
      </c>
      <c r="E2383">
        <v>10292428</v>
      </c>
      <c r="F2383" t="s">
        <v>2470</v>
      </c>
      <c r="G2383" t="s">
        <v>43</v>
      </c>
      <c r="H2383" t="s">
        <v>32</v>
      </c>
      <c r="I2383" t="s">
        <v>390</v>
      </c>
      <c r="J2383" t="s">
        <v>45</v>
      </c>
      <c r="K2383" t="s">
        <v>35</v>
      </c>
      <c r="L2383" t="s">
        <v>175</v>
      </c>
      <c r="M2383" t="s">
        <v>46</v>
      </c>
      <c r="N2383">
        <v>0</v>
      </c>
      <c r="O2383">
        <v>0</v>
      </c>
      <c r="P2383">
        <v>2</v>
      </c>
      <c r="Q2383">
        <v>2</v>
      </c>
      <c r="R2383">
        <v>0</v>
      </c>
      <c r="S2383" t="str">
        <f t="shared" si="185"/>
        <v>PY: Media Crit.</v>
      </c>
      <c r="T2383">
        <f t="shared" si="186"/>
        <v>0</v>
      </c>
      <c r="U2383">
        <f t="shared" si="187"/>
        <v>1</v>
      </c>
      <c r="V2383">
        <f t="shared" si="188"/>
        <v>0</v>
      </c>
      <c r="W2383">
        <f t="shared" si="189"/>
        <v>1</v>
      </c>
      <c r="X2383">
        <v>1</v>
      </c>
      <c r="Y2383" s="2">
        <v>45768</v>
      </c>
      <c r="Z2383" s="3" t="s">
        <v>47</v>
      </c>
      <c r="AA2383" t="s">
        <v>39</v>
      </c>
      <c r="AB2383" t="s">
        <v>40</v>
      </c>
      <c r="AC2383" t="s">
        <v>40</v>
      </c>
      <c r="AD2383" t="s">
        <v>391</v>
      </c>
    </row>
    <row r="2384" spans="2:30">
      <c r="B2384">
        <v>0</v>
      </c>
      <c r="C2384">
        <v>1020</v>
      </c>
      <c r="D2384" t="s">
        <v>181</v>
      </c>
      <c r="E2384">
        <v>10292440</v>
      </c>
      <c r="F2384" t="s">
        <v>2471</v>
      </c>
      <c r="G2384" t="s">
        <v>31</v>
      </c>
      <c r="H2384" t="s">
        <v>32</v>
      </c>
      <c r="I2384" t="s">
        <v>183</v>
      </c>
      <c r="J2384" t="s">
        <v>45</v>
      </c>
      <c r="K2384" t="s">
        <v>35</v>
      </c>
      <c r="L2384" t="s">
        <v>36</v>
      </c>
      <c r="M2384" t="s">
        <v>117</v>
      </c>
      <c r="N2384">
        <v>1</v>
      </c>
      <c r="O2384">
        <v>1</v>
      </c>
      <c r="P2384">
        <v>1</v>
      </c>
      <c r="Q2384">
        <v>1</v>
      </c>
      <c r="R2384">
        <v>0</v>
      </c>
      <c r="S2384" t="str">
        <f t="shared" si="185"/>
        <v>PX: Baja Crit.</v>
      </c>
      <c r="T2384">
        <f t="shared" si="186"/>
        <v>0</v>
      </c>
      <c r="U2384">
        <f t="shared" si="187"/>
        <v>1</v>
      </c>
      <c r="V2384">
        <f t="shared" si="188"/>
        <v>0</v>
      </c>
      <c r="W2384">
        <f t="shared" si="189"/>
        <v>0</v>
      </c>
      <c r="X2384">
        <v>1</v>
      </c>
      <c r="Y2384" s="2">
        <v>45768</v>
      </c>
      <c r="Z2384" s="3" t="s">
        <v>118</v>
      </c>
      <c r="AA2384" t="s">
        <v>39</v>
      </c>
      <c r="AB2384" t="s">
        <v>40</v>
      </c>
      <c r="AC2384" t="s">
        <v>40</v>
      </c>
      <c r="AD2384" t="s">
        <v>184</v>
      </c>
    </row>
    <row r="2385" spans="2:30">
      <c r="B2385">
        <v>0</v>
      </c>
      <c r="C2385">
        <v>1020</v>
      </c>
      <c r="D2385" t="s">
        <v>181</v>
      </c>
      <c r="E2385">
        <v>10292441</v>
      </c>
      <c r="F2385" t="s">
        <v>2472</v>
      </c>
      <c r="G2385" t="s">
        <v>52</v>
      </c>
      <c r="H2385" t="s">
        <v>32</v>
      </c>
      <c r="I2385" t="s">
        <v>183</v>
      </c>
      <c r="J2385" t="s">
        <v>45</v>
      </c>
      <c r="K2385" t="s">
        <v>35</v>
      </c>
      <c r="L2385" t="s">
        <v>36</v>
      </c>
      <c r="M2385" t="s">
        <v>117</v>
      </c>
      <c r="N2385">
        <v>1</v>
      </c>
      <c r="O2385">
        <v>1</v>
      </c>
      <c r="P2385">
        <v>0</v>
      </c>
      <c r="Q2385">
        <v>1</v>
      </c>
      <c r="R2385">
        <v>0</v>
      </c>
      <c r="S2385" t="str">
        <f t="shared" si="185"/>
        <v>PZ: Alta Crit.</v>
      </c>
      <c r="T2385">
        <f t="shared" si="186"/>
        <v>0</v>
      </c>
      <c r="U2385">
        <f t="shared" si="187"/>
        <v>0</v>
      </c>
      <c r="V2385">
        <f t="shared" si="188"/>
        <v>1</v>
      </c>
      <c r="W2385">
        <f t="shared" si="189"/>
        <v>0</v>
      </c>
      <c r="X2385">
        <v>1</v>
      </c>
      <c r="Y2385" s="2">
        <v>45768</v>
      </c>
      <c r="Z2385" s="3" t="s">
        <v>118</v>
      </c>
      <c r="AA2385" t="s">
        <v>39</v>
      </c>
      <c r="AB2385" t="s">
        <v>40</v>
      </c>
      <c r="AC2385" t="s">
        <v>40</v>
      </c>
      <c r="AD2385" t="s">
        <v>184</v>
      </c>
    </row>
    <row r="2386" spans="2:30">
      <c r="B2386">
        <v>0</v>
      </c>
      <c r="C2386">
        <v>1020</v>
      </c>
      <c r="D2386" t="s">
        <v>388</v>
      </c>
      <c r="E2386">
        <v>10292581</v>
      </c>
      <c r="F2386" t="s">
        <v>2473</v>
      </c>
      <c r="G2386" t="s">
        <v>43</v>
      </c>
      <c r="H2386" t="s">
        <v>32</v>
      </c>
      <c r="I2386" t="s">
        <v>390</v>
      </c>
      <c r="J2386" t="s">
        <v>45</v>
      </c>
      <c r="K2386" t="s">
        <v>35</v>
      </c>
      <c r="L2386" t="s">
        <v>175</v>
      </c>
      <c r="M2386" t="s">
        <v>46</v>
      </c>
      <c r="N2386">
        <v>0</v>
      </c>
      <c r="O2386">
        <v>0</v>
      </c>
      <c r="P2386">
        <v>2</v>
      </c>
      <c r="Q2386">
        <v>2</v>
      </c>
      <c r="R2386">
        <v>0</v>
      </c>
      <c r="S2386" t="str">
        <f t="shared" si="185"/>
        <v>PY: Media Crit.</v>
      </c>
      <c r="T2386">
        <f t="shared" si="186"/>
        <v>0</v>
      </c>
      <c r="U2386">
        <f t="shared" si="187"/>
        <v>1</v>
      </c>
      <c r="V2386">
        <f t="shared" si="188"/>
        <v>0</v>
      </c>
      <c r="W2386">
        <f t="shared" si="189"/>
        <v>1</v>
      </c>
      <c r="X2386">
        <v>1</v>
      </c>
      <c r="Y2386" s="2">
        <v>45768</v>
      </c>
      <c r="Z2386" s="3" t="s">
        <v>47</v>
      </c>
      <c r="AA2386" t="s">
        <v>39</v>
      </c>
      <c r="AB2386" t="s">
        <v>40</v>
      </c>
      <c r="AC2386" t="s">
        <v>40</v>
      </c>
      <c r="AD2386" t="s">
        <v>391</v>
      </c>
    </row>
    <row r="2387" spans="2:30">
      <c r="B2387">
        <v>0</v>
      </c>
      <c r="C2387">
        <v>1020</v>
      </c>
      <c r="D2387" t="s">
        <v>388</v>
      </c>
      <c r="E2387">
        <v>10292751</v>
      </c>
      <c r="F2387" t="s">
        <v>2474</v>
      </c>
      <c r="G2387" t="s">
        <v>31</v>
      </c>
      <c r="H2387" t="s">
        <v>32</v>
      </c>
      <c r="I2387" t="s">
        <v>390</v>
      </c>
      <c r="J2387" t="s">
        <v>45</v>
      </c>
      <c r="K2387" t="s">
        <v>35</v>
      </c>
      <c r="L2387" t="s">
        <v>175</v>
      </c>
      <c r="M2387" t="s">
        <v>117</v>
      </c>
      <c r="N2387">
        <v>0</v>
      </c>
      <c r="O2387">
        <v>0</v>
      </c>
      <c r="P2387">
        <v>1</v>
      </c>
      <c r="Q2387">
        <v>0</v>
      </c>
      <c r="R2387">
        <v>0</v>
      </c>
      <c r="S2387" t="str">
        <f t="shared" si="185"/>
        <v>PX: Baja Crit.</v>
      </c>
      <c r="T2387">
        <f t="shared" si="186"/>
        <v>1</v>
      </c>
      <c r="U2387">
        <f t="shared" si="187"/>
        <v>0</v>
      </c>
      <c r="V2387">
        <f t="shared" si="188"/>
        <v>0</v>
      </c>
      <c r="W2387">
        <f t="shared" si="189"/>
        <v>0</v>
      </c>
      <c r="X2387">
        <v>1</v>
      </c>
      <c r="Y2387" s="2">
        <v>45768</v>
      </c>
      <c r="Z2387" s="3" t="s">
        <v>118</v>
      </c>
      <c r="AA2387" t="s">
        <v>39</v>
      </c>
      <c r="AB2387" t="s">
        <v>76</v>
      </c>
      <c r="AC2387" s="5" t="s">
        <v>77</v>
      </c>
      <c r="AD2387" t="s">
        <v>391</v>
      </c>
    </row>
    <row r="2388" spans="2:30">
      <c r="B2388">
        <v>0</v>
      </c>
      <c r="C2388">
        <v>1020</v>
      </c>
      <c r="D2388" t="s">
        <v>693</v>
      </c>
      <c r="E2388">
        <v>10292767</v>
      </c>
      <c r="F2388" t="s">
        <v>2475</v>
      </c>
      <c r="G2388" t="s">
        <v>43</v>
      </c>
      <c r="H2388" t="s">
        <v>32</v>
      </c>
      <c r="I2388" t="s">
        <v>695</v>
      </c>
      <c r="J2388" t="s">
        <v>45</v>
      </c>
      <c r="K2388" t="s">
        <v>35</v>
      </c>
      <c r="L2388" t="s">
        <v>175</v>
      </c>
      <c r="M2388" t="s">
        <v>117</v>
      </c>
      <c r="N2388">
        <v>0</v>
      </c>
      <c r="O2388">
        <v>0</v>
      </c>
      <c r="P2388">
        <v>0</v>
      </c>
      <c r="Q2388">
        <v>6</v>
      </c>
      <c r="R2388">
        <v>0</v>
      </c>
      <c r="S2388" t="str">
        <f t="shared" si="185"/>
        <v>PY: Media Crit.</v>
      </c>
      <c r="T2388">
        <f t="shared" si="186"/>
        <v>0</v>
      </c>
      <c r="U2388">
        <f t="shared" si="187"/>
        <v>0</v>
      </c>
      <c r="V2388">
        <f t="shared" si="188"/>
        <v>0</v>
      </c>
      <c r="W2388">
        <f t="shared" si="189"/>
        <v>1</v>
      </c>
      <c r="X2388">
        <v>1</v>
      </c>
      <c r="Y2388" s="2">
        <v>45768</v>
      </c>
      <c r="Z2388" s="3" t="s">
        <v>118</v>
      </c>
      <c r="AA2388" t="s">
        <v>39</v>
      </c>
      <c r="AB2388" t="s">
        <v>40</v>
      </c>
      <c r="AC2388" t="s">
        <v>40</v>
      </c>
      <c r="AD2388" t="s">
        <v>696</v>
      </c>
    </row>
    <row r="2389" spans="2:30">
      <c r="B2389">
        <v>0</v>
      </c>
      <c r="C2389">
        <v>1020</v>
      </c>
      <c r="D2389" t="s">
        <v>693</v>
      </c>
      <c r="E2389">
        <v>10293035</v>
      </c>
      <c r="F2389" t="s">
        <v>2476</v>
      </c>
      <c r="G2389" t="s">
        <v>43</v>
      </c>
      <c r="H2389" t="s">
        <v>32</v>
      </c>
      <c r="I2389" t="s">
        <v>695</v>
      </c>
      <c r="J2389" t="s">
        <v>45</v>
      </c>
      <c r="K2389" t="s">
        <v>35</v>
      </c>
      <c r="L2389" t="s">
        <v>175</v>
      </c>
      <c r="M2389" t="s">
        <v>117</v>
      </c>
      <c r="N2389">
        <v>0</v>
      </c>
      <c r="O2389">
        <v>0</v>
      </c>
      <c r="P2389">
        <v>0</v>
      </c>
      <c r="Q2389">
        <v>0</v>
      </c>
      <c r="R2389">
        <v>0</v>
      </c>
      <c r="S2389" t="str">
        <f t="shared" si="185"/>
        <v>PY: Media Crit.</v>
      </c>
      <c r="T2389">
        <f t="shared" si="186"/>
        <v>1</v>
      </c>
      <c r="U2389">
        <f t="shared" si="187"/>
        <v>0</v>
      </c>
      <c r="V2389">
        <f t="shared" si="188"/>
        <v>0</v>
      </c>
      <c r="W2389">
        <f t="shared" si="189"/>
        <v>0</v>
      </c>
      <c r="X2389">
        <v>1</v>
      </c>
      <c r="Y2389" s="2">
        <v>45768</v>
      </c>
      <c r="Z2389" s="3" t="s">
        <v>118</v>
      </c>
      <c r="AA2389" t="s">
        <v>39</v>
      </c>
      <c r="AB2389" t="s">
        <v>40</v>
      </c>
      <c r="AC2389" t="s">
        <v>40</v>
      </c>
      <c r="AD2389" t="s">
        <v>696</v>
      </c>
    </row>
    <row r="2390" spans="2:30">
      <c r="B2390">
        <v>0</v>
      </c>
      <c r="C2390">
        <v>1020</v>
      </c>
      <c r="D2390" t="s">
        <v>693</v>
      </c>
      <c r="E2390">
        <v>10293046</v>
      </c>
      <c r="F2390" t="s">
        <v>2477</v>
      </c>
      <c r="G2390" t="s">
        <v>52</v>
      </c>
      <c r="H2390" t="s">
        <v>32</v>
      </c>
      <c r="I2390" t="s">
        <v>695</v>
      </c>
      <c r="J2390" t="s">
        <v>45</v>
      </c>
      <c r="K2390" t="s">
        <v>35</v>
      </c>
      <c r="L2390" t="s">
        <v>175</v>
      </c>
      <c r="M2390" t="s">
        <v>46</v>
      </c>
      <c r="N2390">
        <v>0</v>
      </c>
      <c r="O2390">
        <v>0</v>
      </c>
      <c r="P2390">
        <v>0</v>
      </c>
      <c r="Q2390">
        <v>0</v>
      </c>
      <c r="R2390">
        <v>0</v>
      </c>
      <c r="S2390" t="str">
        <f t="shared" si="185"/>
        <v>PZ: Alta Crit.</v>
      </c>
      <c r="T2390">
        <f t="shared" si="186"/>
        <v>1</v>
      </c>
      <c r="U2390">
        <f t="shared" si="187"/>
        <v>0</v>
      </c>
      <c r="V2390">
        <f t="shared" si="188"/>
        <v>0</v>
      </c>
      <c r="W2390">
        <f t="shared" si="189"/>
        <v>0</v>
      </c>
      <c r="X2390">
        <v>1</v>
      </c>
      <c r="Y2390" s="2">
        <v>45768</v>
      </c>
      <c r="Z2390" s="3" t="s">
        <v>47</v>
      </c>
      <c r="AA2390" t="s">
        <v>39</v>
      </c>
      <c r="AB2390" t="s">
        <v>40</v>
      </c>
      <c r="AC2390" t="s">
        <v>40</v>
      </c>
      <c r="AD2390" t="s">
        <v>696</v>
      </c>
    </row>
    <row r="2391" spans="2:30">
      <c r="B2391">
        <v>0</v>
      </c>
      <c r="C2391">
        <v>1020</v>
      </c>
      <c r="D2391" t="s">
        <v>388</v>
      </c>
      <c r="E2391">
        <v>10293112</v>
      </c>
      <c r="F2391" t="s">
        <v>2478</v>
      </c>
      <c r="G2391" t="s">
        <v>52</v>
      </c>
      <c r="H2391" t="s">
        <v>32</v>
      </c>
      <c r="I2391" t="s">
        <v>390</v>
      </c>
      <c r="J2391" t="s">
        <v>45</v>
      </c>
      <c r="K2391" t="s">
        <v>35</v>
      </c>
      <c r="L2391" t="s">
        <v>175</v>
      </c>
      <c r="M2391" t="s">
        <v>69</v>
      </c>
      <c r="N2391">
        <v>0</v>
      </c>
      <c r="O2391">
        <v>0</v>
      </c>
      <c r="P2391">
        <v>1</v>
      </c>
      <c r="Q2391">
        <v>1</v>
      </c>
      <c r="R2391">
        <v>0</v>
      </c>
      <c r="S2391" t="str">
        <f t="shared" si="185"/>
        <v>PZ: Alta Crit.</v>
      </c>
      <c r="T2391">
        <f t="shared" si="186"/>
        <v>0</v>
      </c>
      <c r="U2391">
        <f t="shared" si="187"/>
        <v>1</v>
      </c>
      <c r="V2391">
        <f t="shared" si="188"/>
        <v>0</v>
      </c>
      <c r="W2391">
        <f t="shared" si="189"/>
        <v>1</v>
      </c>
      <c r="X2391">
        <v>1</v>
      </c>
      <c r="Y2391" s="2">
        <v>45768</v>
      </c>
      <c r="Z2391" s="3" t="s">
        <v>70</v>
      </c>
      <c r="AA2391" t="s">
        <v>39</v>
      </c>
      <c r="AB2391" t="s">
        <v>40</v>
      </c>
      <c r="AC2391" t="s">
        <v>40</v>
      </c>
      <c r="AD2391" t="s">
        <v>391</v>
      </c>
    </row>
    <row r="2392" spans="2:30">
      <c r="B2392">
        <v>0</v>
      </c>
      <c r="C2392">
        <v>1020</v>
      </c>
      <c r="D2392" t="s">
        <v>388</v>
      </c>
      <c r="E2392">
        <v>10293237</v>
      </c>
      <c r="F2392" t="s">
        <v>2479</v>
      </c>
      <c r="G2392" t="s">
        <v>43</v>
      </c>
      <c r="H2392" t="s">
        <v>32</v>
      </c>
      <c r="I2392" t="s">
        <v>390</v>
      </c>
      <c r="J2392" t="s">
        <v>45</v>
      </c>
      <c r="K2392" t="s">
        <v>35</v>
      </c>
      <c r="L2392" t="s">
        <v>175</v>
      </c>
      <c r="M2392" t="s">
        <v>69</v>
      </c>
      <c r="N2392">
        <v>0</v>
      </c>
      <c r="O2392">
        <v>0</v>
      </c>
      <c r="P2392">
        <v>1</v>
      </c>
      <c r="Q2392">
        <v>1</v>
      </c>
      <c r="R2392">
        <v>0</v>
      </c>
      <c r="S2392" t="str">
        <f t="shared" si="185"/>
        <v>PY: Media Crit.</v>
      </c>
      <c r="T2392">
        <f t="shared" si="186"/>
        <v>0</v>
      </c>
      <c r="U2392">
        <f t="shared" si="187"/>
        <v>1</v>
      </c>
      <c r="V2392">
        <f t="shared" si="188"/>
        <v>0</v>
      </c>
      <c r="W2392">
        <f t="shared" si="189"/>
        <v>1</v>
      </c>
      <c r="X2392">
        <v>1</v>
      </c>
      <c r="Y2392" s="2">
        <v>45768</v>
      </c>
      <c r="Z2392" s="3" t="s">
        <v>70</v>
      </c>
      <c r="AA2392" t="s">
        <v>39</v>
      </c>
      <c r="AB2392" t="s">
        <v>40</v>
      </c>
      <c r="AC2392" t="s">
        <v>40</v>
      </c>
      <c r="AD2392" t="s">
        <v>391</v>
      </c>
    </row>
    <row r="2393" spans="2:30">
      <c r="B2393">
        <v>0</v>
      </c>
      <c r="C2393">
        <v>1020</v>
      </c>
      <c r="D2393" t="s">
        <v>388</v>
      </c>
      <c r="E2393">
        <v>10293283</v>
      </c>
      <c r="F2393" t="s">
        <v>2480</v>
      </c>
      <c r="G2393" t="s">
        <v>43</v>
      </c>
      <c r="H2393" t="s">
        <v>32</v>
      </c>
      <c r="I2393" t="s">
        <v>390</v>
      </c>
      <c r="J2393" t="s">
        <v>45</v>
      </c>
      <c r="K2393" t="s">
        <v>35</v>
      </c>
      <c r="L2393" t="s">
        <v>175</v>
      </c>
      <c r="M2393" t="s">
        <v>37</v>
      </c>
      <c r="N2393">
        <v>0</v>
      </c>
      <c r="O2393">
        <v>0</v>
      </c>
      <c r="P2393">
        <v>1</v>
      </c>
      <c r="Q2393">
        <v>2</v>
      </c>
      <c r="R2393">
        <v>0</v>
      </c>
      <c r="S2393" t="str">
        <f t="shared" si="185"/>
        <v>PY: Media Crit.</v>
      </c>
      <c r="T2393">
        <f t="shared" si="186"/>
        <v>0</v>
      </c>
      <c r="U2393">
        <f t="shared" si="187"/>
        <v>0</v>
      </c>
      <c r="V2393">
        <f t="shared" si="188"/>
        <v>0</v>
      </c>
      <c r="W2393">
        <f t="shared" si="189"/>
        <v>1</v>
      </c>
      <c r="X2393">
        <v>1</v>
      </c>
      <c r="Y2393" s="2">
        <v>45768</v>
      </c>
      <c r="Z2393" s="3" t="s">
        <v>38</v>
      </c>
      <c r="AA2393" t="s">
        <v>39</v>
      </c>
      <c r="AB2393" t="s">
        <v>40</v>
      </c>
      <c r="AC2393" t="s">
        <v>40</v>
      </c>
      <c r="AD2393" t="s">
        <v>391</v>
      </c>
    </row>
    <row r="2394" spans="2:30">
      <c r="B2394">
        <v>0</v>
      </c>
      <c r="C2394">
        <v>1020</v>
      </c>
      <c r="D2394" t="s">
        <v>388</v>
      </c>
      <c r="E2394">
        <v>10293315</v>
      </c>
      <c r="F2394" t="s">
        <v>2481</v>
      </c>
      <c r="G2394" t="s">
        <v>52</v>
      </c>
      <c r="H2394" t="s">
        <v>32</v>
      </c>
      <c r="I2394" t="s">
        <v>390</v>
      </c>
      <c r="J2394" t="s">
        <v>45</v>
      </c>
      <c r="K2394" t="s">
        <v>35</v>
      </c>
      <c r="L2394" t="s">
        <v>175</v>
      </c>
      <c r="M2394" t="s">
        <v>69</v>
      </c>
      <c r="N2394">
        <v>0</v>
      </c>
      <c r="O2394">
        <v>0</v>
      </c>
      <c r="P2394">
        <v>1</v>
      </c>
      <c r="Q2394">
        <v>1</v>
      </c>
      <c r="R2394">
        <v>0</v>
      </c>
      <c r="S2394" t="str">
        <f t="shared" si="185"/>
        <v>PZ: Alta Crit.</v>
      </c>
      <c r="T2394">
        <f t="shared" si="186"/>
        <v>0</v>
      </c>
      <c r="U2394">
        <f t="shared" si="187"/>
        <v>1</v>
      </c>
      <c r="V2394">
        <f t="shared" si="188"/>
        <v>0</v>
      </c>
      <c r="W2394">
        <f t="shared" si="189"/>
        <v>1</v>
      </c>
      <c r="X2394">
        <v>1</v>
      </c>
      <c r="Y2394" s="2">
        <v>45768</v>
      </c>
      <c r="Z2394" s="3" t="s">
        <v>70</v>
      </c>
      <c r="AA2394" t="s">
        <v>39</v>
      </c>
      <c r="AB2394" t="s">
        <v>40</v>
      </c>
      <c r="AC2394" t="s">
        <v>40</v>
      </c>
      <c r="AD2394" t="s">
        <v>391</v>
      </c>
    </row>
    <row r="2395" spans="2:30">
      <c r="B2395">
        <v>0</v>
      </c>
      <c r="C2395">
        <v>1020</v>
      </c>
      <c r="D2395" t="s">
        <v>388</v>
      </c>
      <c r="E2395">
        <v>10293326</v>
      </c>
      <c r="F2395" t="s">
        <v>2482</v>
      </c>
      <c r="G2395" t="s">
        <v>52</v>
      </c>
      <c r="H2395" t="s">
        <v>32</v>
      </c>
      <c r="I2395" t="s">
        <v>390</v>
      </c>
      <c r="J2395" t="s">
        <v>45</v>
      </c>
      <c r="K2395" t="s">
        <v>260</v>
      </c>
      <c r="L2395" t="s">
        <v>175</v>
      </c>
      <c r="M2395" t="s">
        <v>69</v>
      </c>
      <c r="N2395">
        <v>0</v>
      </c>
      <c r="O2395">
        <v>0</v>
      </c>
      <c r="P2395">
        <v>1</v>
      </c>
      <c r="Q2395">
        <v>1</v>
      </c>
      <c r="R2395">
        <v>0</v>
      </c>
      <c r="S2395" t="str">
        <f t="shared" si="185"/>
        <v>PZ: Alta Crit.</v>
      </c>
      <c r="T2395">
        <f t="shared" si="186"/>
        <v>0</v>
      </c>
      <c r="U2395">
        <f t="shared" si="187"/>
        <v>1</v>
      </c>
      <c r="V2395">
        <f t="shared" si="188"/>
        <v>0</v>
      </c>
      <c r="W2395">
        <f t="shared" si="189"/>
        <v>1</v>
      </c>
      <c r="X2395">
        <v>1</v>
      </c>
      <c r="Y2395" s="2">
        <v>45768</v>
      </c>
      <c r="Z2395" s="3" t="s">
        <v>70</v>
      </c>
      <c r="AA2395" t="s">
        <v>39</v>
      </c>
      <c r="AB2395" t="s">
        <v>40</v>
      </c>
      <c r="AC2395" t="s">
        <v>40</v>
      </c>
      <c r="AD2395" t="s">
        <v>391</v>
      </c>
    </row>
    <row r="2396" spans="2:30">
      <c r="B2396">
        <v>0</v>
      </c>
      <c r="C2396">
        <v>1020</v>
      </c>
      <c r="D2396" t="s">
        <v>693</v>
      </c>
      <c r="E2396">
        <v>10293362</v>
      </c>
      <c r="F2396" t="s">
        <v>2483</v>
      </c>
      <c r="G2396" t="s">
        <v>43</v>
      </c>
      <c r="H2396" t="s">
        <v>32</v>
      </c>
      <c r="I2396" t="s">
        <v>695</v>
      </c>
      <c r="J2396" t="s">
        <v>45</v>
      </c>
      <c r="K2396" t="s">
        <v>35</v>
      </c>
      <c r="L2396" t="s">
        <v>175</v>
      </c>
      <c r="M2396" t="s">
        <v>117</v>
      </c>
      <c r="N2396">
        <v>0</v>
      </c>
      <c r="O2396">
        <v>0</v>
      </c>
      <c r="P2396">
        <v>0</v>
      </c>
      <c r="Q2396">
        <v>6</v>
      </c>
      <c r="R2396">
        <v>0</v>
      </c>
      <c r="S2396" t="str">
        <f t="shared" si="185"/>
        <v>PY: Media Crit.</v>
      </c>
      <c r="T2396">
        <f t="shared" si="186"/>
        <v>0</v>
      </c>
      <c r="U2396">
        <f t="shared" si="187"/>
        <v>0</v>
      </c>
      <c r="V2396">
        <f t="shared" si="188"/>
        <v>0</v>
      </c>
      <c r="W2396">
        <f t="shared" si="189"/>
        <v>1</v>
      </c>
      <c r="X2396">
        <v>1</v>
      </c>
      <c r="Y2396" s="2">
        <v>45768</v>
      </c>
      <c r="Z2396" s="3" t="s">
        <v>118</v>
      </c>
      <c r="AA2396" t="s">
        <v>39</v>
      </c>
      <c r="AB2396" t="s">
        <v>40</v>
      </c>
      <c r="AC2396" t="s">
        <v>40</v>
      </c>
      <c r="AD2396" t="s">
        <v>696</v>
      </c>
    </row>
    <row r="2397" spans="2:30">
      <c r="B2397">
        <v>0</v>
      </c>
      <c r="C2397">
        <v>1020</v>
      </c>
      <c r="D2397" t="s">
        <v>181</v>
      </c>
      <c r="E2397">
        <v>10293374</v>
      </c>
      <c r="F2397" t="s">
        <v>2484</v>
      </c>
      <c r="G2397" t="s">
        <v>31</v>
      </c>
      <c r="H2397" t="s">
        <v>60</v>
      </c>
      <c r="I2397" t="s">
        <v>183</v>
      </c>
      <c r="J2397" t="s">
        <v>45</v>
      </c>
      <c r="K2397" t="s">
        <v>35</v>
      </c>
      <c r="L2397" t="s">
        <v>36</v>
      </c>
      <c r="M2397" t="s">
        <v>117</v>
      </c>
      <c r="N2397">
        <v>2</v>
      </c>
      <c r="O2397">
        <v>1</v>
      </c>
      <c r="P2397">
        <v>0</v>
      </c>
      <c r="Q2397">
        <v>2</v>
      </c>
      <c r="R2397">
        <v>0</v>
      </c>
      <c r="S2397" t="str">
        <f t="shared" si="185"/>
        <v>PX: Baja Crit.</v>
      </c>
      <c r="T2397">
        <f t="shared" si="186"/>
        <v>0</v>
      </c>
      <c r="U2397">
        <f t="shared" si="187"/>
        <v>0</v>
      </c>
      <c r="V2397">
        <f t="shared" si="188"/>
        <v>1</v>
      </c>
      <c r="W2397">
        <f t="shared" si="189"/>
        <v>0</v>
      </c>
      <c r="X2397">
        <v>1</v>
      </c>
      <c r="Y2397" s="2">
        <v>45768</v>
      </c>
      <c r="Z2397" s="3" t="s">
        <v>118</v>
      </c>
      <c r="AA2397" t="s">
        <v>39</v>
      </c>
      <c r="AB2397" t="s">
        <v>40</v>
      </c>
      <c r="AC2397" t="s">
        <v>40</v>
      </c>
      <c r="AD2397" t="s">
        <v>184</v>
      </c>
    </row>
    <row r="2398" spans="2:30">
      <c r="B2398">
        <v>0</v>
      </c>
      <c r="C2398">
        <v>1020</v>
      </c>
      <c r="D2398" t="s">
        <v>384</v>
      </c>
      <c r="E2398">
        <v>10293400</v>
      </c>
      <c r="F2398" t="s">
        <v>2485</v>
      </c>
      <c r="G2398" t="s">
        <v>52</v>
      </c>
      <c r="H2398" t="s">
        <v>32</v>
      </c>
      <c r="I2398" t="s">
        <v>386</v>
      </c>
      <c r="J2398" t="s">
        <v>45</v>
      </c>
      <c r="K2398" t="s">
        <v>35</v>
      </c>
      <c r="L2398" t="s">
        <v>175</v>
      </c>
      <c r="M2398" t="s">
        <v>69</v>
      </c>
      <c r="N2398">
        <v>0</v>
      </c>
      <c r="O2398">
        <v>0</v>
      </c>
      <c r="P2398">
        <v>0</v>
      </c>
      <c r="Q2398">
        <v>1</v>
      </c>
      <c r="R2398">
        <v>0</v>
      </c>
      <c r="S2398" t="str">
        <f t="shared" si="185"/>
        <v>PZ: Alta Crit.</v>
      </c>
      <c r="T2398">
        <f t="shared" si="186"/>
        <v>0</v>
      </c>
      <c r="U2398">
        <f t="shared" si="187"/>
        <v>0</v>
      </c>
      <c r="V2398">
        <f t="shared" si="188"/>
        <v>0</v>
      </c>
      <c r="W2398">
        <f t="shared" si="189"/>
        <v>1</v>
      </c>
      <c r="X2398">
        <v>1</v>
      </c>
      <c r="Y2398" s="2">
        <v>45768</v>
      </c>
      <c r="Z2398" s="3" t="s">
        <v>70</v>
      </c>
      <c r="AA2398" t="s">
        <v>39</v>
      </c>
      <c r="AB2398" t="s">
        <v>40</v>
      </c>
      <c r="AC2398" t="s">
        <v>40</v>
      </c>
      <c r="AD2398" t="s">
        <v>387</v>
      </c>
    </row>
    <row r="2399" spans="2:30">
      <c r="B2399">
        <v>0</v>
      </c>
      <c r="C2399">
        <v>1020</v>
      </c>
      <c r="D2399" t="s">
        <v>388</v>
      </c>
      <c r="E2399">
        <v>10293436</v>
      </c>
      <c r="F2399" t="s">
        <v>2486</v>
      </c>
      <c r="G2399" t="s">
        <v>43</v>
      </c>
      <c r="H2399" t="s">
        <v>32</v>
      </c>
      <c r="I2399" t="s">
        <v>390</v>
      </c>
      <c r="J2399" t="s">
        <v>45</v>
      </c>
      <c r="K2399" t="s">
        <v>260</v>
      </c>
      <c r="L2399" t="s">
        <v>175</v>
      </c>
      <c r="M2399" t="s">
        <v>69</v>
      </c>
      <c r="N2399">
        <v>0</v>
      </c>
      <c r="O2399">
        <v>0</v>
      </c>
      <c r="P2399">
        <v>1</v>
      </c>
      <c r="Q2399">
        <v>1</v>
      </c>
      <c r="R2399">
        <v>0</v>
      </c>
      <c r="S2399" t="str">
        <f t="shared" si="185"/>
        <v>PY: Media Crit.</v>
      </c>
      <c r="T2399">
        <f t="shared" si="186"/>
        <v>0</v>
      </c>
      <c r="U2399">
        <f t="shared" si="187"/>
        <v>1</v>
      </c>
      <c r="V2399">
        <f t="shared" si="188"/>
        <v>0</v>
      </c>
      <c r="W2399">
        <f t="shared" si="189"/>
        <v>1</v>
      </c>
      <c r="X2399">
        <v>1</v>
      </c>
      <c r="Y2399" s="2">
        <v>45768</v>
      </c>
      <c r="Z2399" s="3" t="s">
        <v>70</v>
      </c>
      <c r="AA2399" t="s">
        <v>39</v>
      </c>
      <c r="AB2399" t="s">
        <v>40</v>
      </c>
      <c r="AC2399" t="s">
        <v>40</v>
      </c>
      <c r="AD2399" t="s">
        <v>391</v>
      </c>
    </row>
    <row r="2400" spans="2:30">
      <c r="B2400">
        <v>0</v>
      </c>
      <c r="C2400">
        <v>1020</v>
      </c>
      <c r="D2400" t="s">
        <v>693</v>
      </c>
      <c r="E2400">
        <v>10293441</v>
      </c>
      <c r="F2400" t="s">
        <v>2487</v>
      </c>
      <c r="G2400" t="s">
        <v>52</v>
      </c>
      <c r="H2400" t="s">
        <v>32</v>
      </c>
      <c r="I2400" t="s">
        <v>695</v>
      </c>
      <c r="J2400" t="s">
        <v>45</v>
      </c>
      <c r="K2400" t="s">
        <v>35</v>
      </c>
      <c r="L2400" t="s">
        <v>175</v>
      </c>
      <c r="M2400" t="s">
        <v>46</v>
      </c>
      <c r="N2400">
        <v>1</v>
      </c>
      <c r="O2400">
        <v>1</v>
      </c>
      <c r="P2400">
        <v>0</v>
      </c>
      <c r="Q2400">
        <v>1</v>
      </c>
      <c r="R2400">
        <v>0</v>
      </c>
      <c r="S2400" t="str">
        <f t="shared" si="185"/>
        <v>PZ: Alta Crit.</v>
      </c>
      <c r="T2400">
        <f t="shared" si="186"/>
        <v>0</v>
      </c>
      <c r="U2400">
        <f t="shared" si="187"/>
        <v>0</v>
      </c>
      <c r="V2400">
        <f t="shared" si="188"/>
        <v>1</v>
      </c>
      <c r="W2400">
        <f t="shared" si="189"/>
        <v>0</v>
      </c>
      <c r="X2400">
        <v>1</v>
      </c>
      <c r="Y2400" s="2">
        <v>45768</v>
      </c>
      <c r="Z2400" s="3" t="s">
        <v>47</v>
      </c>
      <c r="AA2400" t="s">
        <v>39</v>
      </c>
      <c r="AB2400" t="s">
        <v>40</v>
      </c>
      <c r="AC2400" t="s">
        <v>40</v>
      </c>
      <c r="AD2400" t="s">
        <v>696</v>
      </c>
    </row>
    <row r="2401" spans="2:30">
      <c r="B2401">
        <v>0</v>
      </c>
      <c r="C2401">
        <v>1020</v>
      </c>
      <c r="D2401" t="s">
        <v>388</v>
      </c>
      <c r="E2401">
        <v>10293629</v>
      </c>
      <c r="F2401" t="s">
        <v>2488</v>
      </c>
      <c r="G2401" t="s">
        <v>43</v>
      </c>
      <c r="H2401" t="s">
        <v>32</v>
      </c>
      <c r="I2401" t="s">
        <v>390</v>
      </c>
      <c r="J2401" t="s">
        <v>45</v>
      </c>
      <c r="K2401" t="s">
        <v>35</v>
      </c>
      <c r="L2401" t="s">
        <v>175</v>
      </c>
      <c r="M2401" t="s">
        <v>69</v>
      </c>
      <c r="N2401">
        <v>0</v>
      </c>
      <c r="O2401">
        <v>0</v>
      </c>
      <c r="P2401">
        <v>2</v>
      </c>
      <c r="Q2401">
        <v>2</v>
      </c>
      <c r="R2401">
        <v>0</v>
      </c>
      <c r="S2401" t="str">
        <f t="shared" si="185"/>
        <v>PY: Media Crit.</v>
      </c>
      <c r="T2401">
        <f t="shared" si="186"/>
        <v>0</v>
      </c>
      <c r="U2401">
        <f t="shared" si="187"/>
        <v>1</v>
      </c>
      <c r="V2401">
        <f t="shared" si="188"/>
        <v>0</v>
      </c>
      <c r="W2401">
        <f t="shared" si="189"/>
        <v>1</v>
      </c>
      <c r="X2401">
        <v>1</v>
      </c>
      <c r="Y2401" s="2">
        <v>45768</v>
      </c>
      <c r="Z2401" s="3" t="s">
        <v>70</v>
      </c>
      <c r="AA2401" t="s">
        <v>39</v>
      </c>
      <c r="AB2401" t="s">
        <v>40</v>
      </c>
      <c r="AC2401" t="s">
        <v>40</v>
      </c>
      <c r="AD2401" t="s">
        <v>391</v>
      </c>
    </row>
    <row r="2402" spans="2:30">
      <c r="B2402">
        <v>0</v>
      </c>
      <c r="C2402">
        <v>1020</v>
      </c>
      <c r="D2402" t="s">
        <v>693</v>
      </c>
      <c r="E2402">
        <v>10293639</v>
      </c>
      <c r="F2402" t="s">
        <v>2489</v>
      </c>
      <c r="G2402" t="s">
        <v>52</v>
      </c>
      <c r="H2402" t="s">
        <v>32</v>
      </c>
      <c r="I2402" t="s">
        <v>695</v>
      </c>
      <c r="J2402" t="s">
        <v>45</v>
      </c>
      <c r="K2402" t="s">
        <v>35</v>
      </c>
      <c r="L2402" t="s">
        <v>175</v>
      </c>
      <c r="M2402" t="s">
        <v>69</v>
      </c>
      <c r="N2402">
        <v>0</v>
      </c>
      <c r="O2402">
        <v>0</v>
      </c>
      <c r="P2402">
        <v>0</v>
      </c>
      <c r="Q2402">
        <v>2</v>
      </c>
      <c r="R2402">
        <v>0</v>
      </c>
      <c r="S2402" t="str">
        <f t="shared" si="185"/>
        <v>PZ: Alta Crit.</v>
      </c>
      <c r="T2402">
        <f t="shared" si="186"/>
        <v>0</v>
      </c>
      <c r="U2402">
        <f t="shared" si="187"/>
        <v>0</v>
      </c>
      <c r="V2402">
        <f t="shared" si="188"/>
        <v>0</v>
      </c>
      <c r="W2402">
        <f t="shared" si="189"/>
        <v>1</v>
      </c>
      <c r="X2402">
        <v>1</v>
      </c>
      <c r="Y2402" s="2">
        <v>45768</v>
      </c>
      <c r="Z2402" s="3" t="s">
        <v>70</v>
      </c>
      <c r="AA2402" t="s">
        <v>39</v>
      </c>
      <c r="AB2402" t="s">
        <v>40</v>
      </c>
      <c r="AC2402" t="s">
        <v>40</v>
      </c>
      <c r="AD2402" t="s">
        <v>696</v>
      </c>
    </row>
    <row r="2403" spans="2:30">
      <c r="B2403">
        <v>0</v>
      </c>
      <c r="C2403">
        <v>1020</v>
      </c>
      <c r="D2403" t="s">
        <v>384</v>
      </c>
      <c r="E2403">
        <v>10293742</v>
      </c>
      <c r="F2403" t="s">
        <v>2490</v>
      </c>
      <c r="G2403" t="s">
        <v>43</v>
      </c>
      <c r="H2403" t="s">
        <v>32</v>
      </c>
      <c r="I2403" t="s">
        <v>386</v>
      </c>
      <c r="J2403" t="s">
        <v>45</v>
      </c>
      <c r="K2403" t="s">
        <v>35</v>
      </c>
      <c r="L2403" t="s">
        <v>175</v>
      </c>
      <c r="M2403" t="s">
        <v>69</v>
      </c>
      <c r="N2403">
        <v>0</v>
      </c>
      <c r="O2403">
        <v>0</v>
      </c>
      <c r="P2403">
        <v>0</v>
      </c>
      <c r="Q2403">
        <v>1</v>
      </c>
      <c r="R2403">
        <v>0</v>
      </c>
      <c r="S2403" t="str">
        <f t="shared" si="185"/>
        <v>PY: Media Crit.</v>
      </c>
      <c r="T2403">
        <f t="shared" si="186"/>
        <v>0</v>
      </c>
      <c r="U2403">
        <f t="shared" si="187"/>
        <v>0</v>
      </c>
      <c r="V2403">
        <f t="shared" si="188"/>
        <v>0</v>
      </c>
      <c r="W2403">
        <f t="shared" si="189"/>
        <v>1</v>
      </c>
      <c r="X2403">
        <v>1</v>
      </c>
      <c r="Y2403" s="2">
        <v>45768</v>
      </c>
      <c r="Z2403" s="3" t="s">
        <v>70</v>
      </c>
      <c r="AA2403" t="s">
        <v>39</v>
      </c>
      <c r="AB2403" t="s">
        <v>40</v>
      </c>
      <c r="AC2403" t="s">
        <v>40</v>
      </c>
      <c r="AD2403" t="s">
        <v>387</v>
      </c>
    </row>
    <row r="2404" spans="2:30">
      <c r="B2404">
        <v>0</v>
      </c>
      <c r="C2404">
        <v>1020</v>
      </c>
      <c r="D2404" t="s">
        <v>384</v>
      </c>
      <c r="E2404">
        <v>10293743</v>
      </c>
      <c r="F2404" t="s">
        <v>2491</v>
      </c>
      <c r="G2404" t="s">
        <v>43</v>
      </c>
      <c r="H2404" t="s">
        <v>32</v>
      </c>
      <c r="I2404" t="s">
        <v>386</v>
      </c>
      <c r="J2404" t="s">
        <v>45</v>
      </c>
      <c r="K2404" t="s">
        <v>35</v>
      </c>
      <c r="L2404" t="s">
        <v>175</v>
      </c>
      <c r="M2404" t="s">
        <v>69</v>
      </c>
      <c r="N2404">
        <v>0</v>
      </c>
      <c r="O2404">
        <v>0</v>
      </c>
      <c r="P2404">
        <v>0</v>
      </c>
      <c r="Q2404">
        <v>3</v>
      </c>
      <c r="R2404">
        <v>0</v>
      </c>
      <c r="S2404" t="str">
        <f t="shared" si="185"/>
        <v>PY: Media Crit.</v>
      </c>
      <c r="T2404">
        <f t="shared" si="186"/>
        <v>0</v>
      </c>
      <c r="U2404">
        <f t="shared" si="187"/>
        <v>0</v>
      </c>
      <c r="V2404">
        <f t="shared" si="188"/>
        <v>0</v>
      </c>
      <c r="W2404">
        <f t="shared" si="189"/>
        <v>1</v>
      </c>
      <c r="X2404">
        <v>1</v>
      </c>
      <c r="Y2404" s="2">
        <v>45768</v>
      </c>
      <c r="Z2404" s="3" t="s">
        <v>70</v>
      </c>
      <c r="AA2404" t="s">
        <v>39</v>
      </c>
      <c r="AB2404" t="s">
        <v>40</v>
      </c>
      <c r="AC2404" t="s">
        <v>40</v>
      </c>
      <c r="AD2404" t="s">
        <v>387</v>
      </c>
    </row>
    <row r="2405" spans="2:30">
      <c r="B2405">
        <v>0</v>
      </c>
      <c r="C2405">
        <v>1020</v>
      </c>
      <c r="D2405" t="s">
        <v>388</v>
      </c>
      <c r="E2405">
        <v>10293759</v>
      </c>
      <c r="F2405" t="s">
        <v>2492</v>
      </c>
      <c r="G2405" t="s">
        <v>52</v>
      </c>
      <c r="H2405" t="s">
        <v>32</v>
      </c>
      <c r="I2405" t="s">
        <v>390</v>
      </c>
      <c r="J2405" t="s">
        <v>45</v>
      </c>
      <c r="K2405" t="s">
        <v>35</v>
      </c>
      <c r="L2405" t="s">
        <v>175</v>
      </c>
      <c r="M2405" t="s">
        <v>46</v>
      </c>
      <c r="N2405">
        <v>0</v>
      </c>
      <c r="O2405">
        <v>0</v>
      </c>
      <c r="P2405">
        <v>4</v>
      </c>
      <c r="Q2405">
        <v>2</v>
      </c>
      <c r="R2405">
        <v>0</v>
      </c>
      <c r="S2405" t="str">
        <f t="shared" si="185"/>
        <v>PZ: Alta Crit.</v>
      </c>
      <c r="T2405">
        <f t="shared" si="186"/>
        <v>0</v>
      </c>
      <c r="U2405">
        <f t="shared" si="187"/>
        <v>1</v>
      </c>
      <c r="V2405">
        <f t="shared" si="188"/>
        <v>0</v>
      </c>
      <c r="W2405">
        <f t="shared" si="189"/>
        <v>1</v>
      </c>
      <c r="X2405">
        <v>1</v>
      </c>
      <c r="Y2405" s="2">
        <v>45768</v>
      </c>
      <c r="Z2405" s="3" t="s">
        <v>47</v>
      </c>
      <c r="AA2405" t="s">
        <v>39</v>
      </c>
      <c r="AB2405" t="s">
        <v>49</v>
      </c>
      <c r="AC2405" s="5" t="s">
        <v>50</v>
      </c>
      <c r="AD2405" t="s">
        <v>391</v>
      </c>
    </row>
    <row r="2406" spans="2:30">
      <c r="B2406">
        <v>0</v>
      </c>
      <c r="C2406">
        <v>1020</v>
      </c>
      <c r="D2406" t="s">
        <v>388</v>
      </c>
      <c r="E2406">
        <v>10293760</v>
      </c>
      <c r="F2406" t="s">
        <v>2493</v>
      </c>
      <c r="G2406" t="s">
        <v>52</v>
      </c>
      <c r="H2406" t="s">
        <v>32</v>
      </c>
      <c r="I2406" t="s">
        <v>390</v>
      </c>
      <c r="J2406" t="s">
        <v>45</v>
      </c>
      <c r="K2406" t="s">
        <v>35</v>
      </c>
      <c r="L2406" t="s">
        <v>175</v>
      </c>
      <c r="M2406" t="s">
        <v>46</v>
      </c>
      <c r="N2406">
        <v>0</v>
      </c>
      <c r="O2406">
        <v>0</v>
      </c>
      <c r="P2406">
        <v>4</v>
      </c>
      <c r="Q2406">
        <v>0</v>
      </c>
      <c r="R2406">
        <v>0</v>
      </c>
      <c r="S2406" t="str">
        <f t="shared" si="185"/>
        <v>PZ: Alta Crit.</v>
      </c>
      <c r="T2406">
        <f t="shared" si="186"/>
        <v>1</v>
      </c>
      <c r="U2406">
        <f t="shared" si="187"/>
        <v>0</v>
      </c>
      <c r="V2406">
        <f t="shared" si="188"/>
        <v>0</v>
      </c>
      <c r="W2406">
        <f t="shared" si="189"/>
        <v>0</v>
      </c>
      <c r="X2406">
        <v>1</v>
      </c>
      <c r="Y2406" s="2">
        <v>45768</v>
      </c>
      <c r="Z2406" s="3" t="s">
        <v>47</v>
      </c>
      <c r="AA2406" t="s">
        <v>39</v>
      </c>
      <c r="AB2406" t="s">
        <v>49</v>
      </c>
      <c r="AC2406" s="5" t="s">
        <v>50</v>
      </c>
      <c r="AD2406" t="s">
        <v>391</v>
      </c>
    </row>
    <row r="2407" spans="2:30">
      <c r="B2407">
        <v>0</v>
      </c>
      <c r="C2407">
        <v>1020</v>
      </c>
      <c r="D2407" t="s">
        <v>384</v>
      </c>
      <c r="E2407">
        <v>10293846</v>
      </c>
      <c r="F2407" t="s">
        <v>2494</v>
      </c>
      <c r="G2407" t="s">
        <v>43</v>
      </c>
      <c r="H2407" t="s">
        <v>32</v>
      </c>
      <c r="I2407" t="s">
        <v>386</v>
      </c>
      <c r="J2407" t="s">
        <v>45</v>
      </c>
      <c r="K2407" t="s">
        <v>35</v>
      </c>
      <c r="L2407" t="s">
        <v>175</v>
      </c>
      <c r="M2407" t="s">
        <v>46</v>
      </c>
      <c r="N2407">
        <v>0</v>
      </c>
      <c r="O2407">
        <v>0</v>
      </c>
      <c r="P2407">
        <v>0</v>
      </c>
      <c r="Q2407">
        <v>1</v>
      </c>
      <c r="R2407">
        <v>0</v>
      </c>
      <c r="S2407" t="str">
        <f t="shared" si="185"/>
        <v>PY: Media Crit.</v>
      </c>
      <c r="T2407">
        <f t="shared" si="186"/>
        <v>0</v>
      </c>
      <c r="U2407">
        <f t="shared" si="187"/>
        <v>0</v>
      </c>
      <c r="V2407">
        <f t="shared" si="188"/>
        <v>0</v>
      </c>
      <c r="W2407">
        <f t="shared" si="189"/>
        <v>1</v>
      </c>
      <c r="X2407">
        <v>1</v>
      </c>
      <c r="Y2407" s="2">
        <v>45768</v>
      </c>
      <c r="Z2407" s="3" t="s">
        <v>47</v>
      </c>
      <c r="AA2407" t="s">
        <v>39</v>
      </c>
      <c r="AB2407" t="s">
        <v>40</v>
      </c>
      <c r="AC2407" t="s">
        <v>40</v>
      </c>
      <c r="AD2407" t="s">
        <v>387</v>
      </c>
    </row>
    <row r="2408" spans="2:30">
      <c r="B2408">
        <v>0</v>
      </c>
      <c r="C2408">
        <v>1020</v>
      </c>
      <c r="D2408" t="s">
        <v>693</v>
      </c>
      <c r="E2408">
        <v>10294105</v>
      </c>
      <c r="F2408" t="s">
        <v>2495</v>
      </c>
      <c r="G2408" t="s">
        <v>52</v>
      </c>
      <c r="H2408" t="s">
        <v>32</v>
      </c>
      <c r="I2408" t="s">
        <v>695</v>
      </c>
      <c r="J2408" t="s">
        <v>45</v>
      </c>
      <c r="K2408" t="s">
        <v>35</v>
      </c>
      <c r="L2408" t="s">
        <v>175</v>
      </c>
      <c r="M2408" t="s">
        <v>69</v>
      </c>
      <c r="N2408">
        <v>0</v>
      </c>
      <c r="O2408">
        <v>0</v>
      </c>
      <c r="P2408">
        <v>0</v>
      </c>
      <c r="Q2408">
        <v>3</v>
      </c>
      <c r="R2408">
        <v>0</v>
      </c>
      <c r="S2408" t="str">
        <f t="shared" si="185"/>
        <v>PZ: Alta Crit.</v>
      </c>
      <c r="T2408">
        <f t="shared" si="186"/>
        <v>0</v>
      </c>
      <c r="U2408">
        <f t="shared" si="187"/>
        <v>0</v>
      </c>
      <c r="V2408">
        <f t="shared" si="188"/>
        <v>0</v>
      </c>
      <c r="W2408">
        <f t="shared" si="189"/>
        <v>1</v>
      </c>
      <c r="X2408">
        <v>1</v>
      </c>
      <c r="Y2408" s="2">
        <v>45768</v>
      </c>
      <c r="Z2408" s="3" t="s">
        <v>70</v>
      </c>
      <c r="AA2408" t="s">
        <v>39</v>
      </c>
      <c r="AB2408" t="s">
        <v>40</v>
      </c>
      <c r="AC2408" t="s">
        <v>40</v>
      </c>
      <c r="AD2408" t="s">
        <v>696</v>
      </c>
    </row>
    <row r="2409" spans="2:30">
      <c r="B2409">
        <v>0</v>
      </c>
      <c r="C2409">
        <v>1020</v>
      </c>
      <c r="D2409" t="s">
        <v>388</v>
      </c>
      <c r="E2409">
        <v>10294285</v>
      </c>
      <c r="F2409" t="s">
        <v>2496</v>
      </c>
      <c r="G2409" t="s">
        <v>52</v>
      </c>
      <c r="H2409" t="s">
        <v>32</v>
      </c>
      <c r="I2409" t="s">
        <v>390</v>
      </c>
      <c r="J2409" t="s">
        <v>45</v>
      </c>
      <c r="K2409" t="s">
        <v>35</v>
      </c>
      <c r="L2409" t="s">
        <v>175</v>
      </c>
      <c r="M2409" t="s">
        <v>69</v>
      </c>
      <c r="N2409">
        <v>0</v>
      </c>
      <c r="O2409">
        <v>0</v>
      </c>
      <c r="P2409">
        <v>1</v>
      </c>
      <c r="Q2409">
        <v>2</v>
      </c>
      <c r="R2409">
        <v>0</v>
      </c>
      <c r="S2409" t="str">
        <f t="shared" si="185"/>
        <v>PZ: Alta Crit.</v>
      </c>
      <c r="T2409">
        <f t="shared" si="186"/>
        <v>0</v>
      </c>
      <c r="U2409">
        <f t="shared" si="187"/>
        <v>0</v>
      </c>
      <c r="V2409">
        <f t="shared" si="188"/>
        <v>0</v>
      </c>
      <c r="W2409">
        <f t="shared" si="189"/>
        <v>1</v>
      </c>
      <c r="X2409">
        <v>1</v>
      </c>
      <c r="Y2409" s="2">
        <v>45768</v>
      </c>
      <c r="Z2409" s="3" t="s">
        <v>70</v>
      </c>
      <c r="AA2409" t="s">
        <v>39</v>
      </c>
      <c r="AB2409" t="s">
        <v>40</v>
      </c>
      <c r="AC2409" t="s">
        <v>40</v>
      </c>
      <c r="AD2409" t="s">
        <v>391</v>
      </c>
    </row>
    <row r="2410" spans="2:30">
      <c r="B2410">
        <v>0</v>
      </c>
      <c r="C2410">
        <v>1020</v>
      </c>
      <c r="D2410" t="s">
        <v>693</v>
      </c>
      <c r="E2410">
        <v>10294304</v>
      </c>
      <c r="F2410" t="s">
        <v>2497</v>
      </c>
      <c r="G2410" t="s">
        <v>52</v>
      </c>
      <c r="H2410" t="s">
        <v>60</v>
      </c>
      <c r="I2410" t="s">
        <v>695</v>
      </c>
      <c r="J2410" t="s">
        <v>45</v>
      </c>
      <c r="K2410" t="s">
        <v>35</v>
      </c>
      <c r="L2410" t="s">
        <v>175</v>
      </c>
      <c r="M2410" t="s">
        <v>69</v>
      </c>
      <c r="N2410">
        <v>0</v>
      </c>
      <c r="O2410">
        <v>0</v>
      </c>
      <c r="P2410">
        <v>0</v>
      </c>
      <c r="Q2410">
        <v>2</v>
      </c>
      <c r="R2410">
        <v>0</v>
      </c>
      <c r="S2410" t="str">
        <f t="shared" si="185"/>
        <v>PZ: Alta Crit.</v>
      </c>
      <c r="T2410">
        <f t="shared" si="186"/>
        <v>0</v>
      </c>
      <c r="U2410">
        <f t="shared" si="187"/>
        <v>0</v>
      </c>
      <c r="V2410">
        <f t="shared" si="188"/>
        <v>0</v>
      </c>
      <c r="W2410">
        <f t="shared" si="189"/>
        <v>1</v>
      </c>
      <c r="X2410">
        <v>1</v>
      </c>
      <c r="Y2410" s="2">
        <v>45768</v>
      </c>
      <c r="Z2410" s="3" t="s">
        <v>70</v>
      </c>
      <c r="AA2410" t="s">
        <v>39</v>
      </c>
      <c r="AB2410" t="s">
        <v>40</v>
      </c>
      <c r="AC2410" t="s">
        <v>40</v>
      </c>
      <c r="AD2410" t="s">
        <v>696</v>
      </c>
    </row>
    <row r="2411" spans="2:30">
      <c r="B2411">
        <v>0</v>
      </c>
      <c r="C2411">
        <v>1020</v>
      </c>
      <c r="D2411" t="s">
        <v>693</v>
      </c>
      <c r="E2411">
        <v>10294305</v>
      </c>
      <c r="F2411" t="s">
        <v>2498</v>
      </c>
      <c r="G2411" t="s">
        <v>52</v>
      </c>
      <c r="H2411" t="s">
        <v>32</v>
      </c>
      <c r="I2411" t="s">
        <v>695</v>
      </c>
      <c r="J2411" t="s">
        <v>45</v>
      </c>
      <c r="K2411" t="s">
        <v>35</v>
      </c>
      <c r="L2411" t="s">
        <v>175</v>
      </c>
      <c r="M2411" t="s">
        <v>69</v>
      </c>
      <c r="N2411">
        <v>0</v>
      </c>
      <c r="O2411">
        <v>0</v>
      </c>
      <c r="P2411">
        <v>0</v>
      </c>
      <c r="Q2411">
        <v>2</v>
      </c>
      <c r="R2411">
        <v>0</v>
      </c>
      <c r="S2411" t="str">
        <f t="shared" si="185"/>
        <v>PZ: Alta Crit.</v>
      </c>
      <c r="T2411">
        <f t="shared" si="186"/>
        <v>0</v>
      </c>
      <c r="U2411">
        <f t="shared" si="187"/>
        <v>0</v>
      </c>
      <c r="V2411">
        <f t="shared" si="188"/>
        <v>0</v>
      </c>
      <c r="W2411">
        <f t="shared" si="189"/>
        <v>1</v>
      </c>
      <c r="X2411">
        <v>1</v>
      </c>
      <c r="Y2411" s="2">
        <v>45768</v>
      </c>
      <c r="Z2411" s="3" t="s">
        <v>70</v>
      </c>
      <c r="AA2411" t="s">
        <v>39</v>
      </c>
      <c r="AB2411" t="s">
        <v>40</v>
      </c>
      <c r="AC2411" t="s">
        <v>40</v>
      </c>
      <c r="AD2411" t="s">
        <v>696</v>
      </c>
    </row>
    <row r="2412" spans="2:30">
      <c r="B2412">
        <v>0</v>
      </c>
      <c r="C2412">
        <v>1020</v>
      </c>
      <c r="D2412" t="s">
        <v>181</v>
      </c>
      <c r="E2412">
        <v>10295080</v>
      </c>
      <c r="F2412" t="s">
        <v>2499</v>
      </c>
      <c r="G2412" t="s">
        <v>43</v>
      </c>
      <c r="H2412" t="s">
        <v>60</v>
      </c>
      <c r="I2412" t="s">
        <v>183</v>
      </c>
      <c r="J2412" t="s">
        <v>45</v>
      </c>
      <c r="K2412" t="s">
        <v>35</v>
      </c>
      <c r="L2412" t="s">
        <v>36</v>
      </c>
      <c r="M2412" t="s">
        <v>117</v>
      </c>
      <c r="N2412">
        <v>1</v>
      </c>
      <c r="O2412">
        <v>1</v>
      </c>
      <c r="P2412">
        <v>0</v>
      </c>
      <c r="Q2412">
        <v>1</v>
      </c>
      <c r="R2412">
        <v>0</v>
      </c>
      <c r="S2412" t="str">
        <f t="shared" si="185"/>
        <v>PY: Media Crit.</v>
      </c>
      <c r="T2412">
        <f t="shared" si="186"/>
        <v>0</v>
      </c>
      <c r="U2412">
        <f t="shared" si="187"/>
        <v>0</v>
      </c>
      <c r="V2412">
        <f t="shared" si="188"/>
        <v>1</v>
      </c>
      <c r="W2412">
        <f t="shared" si="189"/>
        <v>0</v>
      </c>
      <c r="X2412">
        <v>1</v>
      </c>
      <c r="Y2412" s="2">
        <v>45768</v>
      </c>
      <c r="Z2412" s="3" t="s">
        <v>118</v>
      </c>
      <c r="AA2412" t="s">
        <v>39</v>
      </c>
      <c r="AB2412" t="s">
        <v>40</v>
      </c>
      <c r="AC2412" t="s">
        <v>40</v>
      </c>
      <c r="AD2412" t="s">
        <v>184</v>
      </c>
    </row>
    <row r="2413" spans="2:30">
      <c r="B2413">
        <v>0</v>
      </c>
      <c r="C2413">
        <v>1020</v>
      </c>
      <c r="D2413" t="s">
        <v>388</v>
      </c>
      <c r="E2413">
        <v>10295326</v>
      </c>
      <c r="F2413" t="s">
        <v>2500</v>
      </c>
      <c r="G2413" t="s">
        <v>52</v>
      </c>
      <c r="H2413" t="s">
        <v>32</v>
      </c>
      <c r="I2413" t="s">
        <v>390</v>
      </c>
      <c r="J2413" t="s">
        <v>45</v>
      </c>
      <c r="K2413" t="s">
        <v>35</v>
      </c>
      <c r="L2413" t="s">
        <v>175</v>
      </c>
      <c r="M2413" t="s">
        <v>37</v>
      </c>
      <c r="N2413">
        <v>0</v>
      </c>
      <c r="O2413">
        <v>0</v>
      </c>
      <c r="P2413">
        <v>1</v>
      </c>
      <c r="Q2413">
        <v>2</v>
      </c>
      <c r="R2413" s="4">
        <v>49678.29</v>
      </c>
      <c r="S2413" t="str">
        <f t="shared" si="185"/>
        <v>PZ: Alta Crit.</v>
      </c>
      <c r="T2413">
        <f t="shared" si="186"/>
        <v>0</v>
      </c>
      <c r="U2413">
        <f t="shared" si="187"/>
        <v>0</v>
      </c>
      <c r="V2413">
        <f t="shared" si="188"/>
        <v>0</v>
      </c>
      <c r="W2413">
        <f t="shared" si="189"/>
        <v>1</v>
      </c>
      <c r="X2413">
        <v>1</v>
      </c>
      <c r="Y2413" s="2">
        <v>45768</v>
      </c>
      <c r="Z2413" s="3" t="s">
        <v>38</v>
      </c>
      <c r="AA2413" t="s">
        <v>39</v>
      </c>
      <c r="AB2413" t="s">
        <v>40</v>
      </c>
      <c r="AC2413" t="s">
        <v>40</v>
      </c>
      <c r="AD2413" t="s">
        <v>391</v>
      </c>
    </row>
    <row r="2414" spans="2:30">
      <c r="B2414">
        <v>0</v>
      </c>
      <c r="C2414">
        <v>1020</v>
      </c>
      <c r="D2414" t="s">
        <v>384</v>
      </c>
      <c r="E2414">
        <v>10295494</v>
      </c>
      <c r="F2414" t="s">
        <v>2501</v>
      </c>
      <c r="G2414" t="s">
        <v>43</v>
      </c>
      <c r="H2414" t="s">
        <v>32</v>
      </c>
      <c r="I2414" t="s">
        <v>386</v>
      </c>
      <c r="J2414" t="s">
        <v>45</v>
      </c>
      <c r="K2414" t="s">
        <v>35</v>
      </c>
      <c r="L2414" t="s">
        <v>175</v>
      </c>
      <c r="M2414" t="s">
        <v>69</v>
      </c>
      <c r="N2414">
        <v>0</v>
      </c>
      <c r="O2414">
        <v>0</v>
      </c>
      <c r="P2414">
        <v>0</v>
      </c>
      <c r="Q2414">
        <v>2</v>
      </c>
      <c r="R2414">
        <v>0</v>
      </c>
      <c r="S2414" t="str">
        <f t="shared" si="185"/>
        <v>PY: Media Crit.</v>
      </c>
      <c r="T2414">
        <f t="shared" si="186"/>
        <v>0</v>
      </c>
      <c r="U2414">
        <f t="shared" si="187"/>
        <v>0</v>
      </c>
      <c r="V2414">
        <f t="shared" si="188"/>
        <v>0</v>
      </c>
      <c r="W2414">
        <f t="shared" si="189"/>
        <v>1</v>
      </c>
      <c r="X2414">
        <v>1</v>
      </c>
      <c r="Y2414" s="2">
        <v>45768</v>
      </c>
      <c r="Z2414" s="3" t="s">
        <v>70</v>
      </c>
      <c r="AA2414" t="s">
        <v>39</v>
      </c>
      <c r="AB2414" t="s">
        <v>40</v>
      </c>
      <c r="AC2414" t="s">
        <v>40</v>
      </c>
      <c r="AD2414" t="s">
        <v>387</v>
      </c>
    </row>
    <row r="2415" spans="2:30">
      <c r="B2415">
        <v>0</v>
      </c>
      <c r="C2415">
        <v>1020</v>
      </c>
      <c r="D2415" t="s">
        <v>181</v>
      </c>
      <c r="E2415">
        <v>10295503</v>
      </c>
      <c r="F2415" t="s">
        <v>2502</v>
      </c>
      <c r="G2415" t="s">
        <v>43</v>
      </c>
      <c r="H2415" t="s">
        <v>32</v>
      </c>
      <c r="I2415" t="s">
        <v>183</v>
      </c>
      <c r="J2415" t="s">
        <v>45</v>
      </c>
      <c r="K2415" t="s">
        <v>260</v>
      </c>
      <c r="L2415" t="s">
        <v>36</v>
      </c>
      <c r="M2415" t="s">
        <v>69</v>
      </c>
      <c r="N2415">
        <v>12</v>
      </c>
      <c r="O2415">
        <v>7</v>
      </c>
      <c r="P2415">
        <v>2</v>
      </c>
      <c r="Q2415">
        <v>12</v>
      </c>
      <c r="R2415">
        <v>0</v>
      </c>
      <c r="S2415" t="str">
        <f t="shared" si="185"/>
        <v>PY: Media Crit.</v>
      </c>
      <c r="T2415">
        <f t="shared" si="186"/>
        <v>0</v>
      </c>
      <c r="U2415">
        <f t="shared" si="187"/>
        <v>0</v>
      </c>
      <c r="V2415">
        <f t="shared" si="188"/>
        <v>1</v>
      </c>
      <c r="W2415">
        <f t="shared" si="189"/>
        <v>0</v>
      </c>
      <c r="X2415">
        <v>1</v>
      </c>
      <c r="Y2415" s="2">
        <v>45768</v>
      </c>
      <c r="Z2415" s="3" t="s">
        <v>70</v>
      </c>
      <c r="AA2415" t="s">
        <v>39</v>
      </c>
      <c r="AB2415" t="s">
        <v>40</v>
      </c>
      <c r="AC2415" t="s">
        <v>40</v>
      </c>
      <c r="AD2415" t="s">
        <v>184</v>
      </c>
    </row>
    <row r="2416" spans="2:30">
      <c r="B2416">
        <v>0</v>
      </c>
      <c r="C2416">
        <v>1020</v>
      </c>
      <c r="D2416" t="s">
        <v>693</v>
      </c>
      <c r="E2416">
        <v>10295566</v>
      </c>
      <c r="F2416" t="s">
        <v>2503</v>
      </c>
      <c r="G2416" t="s">
        <v>43</v>
      </c>
      <c r="H2416" t="s">
        <v>32</v>
      </c>
      <c r="I2416" t="s">
        <v>695</v>
      </c>
      <c r="J2416" t="s">
        <v>45</v>
      </c>
      <c r="K2416" t="s">
        <v>260</v>
      </c>
      <c r="L2416" t="s">
        <v>175</v>
      </c>
      <c r="M2416" t="s">
        <v>69</v>
      </c>
      <c r="N2416">
        <v>0</v>
      </c>
      <c r="O2416">
        <v>0</v>
      </c>
      <c r="P2416">
        <v>0</v>
      </c>
      <c r="Q2416">
        <v>4</v>
      </c>
      <c r="R2416">
        <v>0</v>
      </c>
      <c r="S2416" t="str">
        <f t="shared" si="185"/>
        <v>PY: Media Crit.</v>
      </c>
      <c r="T2416">
        <f t="shared" si="186"/>
        <v>0</v>
      </c>
      <c r="U2416">
        <f t="shared" si="187"/>
        <v>0</v>
      </c>
      <c r="V2416">
        <f t="shared" si="188"/>
        <v>0</v>
      </c>
      <c r="W2416">
        <f t="shared" si="189"/>
        <v>1</v>
      </c>
      <c r="X2416">
        <v>1</v>
      </c>
      <c r="Y2416" s="2">
        <v>45768</v>
      </c>
      <c r="Z2416" s="3" t="s">
        <v>70</v>
      </c>
      <c r="AA2416" t="s">
        <v>39</v>
      </c>
      <c r="AB2416" t="s">
        <v>40</v>
      </c>
      <c r="AC2416" t="s">
        <v>40</v>
      </c>
      <c r="AD2416" t="s">
        <v>696</v>
      </c>
    </row>
    <row r="2417" spans="2:30">
      <c r="B2417">
        <v>0</v>
      </c>
      <c r="C2417">
        <v>1020</v>
      </c>
      <c r="D2417" t="s">
        <v>693</v>
      </c>
      <c r="E2417">
        <v>10295691</v>
      </c>
      <c r="F2417" t="s">
        <v>2504</v>
      </c>
      <c r="G2417" t="s">
        <v>52</v>
      </c>
      <c r="H2417" t="s">
        <v>32</v>
      </c>
      <c r="I2417" t="s">
        <v>695</v>
      </c>
      <c r="J2417" t="s">
        <v>45</v>
      </c>
      <c r="K2417" t="s">
        <v>35</v>
      </c>
      <c r="L2417" t="s">
        <v>175</v>
      </c>
      <c r="M2417" t="s">
        <v>37</v>
      </c>
      <c r="N2417">
        <v>0</v>
      </c>
      <c r="O2417">
        <v>0</v>
      </c>
      <c r="P2417">
        <v>0</v>
      </c>
      <c r="Q2417">
        <v>0</v>
      </c>
      <c r="R2417">
        <v>0</v>
      </c>
      <c r="S2417" t="str">
        <f t="shared" si="185"/>
        <v>PZ: Alta Crit.</v>
      </c>
      <c r="T2417">
        <f t="shared" si="186"/>
        <v>1</v>
      </c>
      <c r="U2417">
        <f t="shared" si="187"/>
        <v>0</v>
      </c>
      <c r="V2417">
        <f t="shared" si="188"/>
        <v>0</v>
      </c>
      <c r="W2417">
        <f t="shared" si="189"/>
        <v>0</v>
      </c>
      <c r="X2417">
        <v>1</v>
      </c>
      <c r="Y2417" s="2">
        <v>45768</v>
      </c>
      <c r="Z2417" s="3" t="s">
        <v>38</v>
      </c>
      <c r="AA2417" t="s">
        <v>39</v>
      </c>
      <c r="AB2417" t="s">
        <v>49</v>
      </c>
      <c r="AC2417" s="5" t="s">
        <v>50</v>
      </c>
      <c r="AD2417" t="s">
        <v>696</v>
      </c>
    </row>
    <row r="2418" spans="2:30">
      <c r="B2418">
        <v>0</v>
      </c>
      <c r="C2418">
        <v>1020</v>
      </c>
      <c r="D2418" t="s">
        <v>693</v>
      </c>
      <c r="E2418">
        <v>10295699</v>
      </c>
      <c r="F2418" t="s">
        <v>2505</v>
      </c>
      <c r="G2418" t="s">
        <v>52</v>
      </c>
      <c r="H2418" t="s">
        <v>32</v>
      </c>
      <c r="I2418" t="s">
        <v>695</v>
      </c>
      <c r="J2418" t="s">
        <v>45</v>
      </c>
      <c r="K2418" t="s">
        <v>35</v>
      </c>
      <c r="L2418" t="s">
        <v>175</v>
      </c>
      <c r="M2418" t="s">
        <v>69</v>
      </c>
      <c r="N2418">
        <v>0</v>
      </c>
      <c r="O2418">
        <v>0</v>
      </c>
      <c r="P2418">
        <v>0</v>
      </c>
      <c r="Q2418">
        <v>1</v>
      </c>
      <c r="R2418">
        <v>0</v>
      </c>
      <c r="S2418" t="str">
        <f t="shared" si="185"/>
        <v>PZ: Alta Crit.</v>
      </c>
      <c r="T2418">
        <f t="shared" si="186"/>
        <v>0</v>
      </c>
      <c r="U2418">
        <f t="shared" si="187"/>
        <v>0</v>
      </c>
      <c r="V2418">
        <f t="shared" si="188"/>
        <v>0</v>
      </c>
      <c r="W2418">
        <f t="shared" si="189"/>
        <v>1</v>
      </c>
      <c r="X2418">
        <v>1</v>
      </c>
      <c r="Y2418" s="2">
        <v>45768</v>
      </c>
      <c r="Z2418" s="3" t="s">
        <v>70</v>
      </c>
      <c r="AA2418" t="s">
        <v>39</v>
      </c>
      <c r="AB2418" t="s">
        <v>40</v>
      </c>
      <c r="AC2418" t="s">
        <v>40</v>
      </c>
      <c r="AD2418" t="s">
        <v>696</v>
      </c>
    </row>
    <row r="2419" spans="2:30">
      <c r="B2419">
        <v>0</v>
      </c>
      <c r="C2419">
        <v>1020</v>
      </c>
      <c r="D2419" t="s">
        <v>388</v>
      </c>
      <c r="E2419">
        <v>10295747</v>
      </c>
      <c r="F2419" t="s">
        <v>2506</v>
      </c>
      <c r="G2419" t="s">
        <v>31</v>
      </c>
      <c r="H2419" t="s">
        <v>32</v>
      </c>
      <c r="I2419" t="s">
        <v>390</v>
      </c>
      <c r="J2419" t="s">
        <v>45</v>
      </c>
      <c r="K2419" t="s">
        <v>35</v>
      </c>
      <c r="L2419" t="s">
        <v>175</v>
      </c>
      <c r="M2419" t="s">
        <v>117</v>
      </c>
      <c r="N2419">
        <v>0</v>
      </c>
      <c r="O2419">
        <v>0</v>
      </c>
      <c r="P2419">
        <v>1</v>
      </c>
      <c r="Q2419">
        <v>1</v>
      </c>
      <c r="R2419">
        <v>0</v>
      </c>
      <c r="S2419" t="str">
        <f t="shared" si="185"/>
        <v>PX: Baja Crit.</v>
      </c>
      <c r="T2419">
        <f t="shared" si="186"/>
        <v>0</v>
      </c>
      <c r="U2419">
        <f t="shared" si="187"/>
        <v>1</v>
      </c>
      <c r="V2419">
        <f t="shared" si="188"/>
        <v>0</v>
      </c>
      <c r="W2419">
        <f t="shared" si="189"/>
        <v>1</v>
      </c>
      <c r="X2419">
        <v>1</v>
      </c>
      <c r="Y2419" s="2">
        <v>45768</v>
      </c>
      <c r="Z2419" s="3" t="s">
        <v>118</v>
      </c>
      <c r="AA2419" t="s">
        <v>39</v>
      </c>
      <c r="AB2419" t="s">
        <v>40</v>
      </c>
      <c r="AC2419" t="s">
        <v>40</v>
      </c>
      <c r="AD2419" t="s">
        <v>391</v>
      </c>
    </row>
    <row r="2420" spans="2:30">
      <c r="B2420">
        <v>0</v>
      </c>
      <c r="C2420">
        <v>1020</v>
      </c>
      <c r="D2420" t="s">
        <v>693</v>
      </c>
      <c r="E2420">
        <v>10295776</v>
      </c>
      <c r="F2420" t="s">
        <v>2507</v>
      </c>
      <c r="G2420" t="s">
        <v>52</v>
      </c>
      <c r="H2420" t="s">
        <v>32</v>
      </c>
      <c r="I2420" t="s">
        <v>695</v>
      </c>
      <c r="J2420" t="s">
        <v>45</v>
      </c>
      <c r="K2420" t="s">
        <v>35</v>
      </c>
      <c r="L2420" t="s">
        <v>175</v>
      </c>
      <c r="M2420" t="s">
        <v>46</v>
      </c>
      <c r="N2420">
        <v>0</v>
      </c>
      <c r="O2420">
        <v>0</v>
      </c>
      <c r="P2420">
        <v>0</v>
      </c>
      <c r="Q2420">
        <v>0</v>
      </c>
      <c r="R2420">
        <v>0</v>
      </c>
      <c r="S2420" t="str">
        <f t="shared" si="185"/>
        <v>PZ: Alta Crit.</v>
      </c>
      <c r="T2420">
        <f t="shared" si="186"/>
        <v>1</v>
      </c>
      <c r="U2420">
        <f t="shared" si="187"/>
        <v>0</v>
      </c>
      <c r="V2420">
        <f t="shared" si="188"/>
        <v>0</v>
      </c>
      <c r="W2420">
        <f t="shared" si="189"/>
        <v>0</v>
      </c>
      <c r="X2420">
        <v>1</v>
      </c>
      <c r="Y2420" s="2">
        <v>45768</v>
      </c>
      <c r="Z2420" s="3" t="s">
        <v>47</v>
      </c>
      <c r="AA2420" t="s">
        <v>39</v>
      </c>
      <c r="AB2420" t="s">
        <v>49</v>
      </c>
      <c r="AC2420" s="5" t="s">
        <v>50</v>
      </c>
      <c r="AD2420" t="s">
        <v>696</v>
      </c>
    </row>
    <row r="2421" spans="2:30">
      <c r="B2421">
        <v>0</v>
      </c>
      <c r="C2421">
        <v>1020</v>
      </c>
      <c r="D2421" t="s">
        <v>388</v>
      </c>
      <c r="E2421">
        <v>10295896</v>
      </c>
      <c r="F2421" t="s">
        <v>2508</v>
      </c>
      <c r="G2421" t="s">
        <v>43</v>
      </c>
      <c r="H2421" t="s">
        <v>32</v>
      </c>
      <c r="I2421" t="s">
        <v>390</v>
      </c>
      <c r="J2421" t="s">
        <v>45</v>
      </c>
      <c r="K2421" t="s">
        <v>35</v>
      </c>
      <c r="L2421" t="s">
        <v>175</v>
      </c>
      <c r="M2421" t="s">
        <v>55</v>
      </c>
      <c r="N2421">
        <v>0</v>
      </c>
      <c r="O2421">
        <v>0</v>
      </c>
      <c r="P2421">
        <v>2</v>
      </c>
      <c r="Q2421">
        <v>2</v>
      </c>
      <c r="R2421">
        <v>0</v>
      </c>
      <c r="S2421" t="str">
        <f t="shared" si="185"/>
        <v>PY: Media Crit.</v>
      </c>
      <c r="T2421">
        <f t="shared" si="186"/>
        <v>0</v>
      </c>
      <c r="U2421">
        <f t="shared" si="187"/>
        <v>1</v>
      </c>
      <c r="V2421">
        <f t="shared" si="188"/>
        <v>0</v>
      </c>
      <c r="W2421">
        <f t="shared" si="189"/>
        <v>1</v>
      </c>
      <c r="X2421">
        <v>1</v>
      </c>
      <c r="Y2421" s="2">
        <v>45768</v>
      </c>
      <c r="Z2421" s="3" t="s">
        <v>56</v>
      </c>
      <c r="AA2421" t="s">
        <v>39</v>
      </c>
      <c r="AB2421" t="s">
        <v>40</v>
      </c>
      <c r="AC2421" t="s">
        <v>40</v>
      </c>
      <c r="AD2421" t="s">
        <v>391</v>
      </c>
    </row>
    <row r="2422" spans="2:30">
      <c r="B2422">
        <v>0</v>
      </c>
      <c r="C2422">
        <v>1020</v>
      </c>
      <c r="D2422" t="s">
        <v>693</v>
      </c>
      <c r="E2422">
        <v>10295900</v>
      </c>
      <c r="F2422" t="s">
        <v>2509</v>
      </c>
      <c r="G2422" t="s">
        <v>43</v>
      </c>
      <c r="H2422" t="s">
        <v>32</v>
      </c>
      <c r="I2422" t="s">
        <v>695</v>
      </c>
      <c r="J2422" t="s">
        <v>45</v>
      </c>
      <c r="K2422" t="s">
        <v>35</v>
      </c>
      <c r="L2422" t="s">
        <v>175</v>
      </c>
      <c r="M2422" t="s">
        <v>55</v>
      </c>
      <c r="N2422">
        <v>0</v>
      </c>
      <c r="O2422">
        <v>0</v>
      </c>
      <c r="P2422">
        <v>0</v>
      </c>
      <c r="Q2422">
        <v>2</v>
      </c>
      <c r="R2422">
        <v>0</v>
      </c>
      <c r="S2422" t="str">
        <f t="shared" si="185"/>
        <v>PY: Media Crit.</v>
      </c>
      <c r="T2422">
        <f t="shared" si="186"/>
        <v>0</v>
      </c>
      <c r="U2422">
        <f t="shared" si="187"/>
        <v>0</v>
      </c>
      <c r="V2422">
        <f t="shared" si="188"/>
        <v>0</v>
      </c>
      <c r="W2422">
        <f t="shared" si="189"/>
        <v>1</v>
      </c>
      <c r="X2422">
        <v>1</v>
      </c>
      <c r="Y2422" s="2">
        <v>45768</v>
      </c>
      <c r="Z2422" s="3" t="s">
        <v>56</v>
      </c>
      <c r="AA2422" t="s">
        <v>39</v>
      </c>
      <c r="AB2422" t="s">
        <v>40</v>
      </c>
      <c r="AC2422" t="s">
        <v>40</v>
      </c>
      <c r="AD2422" t="s">
        <v>696</v>
      </c>
    </row>
    <row r="2423" spans="2:30">
      <c r="B2423">
        <v>0</v>
      </c>
      <c r="C2423">
        <v>1020</v>
      </c>
      <c r="D2423" t="s">
        <v>693</v>
      </c>
      <c r="E2423">
        <v>10295903</v>
      </c>
      <c r="F2423" t="s">
        <v>2510</v>
      </c>
      <c r="G2423" t="s">
        <v>43</v>
      </c>
      <c r="H2423" t="s">
        <v>32</v>
      </c>
      <c r="I2423" t="s">
        <v>695</v>
      </c>
      <c r="J2423" t="s">
        <v>45</v>
      </c>
      <c r="K2423" t="s">
        <v>35</v>
      </c>
      <c r="L2423" t="s">
        <v>175</v>
      </c>
      <c r="M2423" t="s">
        <v>55</v>
      </c>
      <c r="N2423">
        <v>0</v>
      </c>
      <c r="O2423">
        <v>0</v>
      </c>
      <c r="P2423">
        <v>0</v>
      </c>
      <c r="Q2423">
        <v>4</v>
      </c>
      <c r="R2423">
        <v>0</v>
      </c>
      <c r="S2423" t="str">
        <f t="shared" si="185"/>
        <v>PY: Media Crit.</v>
      </c>
      <c r="T2423">
        <f t="shared" si="186"/>
        <v>0</v>
      </c>
      <c r="U2423">
        <f t="shared" si="187"/>
        <v>0</v>
      </c>
      <c r="V2423">
        <f t="shared" si="188"/>
        <v>0</v>
      </c>
      <c r="W2423">
        <f t="shared" si="189"/>
        <v>1</v>
      </c>
      <c r="X2423">
        <v>1</v>
      </c>
      <c r="Y2423" s="2">
        <v>45768</v>
      </c>
      <c r="Z2423" s="3" t="s">
        <v>56</v>
      </c>
      <c r="AA2423" t="s">
        <v>39</v>
      </c>
      <c r="AB2423" t="s">
        <v>40</v>
      </c>
      <c r="AC2423" t="s">
        <v>40</v>
      </c>
      <c r="AD2423" t="s">
        <v>696</v>
      </c>
    </row>
    <row r="2424" spans="2:30">
      <c r="B2424">
        <v>0</v>
      </c>
      <c r="C2424">
        <v>1020</v>
      </c>
      <c r="D2424" t="s">
        <v>693</v>
      </c>
      <c r="E2424">
        <v>10295920</v>
      </c>
      <c r="F2424" t="s">
        <v>2511</v>
      </c>
      <c r="G2424" t="s">
        <v>52</v>
      </c>
      <c r="H2424" t="s">
        <v>32</v>
      </c>
      <c r="I2424" t="s">
        <v>695</v>
      </c>
      <c r="J2424" t="s">
        <v>45</v>
      </c>
      <c r="K2424" t="s">
        <v>35</v>
      </c>
      <c r="L2424" t="s">
        <v>175</v>
      </c>
      <c r="M2424" t="s">
        <v>46</v>
      </c>
      <c r="N2424">
        <v>0</v>
      </c>
      <c r="O2424">
        <v>0</v>
      </c>
      <c r="P2424">
        <v>0</v>
      </c>
      <c r="Q2424">
        <v>0</v>
      </c>
      <c r="R2424">
        <v>0</v>
      </c>
      <c r="S2424" t="str">
        <f t="shared" si="185"/>
        <v>PZ: Alta Crit.</v>
      </c>
      <c r="T2424">
        <f t="shared" si="186"/>
        <v>1</v>
      </c>
      <c r="U2424">
        <f t="shared" si="187"/>
        <v>0</v>
      </c>
      <c r="V2424">
        <f t="shared" si="188"/>
        <v>0</v>
      </c>
      <c r="W2424">
        <f t="shared" si="189"/>
        <v>0</v>
      </c>
      <c r="X2424">
        <v>1</v>
      </c>
      <c r="Y2424" s="2">
        <v>45768</v>
      </c>
      <c r="Z2424" s="3" t="s">
        <v>47</v>
      </c>
      <c r="AA2424" t="s">
        <v>39</v>
      </c>
      <c r="AB2424" t="s">
        <v>49</v>
      </c>
      <c r="AC2424" s="5" t="s">
        <v>50</v>
      </c>
      <c r="AD2424" t="s">
        <v>696</v>
      </c>
    </row>
    <row r="2425" spans="2:30">
      <c r="B2425">
        <v>0</v>
      </c>
      <c r="C2425">
        <v>1020</v>
      </c>
      <c r="D2425" t="s">
        <v>693</v>
      </c>
      <c r="E2425">
        <v>10295924</v>
      </c>
      <c r="F2425" t="s">
        <v>2512</v>
      </c>
      <c r="G2425" t="s">
        <v>52</v>
      </c>
      <c r="H2425" t="s">
        <v>32</v>
      </c>
      <c r="I2425" t="s">
        <v>695</v>
      </c>
      <c r="J2425" t="s">
        <v>45</v>
      </c>
      <c r="K2425" t="s">
        <v>35</v>
      </c>
      <c r="L2425" t="s">
        <v>175</v>
      </c>
      <c r="M2425" t="s">
        <v>55</v>
      </c>
      <c r="N2425">
        <v>0</v>
      </c>
      <c r="O2425">
        <v>0</v>
      </c>
      <c r="P2425">
        <v>0</v>
      </c>
      <c r="Q2425">
        <v>2</v>
      </c>
      <c r="R2425">
        <v>0</v>
      </c>
      <c r="S2425" t="str">
        <f t="shared" si="185"/>
        <v>PZ: Alta Crit.</v>
      </c>
      <c r="T2425">
        <f t="shared" si="186"/>
        <v>0</v>
      </c>
      <c r="U2425">
        <f t="shared" si="187"/>
        <v>0</v>
      </c>
      <c r="V2425">
        <f t="shared" si="188"/>
        <v>0</v>
      </c>
      <c r="W2425">
        <f t="shared" si="189"/>
        <v>1</v>
      </c>
      <c r="X2425">
        <v>1</v>
      </c>
      <c r="Y2425" s="2">
        <v>45768</v>
      </c>
      <c r="Z2425" s="3" t="s">
        <v>56</v>
      </c>
      <c r="AA2425" t="s">
        <v>39</v>
      </c>
      <c r="AB2425" t="s">
        <v>40</v>
      </c>
      <c r="AC2425" t="s">
        <v>40</v>
      </c>
      <c r="AD2425" t="s">
        <v>696</v>
      </c>
    </row>
    <row r="2426" spans="2:30">
      <c r="B2426">
        <v>0</v>
      </c>
      <c r="C2426">
        <v>1020</v>
      </c>
      <c r="D2426" t="s">
        <v>693</v>
      </c>
      <c r="E2426">
        <v>10295926</v>
      </c>
      <c r="F2426" t="s">
        <v>2513</v>
      </c>
      <c r="G2426" t="s">
        <v>52</v>
      </c>
      <c r="H2426" t="s">
        <v>32</v>
      </c>
      <c r="I2426" t="s">
        <v>695</v>
      </c>
      <c r="J2426" t="s">
        <v>45</v>
      </c>
      <c r="K2426" t="s">
        <v>35</v>
      </c>
      <c r="L2426" t="s">
        <v>175</v>
      </c>
      <c r="M2426" t="s">
        <v>46</v>
      </c>
      <c r="N2426">
        <v>0</v>
      </c>
      <c r="O2426">
        <v>0</v>
      </c>
      <c r="P2426">
        <v>0</v>
      </c>
      <c r="Q2426">
        <v>0</v>
      </c>
      <c r="R2426">
        <v>0</v>
      </c>
      <c r="S2426" t="str">
        <f t="shared" si="185"/>
        <v>PZ: Alta Crit.</v>
      </c>
      <c r="T2426">
        <f t="shared" si="186"/>
        <v>1</v>
      </c>
      <c r="U2426">
        <f t="shared" si="187"/>
        <v>0</v>
      </c>
      <c r="V2426">
        <f t="shared" si="188"/>
        <v>0</v>
      </c>
      <c r="W2426">
        <f t="shared" si="189"/>
        <v>0</v>
      </c>
      <c r="X2426">
        <v>1</v>
      </c>
      <c r="Y2426" s="2">
        <v>45768</v>
      </c>
      <c r="Z2426" s="3" t="s">
        <v>47</v>
      </c>
      <c r="AA2426" t="s">
        <v>39</v>
      </c>
      <c r="AB2426" t="s">
        <v>49</v>
      </c>
      <c r="AC2426" s="5" t="s">
        <v>50</v>
      </c>
      <c r="AD2426" t="s">
        <v>696</v>
      </c>
    </row>
    <row r="2427" spans="2:30">
      <c r="B2427">
        <v>0</v>
      </c>
      <c r="C2427">
        <v>1020</v>
      </c>
      <c r="D2427" t="s">
        <v>693</v>
      </c>
      <c r="E2427">
        <v>10295928</v>
      </c>
      <c r="F2427" t="s">
        <v>2514</v>
      </c>
      <c r="G2427" t="s">
        <v>52</v>
      </c>
      <c r="H2427" t="s">
        <v>32</v>
      </c>
      <c r="I2427" t="s">
        <v>695</v>
      </c>
      <c r="J2427" t="s">
        <v>45</v>
      </c>
      <c r="K2427" t="s">
        <v>35</v>
      </c>
      <c r="L2427" t="s">
        <v>175</v>
      </c>
      <c r="M2427" t="s">
        <v>46</v>
      </c>
      <c r="N2427">
        <v>0</v>
      </c>
      <c r="O2427">
        <v>0</v>
      </c>
      <c r="P2427">
        <v>0</v>
      </c>
      <c r="Q2427">
        <v>0</v>
      </c>
      <c r="R2427">
        <v>0</v>
      </c>
      <c r="S2427" t="str">
        <f t="shared" si="185"/>
        <v>PZ: Alta Crit.</v>
      </c>
      <c r="T2427">
        <f t="shared" si="186"/>
        <v>1</v>
      </c>
      <c r="U2427">
        <f t="shared" si="187"/>
        <v>0</v>
      </c>
      <c r="V2427">
        <f t="shared" si="188"/>
        <v>0</v>
      </c>
      <c r="W2427">
        <f t="shared" si="189"/>
        <v>0</v>
      </c>
      <c r="X2427">
        <v>1</v>
      </c>
      <c r="Y2427" s="2">
        <v>45768</v>
      </c>
      <c r="Z2427" s="3" t="s">
        <v>47</v>
      </c>
      <c r="AA2427" t="s">
        <v>39</v>
      </c>
      <c r="AB2427" t="s">
        <v>40</v>
      </c>
      <c r="AC2427" t="s">
        <v>40</v>
      </c>
      <c r="AD2427" t="s">
        <v>696</v>
      </c>
    </row>
    <row r="2428" spans="2:30">
      <c r="B2428">
        <v>0</v>
      </c>
      <c r="C2428">
        <v>1020</v>
      </c>
      <c r="D2428" t="s">
        <v>384</v>
      </c>
      <c r="E2428">
        <v>10296059</v>
      </c>
      <c r="F2428" t="s">
        <v>2515</v>
      </c>
      <c r="G2428" t="s">
        <v>43</v>
      </c>
      <c r="H2428" t="s">
        <v>32</v>
      </c>
      <c r="I2428" t="s">
        <v>386</v>
      </c>
      <c r="J2428" t="s">
        <v>45</v>
      </c>
      <c r="K2428" t="s">
        <v>35</v>
      </c>
      <c r="L2428" t="s">
        <v>175</v>
      </c>
      <c r="M2428" t="s">
        <v>117</v>
      </c>
      <c r="N2428">
        <v>0</v>
      </c>
      <c r="O2428">
        <v>0</v>
      </c>
      <c r="P2428">
        <v>0</v>
      </c>
      <c r="Q2428">
        <v>0</v>
      </c>
      <c r="R2428">
        <v>0</v>
      </c>
      <c r="S2428" t="str">
        <f t="shared" si="185"/>
        <v>PY: Media Crit.</v>
      </c>
      <c r="T2428">
        <f t="shared" si="186"/>
        <v>1</v>
      </c>
      <c r="U2428">
        <f t="shared" si="187"/>
        <v>0</v>
      </c>
      <c r="V2428">
        <f t="shared" si="188"/>
        <v>0</v>
      </c>
      <c r="W2428">
        <f t="shared" si="189"/>
        <v>0</v>
      </c>
      <c r="X2428">
        <v>1</v>
      </c>
      <c r="Y2428" s="2">
        <v>45768</v>
      </c>
      <c r="Z2428" s="3" t="s">
        <v>118</v>
      </c>
      <c r="AA2428" t="s">
        <v>39</v>
      </c>
      <c r="AB2428" t="s">
        <v>40</v>
      </c>
      <c r="AC2428" t="s">
        <v>40</v>
      </c>
      <c r="AD2428" t="s">
        <v>387</v>
      </c>
    </row>
    <row r="2429" spans="2:30">
      <c r="B2429">
        <v>0</v>
      </c>
      <c r="C2429">
        <v>1020</v>
      </c>
      <c r="D2429" t="s">
        <v>693</v>
      </c>
      <c r="E2429">
        <v>10296126</v>
      </c>
      <c r="F2429" t="s">
        <v>2516</v>
      </c>
      <c r="G2429" t="s">
        <v>52</v>
      </c>
      <c r="H2429" t="s">
        <v>32</v>
      </c>
      <c r="I2429" t="s">
        <v>695</v>
      </c>
      <c r="J2429" t="s">
        <v>45</v>
      </c>
      <c r="K2429" t="s">
        <v>35</v>
      </c>
      <c r="L2429" t="s">
        <v>175</v>
      </c>
      <c r="M2429" t="s">
        <v>46</v>
      </c>
      <c r="N2429">
        <v>0</v>
      </c>
      <c r="O2429">
        <v>0</v>
      </c>
      <c r="P2429">
        <v>0</v>
      </c>
      <c r="Q2429">
        <v>1</v>
      </c>
      <c r="R2429">
        <v>0</v>
      </c>
      <c r="S2429" t="str">
        <f t="shared" si="185"/>
        <v>PZ: Alta Crit.</v>
      </c>
      <c r="T2429">
        <f t="shared" si="186"/>
        <v>0</v>
      </c>
      <c r="U2429">
        <f t="shared" si="187"/>
        <v>0</v>
      </c>
      <c r="V2429">
        <f t="shared" si="188"/>
        <v>0</v>
      </c>
      <c r="W2429">
        <f t="shared" si="189"/>
        <v>1</v>
      </c>
      <c r="X2429">
        <v>1</v>
      </c>
      <c r="Y2429" s="2">
        <v>45768</v>
      </c>
      <c r="Z2429" s="3" t="s">
        <v>47</v>
      </c>
      <c r="AA2429" t="s">
        <v>39</v>
      </c>
      <c r="AB2429" t="s">
        <v>40</v>
      </c>
      <c r="AC2429" t="s">
        <v>40</v>
      </c>
      <c r="AD2429" t="s">
        <v>696</v>
      </c>
    </row>
    <row r="2430" spans="2:30">
      <c r="B2430">
        <v>0</v>
      </c>
      <c r="C2430">
        <v>1020</v>
      </c>
      <c r="D2430" t="s">
        <v>181</v>
      </c>
      <c r="E2430">
        <v>10296160</v>
      </c>
      <c r="F2430" t="s">
        <v>2517</v>
      </c>
      <c r="G2430" t="s">
        <v>43</v>
      </c>
      <c r="H2430" t="s">
        <v>60</v>
      </c>
      <c r="I2430" t="s">
        <v>183</v>
      </c>
      <c r="J2430" t="s">
        <v>45</v>
      </c>
      <c r="K2430" t="s">
        <v>35</v>
      </c>
      <c r="L2430" t="s">
        <v>36</v>
      </c>
      <c r="M2430" t="s">
        <v>117</v>
      </c>
      <c r="N2430">
        <v>6</v>
      </c>
      <c r="O2430">
        <v>4</v>
      </c>
      <c r="P2430">
        <v>0</v>
      </c>
      <c r="Q2430">
        <v>4</v>
      </c>
      <c r="R2430">
        <v>238.11</v>
      </c>
      <c r="S2430" t="str">
        <f t="shared" si="185"/>
        <v>PY: Media Crit.</v>
      </c>
      <c r="T2430">
        <f t="shared" si="186"/>
        <v>0</v>
      </c>
      <c r="U2430">
        <f t="shared" si="187"/>
        <v>0</v>
      </c>
      <c r="V2430">
        <f t="shared" si="188"/>
        <v>1</v>
      </c>
      <c r="W2430">
        <f t="shared" si="189"/>
        <v>0</v>
      </c>
      <c r="X2430">
        <v>1</v>
      </c>
      <c r="Y2430" s="2">
        <v>45768</v>
      </c>
      <c r="Z2430" s="3" t="s">
        <v>118</v>
      </c>
      <c r="AA2430" t="s">
        <v>39</v>
      </c>
      <c r="AB2430" t="s">
        <v>40</v>
      </c>
      <c r="AC2430" t="s">
        <v>40</v>
      </c>
      <c r="AD2430" t="s">
        <v>184</v>
      </c>
    </row>
    <row r="2431" spans="2:30">
      <c r="B2431">
        <v>0</v>
      </c>
      <c r="C2431">
        <v>1020</v>
      </c>
      <c r="D2431" t="s">
        <v>181</v>
      </c>
      <c r="E2431">
        <v>10296162</v>
      </c>
      <c r="F2431" t="s">
        <v>2518</v>
      </c>
      <c r="G2431" t="s">
        <v>43</v>
      </c>
      <c r="H2431" t="s">
        <v>60</v>
      </c>
      <c r="I2431" t="s">
        <v>183</v>
      </c>
      <c r="J2431" t="s">
        <v>45</v>
      </c>
      <c r="K2431" t="s">
        <v>35</v>
      </c>
      <c r="L2431" t="s">
        <v>36</v>
      </c>
      <c r="M2431" t="s">
        <v>117</v>
      </c>
      <c r="N2431">
        <v>6</v>
      </c>
      <c r="O2431">
        <v>4</v>
      </c>
      <c r="P2431">
        <v>0</v>
      </c>
      <c r="Q2431">
        <v>4</v>
      </c>
      <c r="R2431">
        <v>231.52</v>
      </c>
      <c r="S2431" t="str">
        <f t="shared" si="185"/>
        <v>PY: Media Crit.</v>
      </c>
      <c r="T2431">
        <f t="shared" si="186"/>
        <v>0</v>
      </c>
      <c r="U2431">
        <f t="shared" si="187"/>
        <v>0</v>
      </c>
      <c r="V2431">
        <f t="shared" si="188"/>
        <v>1</v>
      </c>
      <c r="W2431">
        <f t="shared" si="189"/>
        <v>0</v>
      </c>
      <c r="X2431">
        <v>1</v>
      </c>
      <c r="Y2431" s="2">
        <v>45768</v>
      </c>
      <c r="Z2431" s="3" t="s">
        <v>118</v>
      </c>
      <c r="AA2431" t="s">
        <v>39</v>
      </c>
      <c r="AB2431" t="s">
        <v>40</v>
      </c>
      <c r="AC2431" t="s">
        <v>40</v>
      </c>
      <c r="AD2431" t="s">
        <v>184</v>
      </c>
    </row>
    <row r="2432" spans="2:30">
      <c r="B2432">
        <v>0</v>
      </c>
      <c r="C2432">
        <v>1020</v>
      </c>
      <c r="D2432" t="s">
        <v>181</v>
      </c>
      <c r="E2432">
        <v>10296164</v>
      </c>
      <c r="F2432" t="s">
        <v>2519</v>
      </c>
      <c r="G2432" t="s">
        <v>43</v>
      </c>
      <c r="H2432" t="s">
        <v>60</v>
      </c>
      <c r="I2432" t="s">
        <v>183</v>
      </c>
      <c r="J2432" t="s">
        <v>45</v>
      </c>
      <c r="K2432" t="s">
        <v>35</v>
      </c>
      <c r="L2432" t="s">
        <v>36</v>
      </c>
      <c r="M2432" t="s">
        <v>117</v>
      </c>
      <c r="N2432">
        <v>6</v>
      </c>
      <c r="O2432">
        <v>4</v>
      </c>
      <c r="P2432">
        <v>0</v>
      </c>
      <c r="Q2432">
        <v>4</v>
      </c>
      <c r="R2432">
        <v>231.55</v>
      </c>
      <c r="S2432" t="str">
        <f t="shared" si="185"/>
        <v>PY: Media Crit.</v>
      </c>
      <c r="T2432">
        <f t="shared" si="186"/>
        <v>0</v>
      </c>
      <c r="U2432">
        <f t="shared" si="187"/>
        <v>0</v>
      </c>
      <c r="V2432">
        <f t="shared" si="188"/>
        <v>1</v>
      </c>
      <c r="W2432">
        <f t="shared" si="189"/>
        <v>0</v>
      </c>
      <c r="X2432">
        <v>1</v>
      </c>
      <c r="Y2432" s="2">
        <v>45768</v>
      </c>
      <c r="Z2432" s="3" t="s">
        <v>118</v>
      </c>
      <c r="AA2432" t="s">
        <v>39</v>
      </c>
      <c r="AB2432" t="s">
        <v>40</v>
      </c>
      <c r="AC2432" t="s">
        <v>40</v>
      </c>
      <c r="AD2432" t="s">
        <v>184</v>
      </c>
    </row>
    <row r="2433" spans="2:30">
      <c r="B2433">
        <v>0</v>
      </c>
      <c r="C2433">
        <v>1020</v>
      </c>
      <c r="D2433" t="s">
        <v>181</v>
      </c>
      <c r="E2433">
        <v>10296225</v>
      </c>
      <c r="F2433" t="s">
        <v>2520</v>
      </c>
      <c r="G2433" t="s">
        <v>43</v>
      </c>
      <c r="H2433" t="s">
        <v>32</v>
      </c>
      <c r="I2433" t="s">
        <v>183</v>
      </c>
      <c r="J2433" t="s">
        <v>45</v>
      </c>
      <c r="K2433" t="s">
        <v>35</v>
      </c>
      <c r="L2433" t="s">
        <v>36</v>
      </c>
      <c r="M2433" t="s">
        <v>88</v>
      </c>
      <c r="N2433">
        <v>20</v>
      </c>
      <c r="O2433">
        <v>19</v>
      </c>
      <c r="P2433">
        <v>0</v>
      </c>
      <c r="Q2433">
        <v>17</v>
      </c>
      <c r="R2433">
        <v>0</v>
      </c>
      <c r="S2433" t="str">
        <f t="shared" si="185"/>
        <v>PY: Media Crit.</v>
      </c>
      <c r="T2433">
        <f t="shared" si="186"/>
        <v>0</v>
      </c>
      <c r="U2433">
        <f t="shared" si="187"/>
        <v>0</v>
      </c>
      <c r="V2433">
        <f t="shared" si="188"/>
        <v>1</v>
      </c>
      <c r="W2433">
        <f t="shared" si="189"/>
        <v>0</v>
      </c>
      <c r="X2433">
        <v>1</v>
      </c>
      <c r="Y2433" s="2">
        <v>45768</v>
      </c>
      <c r="Z2433" s="3" t="s">
        <v>89</v>
      </c>
      <c r="AA2433" t="s">
        <v>39</v>
      </c>
      <c r="AB2433" t="s">
        <v>49</v>
      </c>
      <c r="AC2433" s="5" t="s">
        <v>50</v>
      </c>
      <c r="AD2433" t="s">
        <v>184</v>
      </c>
    </row>
    <row r="2434" spans="2:30">
      <c r="B2434">
        <v>0</v>
      </c>
      <c r="C2434">
        <v>1020</v>
      </c>
      <c r="D2434" t="s">
        <v>388</v>
      </c>
      <c r="E2434">
        <v>10296246</v>
      </c>
      <c r="F2434" t="s">
        <v>2521</v>
      </c>
      <c r="G2434" t="s">
        <v>43</v>
      </c>
      <c r="H2434" t="s">
        <v>32</v>
      </c>
      <c r="I2434" t="s">
        <v>390</v>
      </c>
      <c r="J2434" t="s">
        <v>45</v>
      </c>
      <c r="K2434" t="s">
        <v>35</v>
      </c>
      <c r="L2434" t="s">
        <v>175</v>
      </c>
      <c r="M2434" t="s">
        <v>69</v>
      </c>
      <c r="N2434">
        <v>0</v>
      </c>
      <c r="O2434">
        <v>0</v>
      </c>
      <c r="P2434">
        <v>2</v>
      </c>
      <c r="Q2434">
        <v>2</v>
      </c>
      <c r="R2434" s="4">
        <v>13452.77</v>
      </c>
      <c r="S2434" t="str">
        <f t="shared" ref="S2434:S2497" si="190">+IF(G2434="PZ", "PZ: Alta Crit.",IF(G2434="PY","PY: Media Crit.", "PX: Baja Crit."))</f>
        <v>PY: Media Crit.</v>
      </c>
      <c r="T2434">
        <f t="shared" ref="T2434:T2497" si="191">+IF(Q2434=0,1,0)</f>
        <v>0</v>
      </c>
      <c r="U2434">
        <f t="shared" ref="U2434:U2497" si="192">+IF(AND(Q2434&lt;=P2434,Q2434&gt;0),1,0)</f>
        <v>1</v>
      </c>
      <c r="V2434">
        <f t="shared" ref="V2434:V2497" si="193">+IF(AND(Q2434&gt;P2434,Q2434&lt;=N2434),1,0)</f>
        <v>0</v>
      </c>
      <c r="W2434">
        <f t="shared" ref="W2434:W2497" si="194">+IF(Q2434&gt;N2434,1,0)</f>
        <v>1</v>
      </c>
      <c r="X2434">
        <v>1</v>
      </c>
      <c r="Y2434" s="2">
        <v>45768</v>
      </c>
      <c r="Z2434" s="3" t="s">
        <v>70</v>
      </c>
      <c r="AA2434" t="s">
        <v>39</v>
      </c>
      <c r="AB2434" t="s">
        <v>40</v>
      </c>
      <c r="AC2434" t="s">
        <v>40</v>
      </c>
      <c r="AD2434" t="s">
        <v>391</v>
      </c>
    </row>
    <row r="2435" spans="2:30">
      <c r="B2435">
        <v>0</v>
      </c>
      <c r="C2435">
        <v>1020</v>
      </c>
      <c r="D2435" t="s">
        <v>388</v>
      </c>
      <c r="E2435">
        <v>10296249</v>
      </c>
      <c r="F2435" t="s">
        <v>2522</v>
      </c>
      <c r="G2435" t="s">
        <v>43</v>
      </c>
      <c r="H2435" t="s">
        <v>32</v>
      </c>
      <c r="I2435" t="s">
        <v>390</v>
      </c>
      <c r="J2435" t="s">
        <v>45</v>
      </c>
      <c r="K2435" t="s">
        <v>35</v>
      </c>
      <c r="L2435" t="s">
        <v>175</v>
      </c>
      <c r="M2435" t="s">
        <v>69</v>
      </c>
      <c r="N2435">
        <v>0</v>
      </c>
      <c r="O2435">
        <v>0</v>
      </c>
      <c r="P2435">
        <v>2</v>
      </c>
      <c r="Q2435">
        <v>2</v>
      </c>
      <c r="R2435" s="4">
        <v>1952.44</v>
      </c>
      <c r="S2435" t="str">
        <f t="shared" si="190"/>
        <v>PY: Media Crit.</v>
      </c>
      <c r="T2435">
        <f t="shared" si="191"/>
        <v>0</v>
      </c>
      <c r="U2435">
        <f t="shared" si="192"/>
        <v>1</v>
      </c>
      <c r="V2435">
        <f t="shared" si="193"/>
        <v>0</v>
      </c>
      <c r="W2435">
        <f t="shared" si="194"/>
        <v>1</v>
      </c>
      <c r="X2435">
        <v>1</v>
      </c>
      <c r="Y2435" s="2">
        <v>45768</v>
      </c>
      <c r="Z2435" s="3" t="s">
        <v>70</v>
      </c>
      <c r="AA2435" t="s">
        <v>39</v>
      </c>
      <c r="AB2435" t="s">
        <v>40</v>
      </c>
      <c r="AC2435" t="s">
        <v>40</v>
      </c>
      <c r="AD2435" t="s">
        <v>391</v>
      </c>
    </row>
    <row r="2436" spans="2:30">
      <c r="B2436">
        <v>0</v>
      </c>
      <c r="C2436">
        <v>1020</v>
      </c>
      <c r="D2436" t="s">
        <v>693</v>
      </c>
      <c r="E2436">
        <v>10296262</v>
      </c>
      <c r="F2436" t="s">
        <v>2523</v>
      </c>
      <c r="G2436" t="s">
        <v>43</v>
      </c>
      <c r="H2436" t="s">
        <v>32</v>
      </c>
      <c r="I2436" t="s">
        <v>695</v>
      </c>
      <c r="J2436" t="s">
        <v>45</v>
      </c>
      <c r="K2436" t="s">
        <v>35</v>
      </c>
      <c r="L2436" t="s">
        <v>175</v>
      </c>
      <c r="M2436" t="s">
        <v>88</v>
      </c>
      <c r="N2436">
        <v>0</v>
      </c>
      <c r="O2436">
        <v>0</v>
      </c>
      <c r="P2436">
        <v>0</v>
      </c>
      <c r="Q2436">
        <v>3</v>
      </c>
      <c r="R2436">
        <v>0</v>
      </c>
      <c r="S2436" t="str">
        <f t="shared" si="190"/>
        <v>PY: Media Crit.</v>
      </c>
      <c r="T2436">
        <f t="shared" si="191"/>
        <v>0</v>
      </c>
      <c r="U2436">
        <f t="shared" si="192"/>
        <v>0</v>
      </c>
      <c r="V2436">
        <f t="shared" si="193"/>
        <v>0</v>
      </c>
      <c r="W2436">
        <f t="shared" si="194"/>
        <v>1</v>
      </c>
      <c r="X2436">
        <v>1</v>
      </c>
      <c r="Y2436" s="2">
        <v>45768</v>
      </c>
      <c r="Z2436" s="3" t="s">
        <v>89</v>
      </c>
      <c r="AA2436" t="s">
        <v>39</v>
      </c>
      <c r="AB2436" t="s">
        <v>40</v>
      </c>
      <c r="AC2436" t="s">
        <v>40</v>
      </c>
      <c r="AD2436" t="s">
        <v>696</v>
      </c>
    </row>
    <row r="2437" spans="2:30">
      <c r="B2437">
        <v>0</v>
      </c>
      <c r="C2437">
        <v>1020</v>
      </c>
      <c r="D2437" t="s">
        <v>693</v>
      </c>
      <c r="E2437">
        <v>10296264</v>
      </c>
      <c r="F2437" t="s">
        <v>2524</v>
      </c>
      <c r="G2437" t="s">
        <v>43</v>
      </c>
      <c r="H2437" t="s">
        <v>32</v>
      </c>
      <c r="I2437" t="s">
        <v>695</v>
      </c>
      <c r="J2437" t="s">
        <v>45</v>
      </c>
      <c r="K2437" t="s">
        <v>35</v>
      </c>
      <c r="L2437" t="s">
        <v>175</v>
      </c>
      <c r="M2437" t="s">
        <v>88</v>
      </c>
      <c r="N2437">
        <v>0</v>
      </c>
      <c r="O2437">
        <v>0</v>
      </c>
      <c r="P2437">
        <v>0</v>
      </c>
      <c r="Q2437">
        <v>3</v>
      </c>
      <c r="R2437">
        <v>0</v>
      </c>
      <c r="S2437" t="str">
        <f t="shared" si="190"/>
        <v>PY: Media Crit.</v>
      </c>
      <c r="T2437">
        <f t="shared" si="191"/>
        <v>0</v>
      </c>
      <c r="U2437">
        <f t="shared" si="192"/>
        <v>0</v>
      </c>
      <c r="V2437">
        <f t="shared" si="193"/>
        <v>0</v>
      </c>
      <c r="W2437">
        <f t="shared" si="194"/>
        <v>1</v>
      </c>
      <c r="X2437">
        <v>1</v>
      </c>
      <c r="Y2437" s="2">
        <v>45768</v>
      </c>
      <c r="Z2437" s="3" t="s">
        <v>89</v>
      </c>
      <c r="AA2437" t="s">
        <v>39</v>
      </c>
      <c r="AB2437" t="s">
        <v>40</v>
      </c>
      <c r="AC2437" t="s">
        <v>40</v>
      </c>
      <c r="AD2437" t="s">
        <v>696</v>
      </c>
    </row>
    <row r="2438" spans="2:30">
      <c r="B2438">
        <v>0</v>
      </c>
      <c r="C2438">
        <v>1020</v>
      </c>
      <c r="D2438" t="s">
        <v>693</v>
      </c>
      <c r="E2438">
        <v>10296296</v>
      </c>
      <c r="F2438" t="s">
        <v>2525</v>
      </c>
      <c r="G2438" t="s">
        <v>52</v>
      </c>
      <c r="H2438" t="s">
        <v>32</v>
      </c>
      <c r="I2438" t="s">
        <v>695</v>
      </c>
      <c r="J2438" t="s">
        <v>45</v>
      </c>
      <c r="K2438" t="s">
        <v>35</v>
      </c>
      <c r="L2438" t="s">
        <v>175</v>
      </c>
      <c r="M2438" t="s">
        <v>117</v>
      </c>
      <c r="N2438">
        <v>0</v>
      </c>
      <c r="O2438">
        <v>0</v>
      </c>
      <c r="P2438">
        <v>0</v>
      </c>
      <c r="Q2438">
        <v>32</v>
      </c>
      <c r="R2438">
        <v>0</v>
      </c>
      <c r="S2438" t="str">
        <f t="shared" si="190"/>
        <v>PZ: Alta Crit.</v>
      </c>
      <c r="T2438">
        <f t="shared" si="191"/>
        <v>0</v>
      </c>
      <c r="U2438">
        <f t="shared" si="192"/>
        <v>0</v>
      </c>
      <c r="V2438">
        <f t="shared" si="193"/>
        <v>0</v>
      </c>
      <c r="W2438">
        <f t="shared" si="194"/>
        <v>1</v>
      </c>
      <c r="X2438">
        <v>1</v>
      </c>
      <c r="Y2438" s="2">
        <v>45768</v>
      </c>
      <c r="Z2438" s="3" t="s">
        <v>118</v>
      </c>
      <c r="AA2438" t="s">
        <v>39</v>
      </c>
      <c r="AB2438" t="s">
        <v>40</v>
      </c>
      <c r="AC2438" t="s">
        <v>40</v>
      </c>
      <c r="AD2438" t="s">
        <v>696</v>
      </c>
    </row>
    <row r="2439" spans="2:30">
      <c r="B2439">
        <v>0</v>
      </c>
      <c r="C2439">
        <v>1020</v>
      </c>
      <c r="D2439" t="s">
        <v>693</v>
      </c>
      <c r="E2439">
        <v>10296917</v>
      </c>
      <c r="F2439" t="s">
        <v>2526</v>
      </c>
      <c r="G2439" t="s">
        <v>52</v>
      </c>
      <c r="H2439" t="s">
        <v>32</v>
      </c>
      <c r="I2439" t="s">
        <v>695</v>
      </c>
      <c r="J2439" t="s">
        <v>45</v>
      </c>
      <c r="K2439" t="s">
        <v>35</v>
      </c>
      <c r="L2439" t="s">
        <v>175</v>
      </c>
      <c r="M2439" t="s">
        <v>69</v>
      </c>
      <c r="N2439">
        <v>0</v>
      </c>
      <c r="O2439">
        <v>0</v>
      </c>
      <c r="P2439">
        <v>0</v>
      </c>
      <c r="Q2439">
        <v>2</v>
      </c>
      <c r="R2439">
        <v>0</v>
      </c>
      <c r="S2439" t="str">
        <f t="shared" si="190"/>
        <v>PZ: Alta Crit.</v>
      </c>
      <c r="T2439">
        <f t="shared" si="191"/>
        <v>0</v>
      </c>
      <c r="U2439">
        <f t="shared" si="192"/>
        <v>0</v>
      </c>
      <c r="V2439">
        <f t="shared" si="193"/>
        <v>0</v>
      </c>
      <c r="W2439">
        <f t="shared" si="194"/>
        <v>1</v>
      </c>
      <c r="X2439">
        <v>1</v>
      </c>
      <c r="Y2439" s="2">
        <v>45768</v>
      </c>
      <c r="Z2439" s="3" t="s">
        <v>70</v>
      </c>
      <c r="AA2439" t="s">
        <v>39</v>
      </c>
      <c r="AB2439" t="s">
        <v>40</v>
      </c>
      <c r="AC2439" t="s">
        <v>40</v>
      </c>
      <c r="AD2439" t="s">
        <v>696</v>
      </c>
    </row>
    <row r="2440" spans="2:30">
      <c r="B2440">
        <v>0</v>
      </c>
      <c r="C2440">
        <v>1020</v>
      </c>
      <c r="D2440" t="s">
        <v>388</v>
      </c>
      <c r="E2440">
        <v>10296958</v>
      </c>
      <c r="F2440" t="s">
        <v>2527</v>
      </c>
      <c r="G2440" t="s">
        <v>52</v>
      </c>
      <c r="H2440" t="s">
        <v>32</v>
      </c>
      <c r="I2440" t="s">
        <v>390</v>
      </c>
      <c r="J2440" t="s">
        <v>45</v>
      </c>
      <c r="K2440" t="s">
        <v>35</v>
      </c>
      <c r="L2440" t="s">
        <v>175</v>
      </c>
      <c r="M2440" t="s">
        <v>37</v>
      </c>
      <c r="N2440">
        <v>0</v>
      </c>
      <c r="O2440">
        <v>0</v>
      </c>
      <c r="P2440">
        <v>1</v>
      </c>
      <c r="Q2440">
        <v>1</v>
      </c>
      <c r="R2440">
        <v>0</v>
      </c>
      <c r="S2440" t="str">
        <f t="shared" si="190"/>
        <v>PZ: Alta Crit.</v>
      </c>
      <c r="T2440">
        <f t="shared" si="191"/>
        <v>0</v>
      </c>
      <c r="U2440">
        <f t="shared" si="192"/>
        <v>1</v>
      </c>
      <c r="V2440">
        <f t="shared" si="193"/>
        <v>0</v>
      </c>
      <c r="W2440">
        <f t="shared" si="194"/>
        <v>1</v>
      </c>
      <c r="X2440">
        <v>1</v>
      </c>
      <c r="Y2440" s="2">
        <v>45768</v>
      </c>
      <c r="Z2440" s="3" t="s">
        <v>38</v>
      </c>
      <c r="AA2440" t="s">
        <v>39</v>
      </c>
      <c r="AB2440" t="s">
        <v>40</v>
      </c>
      <c r="AC2440" t="s">
        <v>40</v>
      </c>
      <c r="AD2440" t="s">
        <v>391</v>
      </c>
    </row>
    <row r="2441" spans="2:30">
      <c r="B2441">
        <v>0</v>
      </c>
      <c r="C2441">
        <v>1020</v>
      </c>
      <c r="D2441" t="s">
        <v>693</v>
      </c>
      <c r="E2441">
        <v>10296960</v>
      </c>
      <c r="F2441" t="s">
        <v>2528</v>
      </c>
      <c r="G2441" t="s">
        <v>43</v>
      </c>
      <c r="H2441" t="s">
        <v>32</v>
      </c>
      <c r="I2441" t="s">
        <v>695</v>
      </c>
      <c r="J2441" t="s">
        <v>45</v>
      </c>
      <c r="K2441" t="s">
        <v>35</v>
      </c>
      <c r="L2441" t="s">
        <v>175</v>
      </c>
      <c r="M2441" t="s">
        <v>46</v>
      </c>
      <c r="N2441">
        <v>0</v>
      </c>
      <c r="O2441">
        <v>0</v>
      </c>
      <c r="P2441">
        <v>0</v>
      </c>
      <c r="Q2441">
        <v>10</v>
      </c>
      <c r="R2441">
        <v>0</v>
      </c>
      <c r="S2441" t="str">
        <f t="shared" si="190"/>
        <v>PY: Media Crit.</v>
      </c>
      <c r="T2441">
        <f t="shared" si="191"/>
        <v>0</v>
      </c>
      <c r="U2441">
        <f t="shared" si="192"/>
        <v>0</v>
      </c>
      <c r="V2441">
        <f t="shared" si="193"/>
        <v>0</v>
      </c>
      <c r="W2441">
        <f t="shared" si="194"/>
        <v>1</v>
      </c>
      <c r="X2441">
        <v>1</v>
      </c>
      <c r="Y2441" s="2">
        <v>45768</v>
      </c>
      <c r="Z2441" s="3" t="s">
        <v>47</v>
      </c>
      <c r="AA2441" t="s">
        <v>39</v>
      </c>
      <c r="AB2441" t="s">
        <v>40</v>
      </c>
      <c r="AC2441" t="s">
        <v>40</v>
      </c>
      <c r="AD2441" t="s">
        <v>696</v>
      </c>
    </row>
    <row r="2442" spans="2:30">
      <c r="B2442">
        <v>0</v>
      </c>
      <c r="C2442">
        <v>1020</v>
      </c>
      <c r="D2442" t="s">
        <v>693</v>
      </c>
      <c r="E2442">
        <v>10296965</v>
      </c>
      <c r="F2442" t="s">
        <v>2529</v>
      </c>
      <c r="G2442" t="s">
        <v>52</v>
      </c>
      <c r="H2442" t="s">
        <v>32</v>
      </c>
      <c r="I2442" t="s">
        <v>695</v>
      </c>
      <c r="J2442" t="s">
        <v>45</v>
      </c>
      <c r="K2442" t="s">
        <v>35</v>
      </c>
      <c r="L2442" t="s">
        <v>175</v>
      </c>
      <c r="M2442" t="s">
        <v>37</v>
      </c>
      <c r="N2442">
        <v>0</v>
      </c>
      <c r="O2442">
        <v>0</v>
      </c>
      <c r="P2442">
        <v>0</v>
      </c>
      <c r="Q2442" s="8">
        <v>1000</v>
      </c>
      <c r="R2442">
        <v>0</v>
      </c>
      <c r="S2442" t="str">
        <f t="shared" si="190"/>
        <v>PZ: Alta Crit.</v>
      </c>
      <c r="T2442">
        <f t="shared" si="191"/>
        <v>0</v>
      </c>
      <c r="U2442">
        <f t="shared" si="192"/>
        <v>0</v>
      </c>
      <c r="V2442">
        <f t="shared" si="193"/>
        <v>0</v>
      </c>
      <c r="W2442">
        <f t="shared" si="194"/>
        <v>1</v>
      </c>
      <c r="X2442">
        <v>1</v>
      </c>
      <c r="Y2442" s="2">
        <v>45768</v>
      </c>
      <c r="Z2442" s="3" t="s">
        <v>38</v>
      </c>
      <c r="AA2442" t="s">
        <v>39</v>
      </c>
      <c r="AB2442" t="s">
        <v>40</v>
      </c>
      <c r="AC2442" t="s">
        <v>40</v>
      </c>
      <c r="AD2442" t="s">
        <v>696</v>
      </c>
    </row>
    <row r="2443" spans="2:30">
      <c r="B2443">
        <v>0</v>
      </c>
      <c r="C2443">
        <v>1020</v>
      </c>
      <c r="D2443" t="s">
        <v>693</v>
      </c>
      <c r="E2443">
        <v>10296966</v>
      </c>
      <c r="F2443" t="s">
        <v>2530</v>
      </c>
      <c r="G2443" t="s">
        <v>52</v>
      </c>
      <c r="H2443" t="s">
        <v>32</v>
      </c>
      <c r="I2443" t="s">
        <v>695</v>
      </c>
      <c r="J2443" t="s">
        <v>45</v>
      </c>
      <c r="K2443" t="s">
        <v>35</v>
      </c>
      <c r="L2443" t="s">
        <v>175</v>
      </c>
      <c r="M2443" t="s">
        <v>88</v>
      </c>
      <c r="N2443">
        <v>0</v>
      </c>
      <c r="O2443">
        <v>0</v>
      </c>
      <c r="P2443">
        <v>0</v>
      </c>
      <c r="Q2443">
        <v>100</v>
      </c>
      <c r="R2443">
        <v>0</v>
      </c>
      <c r="S2443" t="str">
        <f t="shared" si="190"/>
        <v>PZ: Alta Crit.</v>
      </c>
      <c r="T2443">
        <f t="shared" si="191"/>
        <v>0</v>
      </c>
      <c r="U2443">
        <f t="shared" si="192"/>
        <v>0</v>
      </c>
      <c r="V2443">
        <f t="shared" si="193"/>
        <v>0</v>
      </c>
      <c r="W2443">
        <f t="shared" si="194"/>
        <v>1</v>
      </c>
      <c r="X2443">
        <v>1</v>
      </c>
      <c r="Y2443" s="2">
        <v>45768</v>
      </c>
      <c r="Z2443" s="3" t="s">
        <v>89</v>
      </c>
      <c r="AA2443" t="s">
        <v>39</v>
      </c>
      <c r="AB2443" t="s">
        <v>40</v>
      </c>
      <c r="AC2443" t="s">
        <v>40</v>
      </c>
      <c r="AD2443" t="s">
        <v>696</v>
      </c>
    </row>
    <row r="2444" spans="2:30">
      <c r="B2444">
        <v>0</v>
      </c>
      <c r="C2444">
        <v>1020</v>
      </c>
      <c r="D2444" t="s">
        <v>388</v>
      </c>
      <c r="E2444">
        <v>10296973</v>
      </c>
      <c r="F2444" t="s">
        <v>2531</v>
      </c>
      <c r="G2444" t="s">
        <v>52</v>
      </c>
      <c r="H2444" t="s">
        <v>32</v>
      </c>
      <c r="I2444" t="s">
        <v>390</v>
      </c>
      <c r="J2444" t="s">
        <v>45</v>
      </c>
      <c r="K2444" t="s">
        <v>35</v>
      </c>
      <c r="L2444" t="s">
        <v>175</v>
      </c>
      <c r="M2444" t="s">
        <v>55</v>
      </c>
      <c r="N2444">
        <v>0</v>
      </c>
      <c r="O2444">
        <v>0</v>
      </c>
      <c r="P2444">
        <v>1</v>
      </c>
      <c r="Q2444">
        <v>2</v>
      </c>
      <c r="R2444">
        <v>0</v>
      </c>
      <c r="S2444" t="str">
        <f t="shared" si="190"/>
        <v>PZ: Alta Crit.</v>
      </c>
      <c r="T2444">
        <f t="shared" si="191"/>
        <v>0</v>
      </c>
      <c r="U2444">
        <f t="shared" si="192"/>
        <v>0</v>
      </c>
      <c r="V2444">
        <f t="shared" si="193"/>
        <v>0</v>
      </c>
      <c r="W2444">
        <f t="shared" si="194"/>
        <v>1</v>
      </c>
      <c r="X2444">
        <v>1</v>
      </c>
      <c r="Y2444" s="2">
        <v>45768</v>
      </c>
      <c r="Z2444" s="3" t="s">
        <v>56</v>
      </c>
      <c r="AA2444" t="s">
        <v>39</v>
      </c>
      <c r="AB2444" t="s">
        <v>40</v>
      </c>
      <c r="AC2444" t="s">
        <v>40</v>
      </c>
      <c r="AD2444" t="s">
        <v>391</v>
      </c>
    </row>
    <row r="2445" spans="2:30">
      <c r="B2445">
        <v>0</v>
      </c>
      <c r="C2445">
        <v>1020</v>
      </c>
      <c r="D2445" t="s">
        <v>388</v>
      </c>
      <c r="E2445">
        <v>10296974</v>
      </c>
      <c r="F2445" t="s">
        <v>2532</v>
      </c>
      <c r="G2445" t="s">
        <v>52</v>
      </c>
      <c r="H2445" t="s">
        <v>32</v>
      </c>
      <c r="I2445" t="s">
        <v>390</v>
      </c>
      <c r="J2445" t="s">
        <v>45</v>
      </c>
      <c r="K2445" t="s">
        <v>35</v>
      </c>
      <c r="L2445" t="s">
        <v>175</v>
      </c>
      <c r="M2445" t="s">
        <v>117</v>
      </c>
      <c r="N2445">
        <v>0</v>
      </c>
      <c r="O2445">
        <v>0</v>
      </c>
      <c r="P2445">
        <v>1</v>
      </c>
      <c r="Q2445">
        <v>1</v>
      </c>
      <c r="R2445">
        <v>0</v>
      </c>
      <c r="S2445" t="str">
        <f t="shared" si="190"/>
        <v>PZ: Alta Crit.</v>
      </c>
      <c r="T2445">
        <f t="shared" si="191"/>
        <v>0</v>
      </c>
      <c r="U2445">
        <f t="shared" si="192"/>
        <v>1</v>
      </c>
      <c r="V2445">
        <f t="shared" si="193"/>
        <v>0</v>
      </c>
      <c r="W2445">
        <f t="shared" si="194"/>
        <v>1</v>
      </c>
      <c r="X2445">
        <v>1</v>
      </c>
      <c r="Y2445" s="2">
        <v>45768</v>
      </c>
      <c r="Z2445" s="3" t="s">
        <v>118</v>
      </c>
      <c r="AA2445" t="s">
        <v>39</v>
      </c>
      <c r="AB2445" t="s">
        <v>40</v>
      </c>
      <c r="AC2445" t="s">
        <v>40</v>
      </c>
      <c r="AD2445" t="s">
        <v>391</v>
      </c>
    </row>
    <row r="2446" spans="2:30">
      <c r="B2446">
        <v>0</v>
      </c>
      <c r="C2446">
        <v>1020</v>
      </c>
      <c r="D2446" t="s">
        <v>388</v>
      </c>
      <c r="E2446">
        <v>10296979</v>
      </c>
      <c r="F2446" t="s">
        <v>2533</v>
      </c>
      <c r="G2446" t="s">
        <v>52</v>
      </c>
      <c r="H2446" t="s">
        <v>32</v>
      </c>
      <c r="I2446" t="s">
        <v>390</v>
      </c>
      <c r="J2446" t="s">
        <v>45</v>
      </c>
      <c r="K2446" t="s">
        <v>260</v>
      </c>
      <c r="L2446" t="s">
        <v>175</v>
      </c>
      <c r="M2446" t="s">
        <v>46</v>
      </c>
      <c r="N2446">
        <v>0</v>
      </c>
      <c r="O2446">
        <v>0</v>
      </c>
      <c r="P2446">
        <v>1</v>
      </c>
      <c r="Q2446">
        <v>1</v>
      </c>
      <c r="R2446" s="4">
        <v>95859.4</v>
      </c>
      <c r="S2446" t="str">
        <f t="shared" si="190"/>
        <v>PZ: Alta Crit.</v>
      </c>
      <c r="T2446">
        <f t="shared" si="191"/>
        <v>0</v>
      </c>
      <c r="U2446">
        <f t="shared" si="192"/>
        <v>1</v>
      </c>
      <c r="V2446">
        <f t="shared" si="193"/>
        <v>0</v>
      </c>
      <c r="W2446">
        <f t="shared" si="194"/>
        <v>1</v>
      </c>
      <c r="X2446">
        <v>1</v>
      </c>
      <c r="Y2446" s="2">
        <v>45768</v>
      </c>
      <c r="Z2446" s="3" t="s">
        <v>47</v>
      </c>
      <c r="AA2446" t="s">
        <v>39</v>
      </c>
      <c r="AB2446" t="s">
        <v>40</v>
      </c>
      <c r="AC2446" t="s">
        <v>40</v>
      </c>
      <c r="AD2446" t="s">
        <v>391</v>
      </c>
    </row>
    <row r="2447" spans="2:30">
      <c r="B2447">
        <v>0</v>
      </c>
      <c r="C2447">
        <v>1020</v>
      </c>
      <c r="D2447" t="s">
        <v>384</v>
      </c>
      <c r="E2447">
        <v>10296982</v>
      </c>
      <c r="F2447" t="s">
        <v>2534</v>
      </c>
      <c r="G2447" t="s">
        <v>52</v>
      </c>
      <c r="H2447" t="s">
        <v>32</v>
      </c>
      <c r="I2447" t="s">
        <v>386</v>
      </c>
      <c r="J2447" t="s">
        <v>45</v>
      </c>
      <c r="K2447" t="s">
        <v>35</v>
      </c>
      <c r="L2447" t="s">
        <v>175</v>
      </c>
      <c r="M2447" t="s">
        <v>37</v>
      </c>
      <c r="N2447">
        <v>0</v>
      </c>
      <c r="O2447">
        <v>0</v>
      </c>
      <c r="P2447">
        <v>0</v>
      </c>
      <c r="Q2447">
        <v>1</v>
      </c>
      <c r="R2447">
        <v>0</v>
      </c>
      <c r="S2447" t="str">
        <f t="shared" si="190"/>
        <v>PZ: Alta Crit.</v>
      </c>
      <c r="T2447">
        <f t="shared" si="191"/>
        <v>0</v>
      </c>
      <c r="U2447">
        <f t="shared" si="192"/>
        <v>0</v>
      </c>
      <c r="V2447">
        <f t="shared" si="193"/>
        <v>0</v>
      </c>
      <c r="W2447">
        <f t="shared" si="194"/>
        <v>1</v>
      </c>
      <c r="X2447">
        <v>1</v>
      </c>
      <c r="Y2447" s="2">
        <v>45768</v>
      </c>
      <c r="Z2447" s="3" t="s">
        <v>38</v>
      </c>
      <c r="AA2447" t="s">
        <v>39</v>
      </c>
      <c r="AB2447" t="s">
        <v>40</v>
      </c>
      <c r="AC2447" t="s">
        <v>40</v>
      </c>
      <c r="AD2447" t="s">
        <v>387</v>
      </c>
    </row>
    <row r="2448" spans="2:30">
      <c r="B2448">
        <v>0</v>
      </c>
      <c r="C2448">
        <v>1020</v>
      </c>
      <c r="D2448" t="s">
        <v>384</v>
      </c>
      <c r="E2448">
        <v>10296984</v>
      </c>
      <c r="F2448" t="s">
        <v>2535</v>
      </c>
      <c r="G2448" t="s">
        <v>52</v>
      </c>
      <c r="H2448" t="s">
        <v>32</v>
      </c>
      <c r="I2448" t="s">
        <v>386</v>
      </c>
      <c r="J2448" t="s">
        <v>45</v>
      </c>
      <c r="K2448" t="s">
        <v>260</v>
      </c>
      <c r="L2448" t="s">
        <v>175</v>
      </c>
      <c r="M2448" t="s">
        <v>37</v>
      </c>
      <c r="N2448">
        <v>0</v>
      </c>
      <c r="O2448">
        <v>0</v>
      </c>
      <c r="P2448">
        <v>0</v>
      </c>
      <c r="Q2448">
        <v>1</v>
      </c>
      <c r="R2448">
        <v>0</v>
      </c>
      <c r="S2448" t="str">
        <f t="shared" si="190"/>
        <v>PZ: Alta Crit.</v>
      </c>
      <c r="T2448">
        <f t="shared" si="191"/>
        <v>0</v>
      </c>
      <c r="U2448">
        <f t="shared" si="192"/>
        <v>0</v>
      </c>
      <c r="V2448">
        <f t="shared" si="193"/>
        <v>0</v>
      </c>
      <c r="W2448">
        <f t="shared" si="194"/>
        <v>1</v>
      </c>
      <c r="X2448">
        <v>1</v>
      </c>
      <c r="Y2448" s="2">
        <v>45768</v>
      </c>
      <c r="Z2448" s="3" t="s">
        <v>38</v>
      </c>
      <c r="AA2448" t="s">
        <v>39</v>
      </c>
      <c r="AB2448" t="s">
        <v>40</v>
      </c>
      <c r="AC2448" t="s">
        <v>40</v>
      </c>
      <c r="AD2448" t="s">
        <v>387</v>
      </c>
    </row>
    <row r="2449" spans="2:30">
      <c r="B2449">
        <v>0</v>
      </c>
      <c r="C2449">
        <v>1020</v>
      </c>
      <c r="D2449" t="s">
        <v>384</v>
      </c>
      <c r="E2449">
        <v>10297091</v>
      </c>
      <c r="F2449" t="s">
        <v>2536</v>
      </c>
      <c r="G2449" t="s">
        <v>52</v>
      </c>
      <c r="H2449" t="s">
        <v>32</v>
      </c>
      <c r="I2449" t="s">
        <v>386</v>
      </c>
      <c r="J2449" t="s">
        <v>45</v>
      </c>
      <c r="K2449" t="s">
        <v>35</v>
      </c>
      <c r="L2449" t="s">
        <v>175</v>
      </c>
      <c r="M2449" t="s">
        <v>46</v>
      </c>
      <c r="N2449">
        <v>0</v>
      </c>
      <c r="O2449">
        <v>0</v>
      </c>
      <c r="P2449">
        <v>0</v>
      </c>
      <c r="Q2449">
        <v>10</v>
      </c>
      <c r="R2449">
        <v>0</v>
      </c>
      <c r="S2449" t="str">
        <f t="shared" si="190"/>
        <v>PZ: Alta Crit.</v>
      </c>
      <c r="T2449">
        <f t="shared" si="191"/>
        <v>0</v>
      </c>
      <c r="U2449">
        <f t="shared" si="192"/>
        <v>0</v>
      </c>
      <c r="V2449">
        <f t="shared" si="193"/>
        <v>0</v>
      </c>
      <c r="W2449">
        <f t="shared" si="194"/>
        <v>1</v>
      </c>
      <c r="X2449">
        <v>1</v>
      </c>
      <c r="Y2449" s="2">
        <v>45768</v>
      </c>
      <c r="Z2449" s="3" t="s">
        <v>47</v>
      </c>
      <c r="AA2449" t="s">
        <v>39</v>
      </c>
      <c r="AB2449" t="s">
        <v>40</v>
      </c>
      <c r="AC2449" t="s">
        <v>40</v>
      </c>
      <c r="AD2449" t="s">
        <v>387</v>
      </c>
    </row>
    <row r="2450" spans="2:30">
      <c r="B2450">
        <v>0</v>
      </c>
      <c r="C2450">
        <v>1020</v>
      </c>
      <c r="D2450" t="s">
        <v>693</v>
      </c>
      <c r="E2450">
        <v>10297127</v>
      </c>
      <c r="F2450" t="s">
        <v>2537</v>
      </c>
      <c r="G2450" t="s">
        <v>31</v>
      </c>
      <c r="H2450" t="s">
        <v>32</v>
      </c>
      <c r="I2450" t="s">
        <v>695</v>
      </c>
      <c r="J2450" t="s">
        <v>45</v>
      </c>
      <c r="K2450" t="s">
        <v>35</v>
      </c>
      <c r="L2450" t="s">
        <v>175</v>
      </c>
      <c r="M2450" t="s">
        <v>69</v>
      </c>
      <c r="N2450">
        <v>0</v>
      </c>
      <c r="O2450">
        <v>0</v>
      </c>
      <c r="P2450">
        <v>0</v>
      </c>
      <c r="Q2450">
        <v>1</v>
      </c>
      <c r="R2450">
        <v>0</v>
      </c>
      <c r="S2450" t="str">
        <f t="shared" si="190"/>
        <v>PX: Baja Crit.</v>
      </c>
      <c r="T2450">
        <f t="shared" si="191"/>
        <v>0</v>
      </c>
      <c r="U2450">
        <f t="shared" si="192"/>
        <v>0</v>
      </c>
      <c r="V2450">
        <f t="shared" si="193"/>
        <v>0</v>
      </c>
      <c r="W2450">
        <f t="shared" si="194"/>
        <v>1</v>
      </c>
      <c r="X2450">
        <v>1</v>
      </c>
      <c r="Y2450" s="2">
        <v>45768</v>
      </c>
      <c r="Z2450" s="3" t="s">
        <v>70</v>
      </c>
      <c r="AA2450" t="s">
        <v>39</v>
      </c>
      <c r="AB2450" t="s">
        <v>40</v>
      </c>
      <c r="AC2450" t="s">
        <v>40</v>
      </c>
      <c r="AD2450" t="s">
        <v>696</v>
      </c>
    </row>
    <row r="2451" spans="2:30">
      <c r="B2451">
        <v>0</v>
      </c>
      <c r="C2451">
        <v>1020</v>
      </c>
      <c r="D2451" t="s">
        <v>693</v>
      </c>
      <c r="E2451">
        <v>10297151</v>
      </c>
      <c r="F2451" t="s">
        <v>2538</v>
      </c>
      <c r="G2451" t="s">
        <v>31</v>
      </c>
      <c r="H2451" t="s">
        <v>32</v>
      </c>
      <c r="I2451" t="s">
        <v>695</v>
      </c>
      <c r="J2451" t="s">
        <v>45</v>
      </c>
      <c r="K2451" t="s">
        <v>35</v>
      </c>
      <c r="L2451" t="s">
        <v>175</v>
      </c>
      <c r="M2451" t="s">
        <v>37</v>
      </c>
      <c r="N2451">
        <v>0</v>
      </c>
      <c r="O2451">
        <v>0</v>
      </c>
      <c r="P2451">
        <v>0</v>
      </c>
      <c r="Q2451">
        <v>15</v>
      </c>
      <c r="R2451">
        <v>0</v>
      </c>
      <c r="S2451" t="str">
        <f t="shared" si="190"/>
        <v>PX: Baja Crit.</v>
      </c>
      <c r="T2451">
        <f t="shared" si="191"/>
        <v>0</v>
      </c>
      <c r="U2451">
        <f t="shared" si="192"/>
        <v>0</v>
      </c>
      <c r="V2451">
        <f t="shared" si="193"/>
        <v>0</v>
      </c>
      <c r="W2451">
        <f t="shared" si="194"/>
        <v>1</v>
      </c>
      <c r="X2451">
        <v>1</v>
      </c>
      <c r="Y2451" s="2">
        <v>45768</v>
      </c>
      <c r="Z2451" s="3" t="s">
        <v>38</v>
      </c>
      <c r="AA2451" t="s">
        <v>39</v>
      </c>
      <c r="AB2451" t="s">
        <v>40</v>
      </c>
      <c r="AC2451" t="s">
        <v>40</v>
      </c>
      <c r="AD2451" t="s">
        <v>696</v>
      </c>
    </row>
    <row r="2452" spans="2:30">
      <c r="B2452">
        <v>0</v>
      </c>
      <c r="C2452">
        <v>1020</v>
      </c>
      <c r="D2452" t="s">
        <v>693</v>
      </c>
      <c r="E2452">
        <v>10297157</v>
      </c>
      <c r="F2452" t="s">
        <v>2539</v>
      </c>
      <c r="G2452" t="s">
        <v>31</v>
      </c>
      <c r="H2452" t="s">
        <v>32</v>
      </c>
      <c r="I2452" t="s">
        <v>695</v>
      </c>
      <c r="J2452" t="s">
        <v>45</v>
      </c>
      <c r="K2452" t="s">
        <v>35</v>
      </c>
      <c r="L2452" t="s">
        <v>175</v>
      </c>
      <c r="M2452" t="s">
        <v>46</v>
      </c>
      <c r="N2452">
        <v>0</v>
      </c>
      <c r="O2452">
        <v>0</v>
      </c>
      <c r="P2452">
        <v>0</v>
      </c>
      <c r="Q2452">
        <v>4</v>
      </c>
      <c r="R2452">
        <v>0</v>
      </c>
      <c r="S2452" t="str">
        <f t="shared" si="190"/>
        <v>PX: Baja Crit.</v>
      </c>
      <c r="T2452">
        <f t="shared" si="191"/>
        <v>0</v>
      </c>
      <c r="U2452">
        <f t="shared" si="192"/>
        <v>0</v>
      </c>
      <c r="V2452">
        <f t="shared" si="193"/>
        <v>0</v>
      </c>
      <c r="W2452">
        <f t="shared" si="194"/>
        <v>1</v>
      </c>
      <c r="X2452">
        <v>1</v>
      </c>
      <c r="Y2452" s="2">
        <v>45768</v>
      </c>
      <c r="Z2452" s="3" t="s">
        <v>47</v>
      </c>
      <c r="AA2452" t="s">
        <v>39</v>
      </c>
      <c r="AB2452" t="s">
        <v>40</v>
      </c>
      <c r="AC2452" t="s">
        <v>40</v>
      </c>
      <c r="AD2452" t="s">
        <v>696</v>
      </c>
    </row>
    <row r="2453" spans="2:30">
      <c r="B2453">
        <v>0</v>
      </c>
      <c r="C2453">
        <v>1020</v>
      </c>
      <c r="D2453" t="s">
        <v>693</v>
      </c>
      <c r="E2453">
        <v>10297158</v>
      </c>
      <c r="F2453" t="s">
        <v>2540</v>
      </c>
      <c r="G2453" t="s">
        <v>31</v>
      </c>
      <c r="H2453" t="s">
        <v>32</v>
      </c>
      <c r="I2453" t="s">
        <v>695</v>
      </c>
      <c r="J2453" t="s">
        <v>45</v>
      </c>
      <c r="K2453" t="s">
        <v>35</v>
      </c>
      <c r="L2453" t="s">
        <v>175</v>
      </c>
      <c r="M2453" t="s">
        <v>69</v>
      </c>
      <c r="N2453">
        <v>0</v>
      </c>
      <c r="O2453">
        <v>0</v>
      </c>
      <c r="P2453">
        <v>0</v>
      </c>
      <c r="Q2453">
        <v>4</v>
      </c>
      <c r="R2453">
        <v>0</v>
      </c>
      <c r="S2453" t="str">
        <f t="shared" si="190"/>
        <v>PX: Baja Crit.</v>
      </c>
      <c r="T2453">
        <f t="shared" si="191"/>
        <v>0</v>
      </c>
      <c r="U2453">
        <f t="shared" si="192"/>
        <v>0</v>
      </c>
      <c r="V2453">
        <f t="shared" si="193"/>
        <v>0</v>
      </c>
      <c r="W2453">
        <f t="shared" si="194"/>
        <v>1</v>
      </c>
      <c r="X2453">
        <v>1</v>
      </c>
      <c r="Y2453" s="2">
        <v>45768</v>
      </c>
      <c r="Z2453" s="3" t="s">
        <v>70</v>
      </c>
      <c r="AA2453" t="s">
        <v>39</v>
      </c>
      <c r="AB2453" t="s">
        <v>40</v>
      </c>
      <c r="AC2453" t="s">
        <v>40</v>
      </c>
      <c r="AD2453" t="s">
        <v>696</v>
      </c>
    </row>
    <row r="2454" spans="2:30">
      <c r="B2454">
        <v>0</v>
      </c>
      <c r="C2454">
        <v>1020</v>
      </c>
      <c r="D2454" t="s">
        <v>693</v>
      </c>
      <c r="E2454">
        <v>10297159</v>
      </c>
      <c r="F2454" t="s">
        <v>2541</v>
      </c>
      <c r="G2454" t="s">
        <v>31</v>
      </c>
      <c r="H2454" t="s">
        <v>32</v>
      </c>
      <c r="I2454" t="s">
        <v>695</v>
      </c>
      <c r="J2454" t="s">
        <v>45</v>
      </c>
      <c r="K2454" t="s">
        <v>35</v>
      </c>
      <c r="L2454" t="s">
        <v>175</v>
      </c>
      <c r="M2454" t="s">
        <v>37</v>
      </c>
      <c r="N2454">
        <v>0</v>
      </c>
      <c r="O2454">
        <v>0</v>
      </c>
      <c r="P2454">
        <v>0</v>
      </c>
      <c r="Q2454">
        <v>15</v>
      </c>
      <c r="R2454">
        <v>0</v>
      </c>
      <c r="S2454" t="str">
        <f t="shared" si="190"/>
        <v>PX: Baja Crit.</v>
      </c>
      <c r="T2454">
        <f t="shared" si="191"/>
        <v>0</v>
      </c>
      <c r="U2454">
        <f t="shared" si="192"/>
        <v>0</v>
      </c>
      <c r="V2454">
        <f t="shared" si="193"/>
        <v>0</v>
      </c>
      <c r="W2454">
        <f t="shared" si="194"/>
        <v>1</v>
      </c>
      <c r="X2454">
        <v>1</v>
      </c>
      <c r="Y2454" s="2">
        <v>45768</v>
      </c>
      <c r="Z2454" s="3" t="s">
        <v>38</v>
      </c>
      <c r="AA2454" t="s">
        <v>39</v>
      </c>
      <c r="AB2454" t="s">
        <v>40</v>
      </c>
      <c r="AC2454" t="s">
        <v>40</v>
      </c>
      <c r="AD2454" t="s">
        <v>696</v>
      </c>
    </row>
    <row r="2455" spans="2:30">
      <c r="B2455">
        <v>0</v>
      </c>
      <c r="C2455">
        <v>1020</v>
      </c>
      <c r="D2455" t="s">
        <v>693</v>
      </c>
      <c r="E2455">
        <v>10297160</v>
      </c>
      <c r="F2455" t="s">
        <v>2542</v>
      </c>
      <c r="G2455" t="s">
        <v>31</v>
      </c>
      <c r="H2455" t="s">
        <v>32</v>
      </c>
      <c r="I2455" t="s">
        <v>695</v>
      </c>
      <c r="J2455" t="s">
        <v>45</v>
      </c>
      <c r="K2455" t="s">
        <v>35</v>
      </c>
      <c r="L2455" t="s">
        <v>175</v>
      </c>
      <c r="M2455" t="s">
        <v>37</v>
      </c>
      <c r="N2455">
        <v>0</v>
      </c>
      <c r="O2455">
        <v>0</v>
      </c>
      <c r="P2455">
        <v>0</v>
      </c>
      <c r="Q2455">
        <v>50</v>
      </c>
      <c r="R2455">
        <v>0</v>
      </c>
      <c r="S2455" t="str">
        <f t="shared" si="190"/>
        <v>PX: Baja Crit.</v>
      </c>
      <c r="T2455">
        <f t="shared" si="191"/>
        <v>0</v>
      </c>
      <c r="U2455">
        <f t="shared" si="192"/>
        <v>0</v>
      </c>
      <c r="V2455">
        <f t="shared" si="193"/>
        <v>0</v>
      </c>
      <c r="W2455">
        <f t="shared" si="194"/>
        <v>1</v>
      </c>
      <c r="X2455">
        <v>1</v>
      </c>
      <c r="Y2455" s="2">
        <v>45768</v>
      </c>
      <c r="Z2455" s="3" t="s">
        <v>38</v>
      </c>
      <c r="AA2455" t="s">
        <v>39</v>
      </c>
      <c r="AB2455" t="s">
        <v>40</v>
      </c>
      <c r="AC2455" t="s">
        <v>40</v>
      </c>
      <c r="AD2455" t="s">
        <v>696</v>
      </c>
    </row>
    <row r="2456" spans="2:30">
      <c r="B2456">
        <v>0</v>
      </c>
      <c r="C2456">
        <v>1020</v>
      </c>
      <c r="D2456" t="s">
        <v>693</v>
      </c>
      <c r="E2456">
        <v>10297202</v>
      </c>
      <c r="F2456" t="s">
        <v>2543</v>
      </c>
      <c r="G2456" t="s">
        <v>31</v>
      </c>
      <c r="H2456" t="s">
        <v>32</v>
      </c>
      <c r="I2456" t="s">
        <v>695</v>
      </c>
      <c r="J2456" t="s">
        <v>45</v>
      </c>
      <c r="K2456" t="s">
        <v>35</v>
      </c>
      <c r="L2456" t="s">
        <v>175</v>
      </c>
      <c r="M2456" t="s">
        <v>46</v>
      </c>
      <c r="N2456">
        <v>0</v>
      </c>
      <c r="O2456">
        <v>0</v>
      </c>
      <c r="P2456">
        <v>0</v>
      </c>
      <c r="Q2456">
        <v>1</v>
      </c>
      <c r="R2456">
        <v>0</v>
      </c>
      <c r="S2456" t="str">
        <f t="shared" si="190"/>
        <v>PX: Baja Crit.</v>
      </c>
      <c r="T2456">
        <f t="shared" si="191"/>
        <v>0</v>
      </c>
      <c r="U2456">
        <f t="shared" si="192"/>
        <v>0</v>
      </c>
      <c r="V2456">
        <f t="shared" si="193"/>
        <v>0</v>
      </c>
      <c r="W2456">
        <f t="shared" si="194"/>
        <v>1</v>
      </c>
      <c r="X2456">
        <v>1</v>
      </c>
      <c r="Y2456" s="2">
        <v>45768</v>
      </c>
      <c r="Z2456" s="3" t="s">
        <v>47</v>
      </c>
      <c r="AA2456" t="s">
        <v>39</v>
      </c>
      <c r="AB2456" t="s">
        <v>40</v>
      </c>
      <c r="AC2456" t="s">
        <v>40</v>
      </c>
      <c r="AD2456" t="s">
        <v>696</v>
      </c>
    </row>
    <row r="2457" spans="2:30">
      <c r="B2457">
        <v>0</v>
      </c>
      <c r="C2457">
        <v>1020</v>
      </c>
      <c r="D2457" t="s">
        <v>693</v>
      </c>
      <c r="E2457">
        <v>10297204</v>
      </c>
      <c r="F2457" t="s">
        <v>2544</v>
      </c>
      <c r="G2457" t="s">
        <v>31</v>
      </c>
      <c r="H2457" t="s">
        <v>32</v>
      </c>
      <c r="I2457" t="s">
        <v>695</v>
      </c>
      <c r="J2457" t="s">
        <v>45</v>
      </c>
      <c r="K2457" t="s">
        <v>35</v>
      </c>
      <c r="L2457" t="s">
        <v>175</v>
      </c>
      <c r="M2457" t="s">
        <v>46</v>
      </c>
      <c r="N2457">
        <v>0</v>
      </c>
      <c r="O2457">
        <v>0</v>
      </c>
      <c r="P2457">
        <v>0</v>
      </c>
      <c r="Q2457">
        <v>10</v>
      </c>
      <c r="R2457">
        <v>0</v>
      </c>
      <c r="S2457" t="str">
        <f t="shared" si="190"/>
        <v>PX: Baja Crit.</v>
      </c>
      <c r="T2457">
        <f t="shared" si="191"/>
        <v>0</v>
      </c>
      <c r="U2457">
        <f t="shared" si="192"/>
        <v>0</v>
      </c>
      <c r="V2457">
        <f t="shared" si="193"/>
        <v>0</v>
      </c>
      <c r="W2457">
        <f t="shared" si="194"/>
        <v>1</v>
      </c>
      <c r="X2457">
        <v>1</v>
      </c>
      <c r="Y2457" s="2">
        <v>45768</v>
      </c>
      <c r="Z2457" s="3" t="s">
        <v>47</v>
      </c>
      <c r="AA2457" t="s">
        <v>39</v>
      </c>
      <c r="AB2457" t="s">
        <v>40</v>
      </c>
      <c r="AC2457" t="s">
        <v>40</v>
      </c>
      <c r="AD2457" t="s">
        <v>696</v>
      </c>
    </row>
    <row r="2458" spans="2:30">
      <c r="B2458">
        <v>0</v>
      </c>
      <c r="C2458">
        <v>1020</v>
      </c>
      <c r="D2458" t="s">
        <v>693</v>
      </c>
      <c r="E2458">
        <v>10297205</v>
      </c>
      <c r="F2458" t="s">
        <v>2545</v>
      </c>
      <c r="G2458" t="s">
        <v>31</v>
      </c>
      <c r="H2458" t="s">
        <v>32</v>
      </c>
      <c r="I2458" t="s">
        <v>695</v>
      </c>
      <c r="J2458" t="s">
        <v>45</v>
      </c>
      <c r="K2458" t="s">
        <v>35</v>
      </c>
      <c r="L2458" t="s">
        <v>175</v>
      </c>
      <c r="M2458" t="s">
        <v>46</v>
      </c>
      <c r="N2458">
        <v>0</v>
      </c>
      <c r="O2458">
        <v>0</v>
      </c>
      <c r="P2458">
        <v>0</v>
      </c>
      <c r="Q2458">
        <v>10</v>
      </c>
      <c r="R2458">
        <v>0</v>
      </c>
      <c r="S2458" t="str">
        <f t="shared" si="190"/>
        <v>PX: Baja Crit.</v>
      </c>
      <c r="T2458">
        <f t="shared" si="191"/>
        <v>0</v>
      </c>
      <c r="U2458">
        <f t="shared" si="192"/>
        <v>0</v>
      </c>
      <c r="V2458">
        <f t="shared" si="193"/>
        <v>0</v>
      </c>
      <c r="W2458">
        <f t="shared" si="194"/>
        <v>1</v>
      </c>
      <c r="X2458">
        <v>1</v>
      </c>
      <c r="Y2458" s="2">
        <v>45768</v>
      </c>
      <c r="Z2458" s="3" t="s">
        <v>47</v>
      </c>
      <c r="AA2458" t="s">
        <v>39</v>
      </c>
      <c r="AB2458" t="s">
        <v>40</v>
      </c>
      <c r="AC2458" t="s">
        <v>40</v>
      </c>
      <c r="AD2458" t="s">
        <v>696</v>
      </c>
    </row>
    <row r="2459" spans="2:30">
      <c r="B2459">
        <v>0</v>
      </c>
      <c r="C2459">
        <v>1020</v>
      </c>
      <c r="D2459" t="s">
        <v>693</v>
      </c>
      <c r="E2459">
        <v>10297208</v>
      </c>
      <c r="F2459" t="s">
        <v>2546</v>
      </c>
      <c r="G2459" t="s">
        <v>31</v>
      </c>
      <c r="H2459" t="s">
        <v>32</v>
      </c>
      <c r="I2459" t="s">
        <v>695</v>
      </c>
      <c r="J2459" t="s">
        <v>45</v>
      </c>
      <c r="K2459" t="s">
        <v>35</v>
      </c>
      <c r="L2459" t="s">
        <v>175</v>
      </c>
      <c r="M2459" t="s">
        <v>117</v>
      </c>
      <c r="N2459">
        <v>0</v>
      </c>
      <c r="O2459">
        <v>0</v>
      </c>
      <c r="P2459">
        <v>0</v>
      </c>
      <c r="Q2459">
        <v>2</v>
      </c>
      <c r="R2459">
        <v>0</v>
      </c>
      <c r="S2459" t="str">
        <f t="shared" si="190"/>
        <v>PX: Baja Crit.</v>
      </c>
      <c r="T2459">
        <f t="shared" si="191"/>
        <v>0</v>
      </c>
      <c r="U2459">
        <f t="shared" si="192"/>
        <v>0</v>
      </c>
      <c r="V2459">
        <f t="shared" si="193"/>
        <v>0</v>
      </c>
      <c r="W2459">
        <f t="shared" si="194"/>
        <v>1</v>
      </c>
      <c r="X2459">
        <v>1</v>
      </c>
      <c r="Y2459" s="2">
        <v>45768</v>
      </c>
      <c r="Z2459" s="3" t="s">
        <v>118</v>
      </c>
      <c r="AA2459" t="s">
        <v>39</v>
      </c>
      <c r="AB2459" t="s">
        <v>40</v>
      </c>
      <c r="AC2459" t="s">
        <v>40</v>
      </c>
      <c r="AD2459" t="s">
        <v>696</v>
      </c>
    </row>
    <row r="2460" spans="2:30">
      <c r="B2460">
        <v>0</v>
      </c>
      <c r="C2460">
        <v>1020</v>
      </c>
      <c r="D2460" t="s">
        <v>693</v>
      </c>
      <c r="E2460">
        <v>10297209</v>
      </c>
      <c r="F2460" t="s">
        <v>2547</v>
      </c>
      <c r="G2460" t="s">
        <v>52</v>
      </c>
      <c r="H2460" t="s">
        <v>32</v>
      </c>
      <c r="I2460" t="s">
        <v>695</v>
      </c>
      <c r="J2460" t="s">
        <v>45</v>
      </c>
      <c r="K2460" t="s">
        <v>35</v>
      </c>
      <c r="L2460" t="s">
        <v>175</v>
      </c>
      <c r="M2460" t="s">
        <v>46</v>
      </c>
      <c r="N2460">
        <v>0</v>
      </c>
      <c r="O2460">
        <v>0</v>
      </c>
      <c r="P2460">
        <v>0</v>
      </c>
      <c r="Q2460">
        <v>5</v>
      </c>
      <c r="R2460">
        <v>0</v>
      </c>
      <c r="S2460" t="str">
        <f t="shared" si="190"/>
        <v>PZ: Alta Crit.</v>
      </c>
      <c r="T2460">
        <f t="shared" si="191"/>
        <v>0</v>
      </c>
      <c r="U2460">
        <f t="shared" si="192"/>
        <v>0</v>
      </c>
      <c r="V2460">
        <f t="shared" si="193"/>
        <v>0</v>
      </c>
      <c r="W2460">
        <f t="shared" si="194"/>
        <v>1</v>
      </c>
      <c r="X2460">
        <v>1</v>
      </c>
      <c r="Y2460" s="2">
        <v>45768</v>
      </c>
      <c r="Z2460" s="3" t="s">
        <v>47</v>
      </c>
      <c r="AA2460" t="s">
        <v>39</v>
      </c>
      <c r="AB2460" t="s">
        <v>40</v>
      </c>
      <c r="AC2460" t="s">
        <v>40</v>
      </c>
      <c r="AD2460" t="s">
        <v>696</v>
      </c>
    </row>
    <row r="2461" spans="2:30">
      <c r="B2461">
        <v>0</v>
      </c>
      <c r="C2461">
        <v>1020</v>
      </c>
      <c r="D2461" t="s">
        <v>388</v>
      </c>
      <c r="E2461">
        <v>10297251</v>
      </c>
      <c r="F2461" t="s">
        <v>2548</v>
      </c>
      <c r="G2461" t="s">
        <v>43</v>
      </c>
      <c r="H2461" t="s">
        <v>32</v>
      </c>
      <c r="I2461" t="s">
        <v>390</v>
      </c>
      <c r="J2461" t="s">
        <v>45</v>
      </c>
      <c r="K2461" t="s">
        <v>35</v>
      </c>
      <c r="L2461" t="s">
        <v>175</v>
      </c>
      <c r="M2461" t="s">
        <v>117</v>
      </c>
      <c r="N2461">
        <v>0</v>
      </c>
      <c r="O2461">
        <v>0</v>
      </c>
      <c r="P2461">
        <v>1</v>
      </c>
      <c r="Q2461">
        <v>1</v>
      </c>
      <c r="R2461">
        <v>0</v>
      </c>
      <c r="S2461" t="str">
        <f t="shared" si="190"/>
        <v>PY: Media Crit.</v>
      </c>
      <c r="T2461">
        <f t="shared" si="191"/>
        <v>0</v>
      </c>
      <c r="U2461">
        <f t="shared" si="192"/>
        <v>1</v>
      </c>
      <c r="V2461">
        <f t="shared" si="193"/>
        <v>0</v>
      </c>
      <c r="W2461">
        <f t="shared" si="194"/>
        <v>1</v>
      </c>
      <c r="X2461">
        <v>1</v>
      </c>
      <c r="Y2461" s="2">
        <v>45768</v>
      </c>
      <c r="Z2461" s="3" t="s">
        <v>118</v>
      </c>
      <c r="AA2461" t="s">
        <v>39</v>
      </c>
      <c r="AB2461" t="s">
        <v>40</v>
      </c>
      <c r="AC2461" t="s">
        <v>40</v>
      </c>
      <c r="AD2461" t="s">
        <v>391</v>
      </c>
    </row>
    <row r="2462" spans="2:30">
      <c r="B2462">
        <v>0</v>
      </c>
      <c r="C2462">
        <v>1020</v>
      </c>
      <c r="D2462" t="s">
        <v>388</v>
      </c>
      <c r="E2462">
        <v>10297259</v>
      </c>
      <c r="F2462" t="s">
        <v>2549</v>
      </c>
      <c r="G2462" t="s">
        <v>43</v>
      </c>
      <c r="H2462" t="s">
        <v>32</v>
      </c>
      <c r="I2462" t="s">
        <v>390</v>
      </c>
      <c r="J2462" t="s">
        <v>45</v>
      </c>
      <c r="K2462" t="s">
        <v>35</v>
      </c>
      <c r="L2462" t="s">
        <v>175</v>
      </c>
      <c r="M2462" t="s">
        <v>117</v>
      </c>
      <c r="N2462">
        <v>0</v>
      </c>
      <c r="O2462">
        <v>0</v>
      </c>
      <c r="P2462">
        <v>1</v>
      </c>
      <c r="Q2462">
        <v>1</v>
      </c>
      <c r="R2462">
        <v>0</v>
      </c>
      <c r="S2462" t="str">
        <f t="shared" si="190"/>
        <v>PY: Media Crit.</v>
      </c>
      <c r="T2462">
        <f t="shared" si="191"/>
        <v>0</v>
      </c>
      <c r="U2462">
        <f t="shared" si="192"/>
        <v>1</v>
      </c>
      <c r="V2462">
        <f t="shared" si="193"/>
        <v>0</v>
      </c>
      <c r="W2462">
        <f t="shared" si="194"/>
        <v>1</v>
      </c>
      <c r="X2462">
        <v>1</v>
      </c>
      <c r="Y2462" s="2">
        <v>45768</v>
      </c>
      <c r="Z2462" s="3" t="s">
        <v>118</v>
      </c>
      <c r="AA2462" t="s">
        <v>39</v>
      </c>
      <c r="AB2462" t="s">
        <v>40</v>
      </c>
      <c r="AC2462" t="s">
        <v>40</v>
      </c>
      <c r="AD2462" t="s">
        <v>391</v>
      </c>
    </row>
    <row r="2463" spans="2:30">
      <c r="B2463">
        <v>0</v>
      </c>
      <c r="C2463">
        <v>1020</v>
      </c>
      <c r="D2463" t="s">
        <v>388</v>
      </c>
      <c r="E2463">
        <v>10297284</v>
      </c>
      <c r="F2463" t="s">
        <v>2550</v>
      </c>
      <c r="G2463" t="s">
        <v>52</v>
      </c>
      <c r="H2463" t="s">
        <v>32</v>
      </c>
      <c r="I2463" t="s">
        <v>390</v>
      </c>
      <c r="J2463" t="s">
        <v>45</v>
      </c>
      <c r="K2463" t="s">
        <v>35</v>
      </c>
      <c r="L2463" t="s">
        <v>175</v>
      </c>
      <c r="M2463" t="s">
        <v>69</v>
      </c>
      <c r="N2463">
        <v>0</v>
      </c>
      <c r="O2463">
        <v>0</v>
      </c>
      <c r="P2463">
        <v>1</v>
      </c>
      <c r="Q2463">
        <v>1</v>
      </c>
      <c r="R2463">
        <v>0</v>
      </c>
      <c r="S2463" t="str">
        <f t="shared" si="190"/>
        <v>PZ: Alta Crit.</v>
      </c>
      <c r="T2463">
        <f t="shared" si="191"/>
        <v>0</v>
      </c>
      <c r="U2463">
        <f t="shared" si="192"/>
        <v>1</v>
      </c>
      <c r="V2463">
        <f t="shared" si="193"/>
        <v>0</v>
      </c>
      <c r="W2463">
        <f t="shared" si="194"/>
        <v>1</v>
      </c>
      <c r="X2463">
        <v>1</v>
      </c>
      <c r="Y2463" s="2">
        <v>45768</v>
      </c>
      <c r="Z2463" s="3" t="s">
        <v>70</v>
      </c>
      <c r="AA2463" t="s">
        <v>39</v>
      </c>
      <c r="AB2463" t="s">
        <v>40</v>
      </c>
      <c r="AC2463" t="s">
        <v>40</v>
      </c>
      <c r="AD2463" t="s">
        <v>391</v>
      </c>
    </row>
    <row r="2464" spans="2:30">
      <c r="B2464">
        <v>0</v>
      </c>
      <c r="C2464">
        <v>1020</v>
      </c>
      <c r="D2464" t="s">
        <v>693</v>
      </c>
      <c r="E2464">
        <v>10297375</v>
      </c>
      <c r="F2464" t="s">
        <v>2551</v>
      </c>
      <c r="G2464" t="s">
        <v>43</v>
      </c>
      <c r="H2464" t="s">
        <v>32</v>
      </c>
      <c r="I2464" t="s">
        <v>695</v>
      </c>
      <c r="J2464" t="s">
        <v>45</v>
      </c>
      <c r="K2464" t="s">
        <v>35</v>
      </c>
      <c r="L2464" t="s">
        <v>175</v>
      </c>
      <c r="M2464" t="s">
        <v>117</v>
      </c>
      <c r="N2464">
        <v>0</v>
      </c>
      <c r="O2464">
        <v>0</v>
      </c>
      <c r="P2464">
        <v>0</v>
      </c>
      <c r="Q2464">
        <v>1</v>
      </c>
      <c r="R2464">
        <v>0</v>
      </c>
      <c r="S2464" t="str">
        <f t="shared" si="190"/>
        <v>PY: Media Crit.</v>
      </c>
      <c r="T2464">
        <f t="shared" si="191"/>
        <v>0</v>
      </c>
      <c r="U2464">
        <f t="shared" si="192"/>
        <v>0</v>
      </c>
      <c r="V2464">
        <f t="shared" si="193"/>
        <v>0</v>
      </c>
      <c r="W2464">
        <f t="shared" si="194"/>
        <v>1</v>
      </c>
      <c r="X2464">
        <v>1</v>
      </c>
      <c r="Y2464" s="2">
        <v>45768</v>
      </c>
      <c r="Z2464" s="3" t="s">
        <v>118</v>
      </c>
      <c r="AA2464" t="s">
        <v>39</v>
      </c>
      <c r="AB2464" t="s">
        <v>40</v>
      </c>
      <c r="AC2464" t="s">
        <v>40</v>
      </c>
      <c r="AD2464" t="s">
        <v>696</v>
      </c>
    </row>
    <row r="2465" spans="2:30">
      <c r="B2465">
        <v>0</v>
      </c>
      <c r="C2465">
        <v>1020</v>
      </c>
      <c r="D2465" t="s">
        <v>693</v>
      </c>
      <c r="E2465">
        <v>10297389</v>
      </c>
      <c r="F2465" t="s">
        <v>2552</v>
      </c>
      <c r="G2465" t="s">
        <v>31</v>
      </c>
      <c r="H2465" t="s">
        <v>32</v>
      </c>
      <c r="I2465" t="s">
        <v>695</v>
      </c>
      <c r="J2465" t="s">
        <v>45</v>
      </c>
      <c r="K2465" t="s">
        <v>35</v>
      </c>
      <c r="L2465" t="s">
        <v>175</v>
      </c>
      <c r="M2465" t="s">
        <v>46</v>
      </c>
      <c r="N2465">
        <v>0</v>
      </c>
      <c r="O2465">
        <v>0</v>
      </c>
      <c r="P2465">
        <v>0</v>
      </c>
      <c r="Q2465">
        <v>4</v>
      </c>
      <c r="R2465">
        <v>0</v>
      </c>
      <c r="S2465" t="str">
        <f t="shared" si="190"/>
        <v>PX: Baja Crit.</v>
      </c>
      <c r="T2465">
        <f t="shared" si="191"/>
        <v>0</v>
      </c>
      <c r="U2465">
        <f t="shared" si="192"/>
        <v>0</v>
      </c>
      <c r="V2465">
        <f t="shared" si="193"/>
        <v>0</v>
      </c>
      <c r="W2465">
        <f t="shared" si="194"/>
        <v>1</v>
      </c>
      <c r="X2465">
        <v>1</v>
      </c>
      <c r="Y2465" s="2">
        <v>45768</v>
      </c>
      <c r="Z2465" s="3" t="s">
        <v>47</v>
      </c>
      <c r="AA2465" t="s">
        <v>39</v>
      </c>
      <c r="AB2465" t="s">
        <v>40</v>
      </c>
      <c r="AC2465" t="s">
        <v>40</v>
      </c>
      <c r="AD2465" t="s">
        <v>696</v>
      </c>
    </row>
    <row r="2466" spans="2:30">
      <c r="B2466">
        <v>0</v>
      </c>
      <c r="C2466">
        <v>1020</v>
      </c>
      <c r="D2466" t="s">
        <v>693</v>
      </c>
      <c r="E2466">
        <v>10297393</v>
      </c>
      <c r="F2466" t="s">
        <v>2553</v>
      </c>
      <c r="G2466" t="s">
        <v>31</v>
      </c>
      <c r="H2466" t="s">
        <v>32</v>
      </c>
      <c r="I2466" t="s">
        <v>695</v>
      </c>
      <c r="J2466" t="s">
        <v>45</v>
      </c>
      <c r="K2466" t="s">
        <v>35</v>
      </c>
      <c r="L2466" t="s">
        <v>175</v>
      </c>
      <c r="M2466" t="s">
        <v>46</v>
      </c>
      <c r="N2466">
        <v>0</v>
      </c>
      <c r="O2466">
        <v>0</v>
      </c>
      <c r="P2466">
        <v>0</v>
      </c>
      <c r="Q2466">
        <v>2</v>
      </c>
      <c r="R2466">
        <v>0</v>
      </c>
      <c r="S2466" t="str">
        <f t="shared" si="190"/>
        <v>PX: Baja Crit.</v>
      </c>
      <c r="T2466">
        <f t="shared" si="191"/>
        <v>0</v>
      </c>
      <c r="U2466">
        <f t="shared" si="192"/>
        <v>0</v>
      </c>
      <c r="V2466">
        <f t="shared" si="193"/>
        <v>0</v>
      </c>
      <c r="W2466">
        <f t="shared" si="194"/>
        <v>1</v>
      </c>
      <c r="X2466">
        <v>1</v>
      </c>
      <c r="Y2466" s="2">
        <v>45768</v>
      </c>
      <c r="Z2466" s="3" t="s">
        <v>47</v>
      </c>
      <c r="AA2466" t="s">
        <v>39</v>
      </c>
      <c r="AB2466" t="s">
        <v>40</v>
      </c>
      <c r="AC2466" t="s">
        <v>40</v>
      </c>
      <c r="AD2466" t="s">
        <v>696</v>
      </c>
    </row>
    <row r="2467" spans="2:30">
      <c r="B2467">
        <v>0</v>
      </c>
      <c r="C2467">
        <v>1020</v>
      </c>
      <c r="D2467" t="s">
        <v>693</v>
      </c>
      <c r="E2467">
        <v>10297414</v>
      </c>
      <c r="F2467" t="s">
        <v>2554</v>
      </c>
      <c r="G2467" t="s">
        <v>31</v>
      </c>
      <c r="H2467" t="s">
        <v>32</v>
      </c>
      <c r="I2467" t="s">
        <v>695</v>
      </c>
      <c r="J2467" t="s">
        <v>45</v>
      </c>
      <c r="K2467" t="s">
        <v>35</v>
      </c>
      <c r="L2467" t="s">
        <v>175</v>
      </c>
      <c r="M2467" t="s">
        <v>117</v>
      </c>
      <c r="N2467">
        <v>0</v>
      </c>
      <c r="O2467">
        <v>0</v>
      </c>
      <c r="P2467">
        <v>0</v>
      </c>
      <c r="Q2467">
        <v>2</v>
      </c>
      <c r="R2467">
        <v>0</v>
      </c>
      <c r="S2467" t="str">
        <f t="shared" si="190"/>
        <v>PX: Baja Crit.</v>
      </c>
      <c r="T2467">
        <f t="shared" si="191"/>
        <v>0</v>
      </c>
      <c r="U2467">
        <f t="shared" si="192"/>
        <v>0</v>
      </c>
      <c r="V2467">
        <f t="shared" si="193"/>
        <v>0</v>
      </c>
      <c r="W2467">
        <f t="shared" si="194"/>
        <v>1</v>
      </c>
      <c r="X2467">
        <v>1</v>
      </c>
      <c r="Y2467" s="2">
        <v>45768</v>
      </c>
      <c r="Z2467" s="3" t="s">
        <v>118</v>
      </c>
      <c r="AA2467" t="s">
        <v>39</v>
      </c>
      <c r="AB2467" t="s">
        <v>40</v>
      </c>
      <c r="AC2467" t="s">
        <v>40</v>
      </c>
      <c r="AD2467" t="s">
        <v>696</v>
      </c>
    </row>
    <row r="2468" spans="2:30">
      <c r="B2468">
        <v>0</v>
      </c>
      <c r="C2468">
        <v>1020</v>
      </c>
      <c r="D2468" t="s">
        <v>693</v>
      </c>
      <c r="E2468">
        <v>10297417</v>
      </c>
      <c r="F2468" t="s">
        <v>2555</v>
      </c>
      <c r="G2468" t="s">
        <v>31</v>
      </c>
      <c r="H2468" t="s">
        <v>32</v>
      </c>
      <c r="I2468" t="s">
        <v>695</v>
      </c>
      <c r="J2468" t="s">
        <v>45</v>
      </c>
      <c r="K2468" t="s">
        <v>35</v>
      </c>
      <c r="L2468" t="s">
        <v>175</v>
      </c>
      <c r="M2468" t="s">
        <v>117</v>
      </c>
      <c r="N2468">
        <v>0</v>
      </c>
      <c r="O2468">
        <v>0</v>
      </c>
      <c r="P2468">
        <v>0</v>
      </c>
      <c r="Q2468">
        <v>2</v>
      </c>
      <c r="R2468">
        <v>0</v>
      </c>
      <c r="S2468" t="str">
        <f t="shared" si="190"/>
        <v>PX: Baja Crit.</v>
      </c>
      <c r="T2468">
        <f t="shared" si="191"/>
        <v>0</v>
      </c>
      <c r="U2468">
        <f t="shared" si="192"/>
        <v>0</v>
      </c>
      <c r="V2468">
        <f t="shared" si="193"/>
        <v>0</v>
      </c>
      <c r="W2468">
        <f t="shared" si="194"/>
        <v>1</v>
      </c>
      <c r="X2468">
        <v>1</v>
      </c>
      <c r="Y2468" s="2">
        <v>45768</v>
      </c>
      <c r="Z2468" s="3" t="s">
        <v>118</v>
      </c>
      <c r="AA2468" t="s">
        <v>39</v>
      </c>
      <c r="AB2468" t="s">
        <v>40</v>
      </c>
      <c r="AC2468" t="s">
        <v>40</v>
      </c>
      <c r="AD2468" t="s">
        <v>696</v>
      </c>
    </row>
    <row r="2469" spans="2:30">
      <c r="B2469">
        <v>0</v>
      </c>
      <c r="C2469">
        <v>1020</v>
      </c>
      <c r="D2469" t="s">
        <v>693</v>
      </c>
      <c r="E2469">
        <v>10297575</v>
      </c>
      <c r="F2469" t="s">
        <v>2556</v>
      </c>
      <c r="G2469" t="s">
        <v>52</v>
      </c>
      <c r="H2469" t="s">
        <v>32</v>
      </c>
      <c r="I2469" t="s">
        <v>695</v>
      </c>
      <c r="J2469" t="s">
        <v>45</v>
      </c>
      <c r="K2469" t="s">
        <v>35</v>
      </c>
      <c r="L2469" t="s">
        <v>175</v>
      </c>
      <c r="M2469" t="s">
        <v>46</v>
      </c>
      <c r="N2469">
        <v>0</v>
      </c>
      <c r="O2469">
        <v>0</v>
      </c>
      <c r="P2469">
        <v>0</v>
      </c>
      <c r="Q2469">
        <v>1</v>
      </c>
      <c r="R2469">
        <v>0</v>
      </c>
      <c r="S2469" t="str">
        <f t="shared" si="190"/>
        <v>PZ: Alta Crit.</v>
      </c>
      <c r="T2469">
        <f t="shared" si="191"/>
        <v>0</v>
      </c>
      <c r="U2469">
        <f t="shared" si="192"/>
        <v>0</v>
      </c>
      <c r="V2469">
        <f t="shared" si="193"/>
        <v>0</v>
      </c>
      <c r="W2469">
        <f t="shared" si="194"/>
        <v>1</v>
      </c>
      <c r="X2469">
        <v>1</v>
      </c>
      <c r="Y2469" s="2">
        <v>45768</v>
      </c>
      <c r="Z2469" s="3" t="s">
        <v>47</v>
      </c>
      <c r="AA2469" t="s">
        <v>39</v>
      </c>
      <c r="AB2469" t="s">
        <v>40</v>
      </c>
      <c r="AC2469" t="s">
        <v>40</v>
      </c>
      <c r="AD2469" t="s">
        <v>696</v>
      </c>
    </row>
    <row r="2470" spans="2:30">
      <c r="B2470">
        <v>0</v>
      </c>
      <c r="C2470">
        <v>1020</v>
      </c>
      <c r="D2470" t="s">
        <v>693</v>
      </c>
      <c r="E2470">
        <v>10297576</v>
      </c>
      <c r="F2470" t="s">
        <v>2557</v>
      </c>
      <c r="G2470" t="s">
        <v>52</v>
      </c>
      <c r="H2470" t="s">
        <v>32</v>
      </c>
      <c r="I2470" t="s">
        <v>695</v>
      </c>
      <c r="J2470" t="s">
        <v>45</v>
      </c>
      <c r="K2470" t="s">
        <v>35</v>
      </c>
      <c r="L2470" t="s">
        <v>175</v>
      </c>
      <c r="M2470" t="s">
        <v>46</v>
      </c>
      <c r="N2470">
        <v>0</v>
      </c>
      <c r="O2470">
        <v>0</v>
      </c>
      <c r="P2470">
        <v>0</v>
      </c>
      <c r="Q2470">
        <v>1</v>
      </c>
      <c r="R2470">
        <v>0</v>
      </c>
      <c r="S2470" t="str">
        <f t="shared" si="190"/>
        <v>PZ: Alta Crit.</v>
      </c>
      <c r="T2470">
        <f t="shared" si="191"/>
        <v>0</v>
      </c>
      <c r="U2470">
        <f t="shared" si="192"/>
        <v>0</v>
      </c>
      <c r="V2470">
        <f t="shared" si="193"/>
        <v>0</v>
      </c>
      <c r="W2470">
        <f t="shared" si="194"/>
        <v>1</v>
      </c>
      <c r="X2470">
        <v>1</v>
      </c>
      <c r="Y2470" s="2">
        <v>45768</v>
      </c>
      <c r="Z2470" s="3" t="s">
        <v>47</v>
      </c>
      <c r="AA2470" t="s">
        <v>39</v>
      </c>
      <c r="AB2470" t="s">
        <v>40</v>
      </c>
      <c r="AC2470" t="s">
        <v>40</v>
      </c>
      <c r="AD2470" t="s">
        <v>696</v>
      </c>
    </row>
    <row r="2471" spans="2:30">
      <c r="B2471">
        <v>0</v>
      </c>
      <c r="C2471">
        <v>1020</v>
      </c>
      <c r="D2471" t="s">
        <v>693</v>
      </c>
      <c r="E2471">
        <v>10297598</v>
      </c>
      <c r="F2471" t="s">
        <v>2558</v>
      </c>
      <c r="G2471" t="s">
        <v>43</v>
      </c>
      <c r="H2471" t="s">
        <v>32</v>
      </c>
      <c r="I2471" t="s">
        <v>695</v>
      </c>
      <c r="J2471" t="s">
        <v>45</v>
      </c>
      <c r="K2471" t="s">
        <v>35</v>
      </c>
      <c r="L2471" t="s">
        <v>175</v>
      </c>
      <c r="M2471" t="s">
        <v>37</v>
      </c>
      <c r="N2471">
        <v>0</v>
      </c>
      <c r="O2471">
        <v>0</v>
      </c>
      <c r="P2471">
        <v>0</v>
      </c>
      <c r="Q2471">
        <v>6</v>
      </c>
      <c r="R2471">
        <v>0</v>
      </c>
      <c r="S2471" t="str">
        <f t="shared" si="190"/>
        <v>PY: Media Crit.</v>
      </c>
      <c r="T2471">
        <f t="shared" si="191"/>
        <v>0</v>
      </c>
      <c r="U2471">
        <f t="shared" si="192"/>
        <v>0</v>
      </c>
      <c r="V2471">
        <f t="shared" si="193"/>
        <v>0</v>
      </c>
      <c r="W2471">
        <f t="shared" si="194"/>
        <v>1</v>
      </c>
      <c r="X2471">
        <v>1</v>
      </c>
      <c r="Y2471" s="2">
        <v>45768</v>
      </c>
      <c r="Z2471" s="3" t="s">
        <v>38</v>
      </c>
      <c r="AA2471" t="s">
        <v>39</v>
      </c>
      <c r="AB2471" t="s">
        <v>40</v>
      </c>
      <c r="AC2471" t="s">
        <v>40</v>
      </c>
      <c r="AD2471" t="s">
        <v>696</v>
      </c>
    </row>
    <row r="2472" spans="2:30">
      <c r="B2472">
        <v>0</v>
      </c>
      <c r="C2472">
        <v>1020</v>
      </c>
      <c r="D2472" t="s">
        <v>693</v>
      </c>
      <c r="E2472">
        <v>10297627</v>
      </c>
      <c r="F2472" t="s">
        <v>2559</v>
      </c>
      <c r="G2472" t="s">
        <v>52</v>
      </c>
      <c r="H2472" t="s">
        <v>32</v>
      </c>
      <c r="I2472" t="s">
        <v>695</v>
      </c>
      <c r="J2472" t="s">
        <v>45</v>
      </c>
      <c r="K2472" t="s">
        <v>35</v>
      </c>
      <c r="L2472" t="s">
        <v>175</v>
      </c>
      <c r="M2472" t="s">
        <v>117</v>
      </c>
      <c r="N2472">
        <v>0</v>
      </c>
      <c r="O2472">
        <v>0</v>
      </c>
      <c r="P2472">
        <v>0</v>
      </c>
      <c r="Q2472">
        <v>4</v>
      </c>
      <c r="R2472">
        <v>0</v>
      </c>
      <c r="S2472" t="str">
        <f t="shared" si="190"/>
        <v>PZ: Alta Crit.</v>
      </c>
      <c r="T2472">
        <f t="shared" si="191"/>
        <v>0</v>
      </c>
      <c r="U2472">
        <f t="shared" si="192"/>
        <v>0</v>
      </c>
      <c r="V2472">
        <f t="shared" si="193"/>
        <v>0</v>
      </c>
      <c r="W2472">
        <f t="shared" si="194"/>
        <v>1</v>
      </c>
      <c r="X2472">
        <v>1</v>
      </c>
      <c r="Y2472" s="2">
        <v>45768</v>
      </c>
      <c r="Z2472" s="3" t="s">
        <v>118</v>
      </c>
      <c r="AA2472" t="s">
        <v>39</v>
      </c>
      <c r="AB2472" t="s">
        <v>40</v>
      </c>
      <c r="AC2472" t="s">
        <v>40</v>
      </c>
      <c r="AD2472" t="s">
        <v>696</v>
      </c>
    </row>
    <row r="2473" spans="2:30">
      <c r="B2473">
        <v>0</v>
      </c>
      <c r="C2473">
        <v>1020</v>
      </c>
      <c r="D2473" t="s">
        <v>388</v>
      </c>
      <c r="E2473">
        <v>10297635</v>
      </c>
      <c r="F2473" t="s">
        <v>2560</v>
      </c>
      <c r="G2473" t="s">
        <v>52</v>
      </c>
      <c r="H2473" t="s">
        <v>32</v>
      </c>
      <c r="I2473" t="s">
        <v>390</v>
      </c>
      <c r="J2473" t="s">
        <v>45</v>
      </c>
      <c r="K2473" t="s">
        <v>35</v>
      </c>
      <c r="L2473" t="s">
        <v>175</v>
      </c>
      <c r="M2473" t="s">
        <v>37</v>
      </c>
      <c r="N2473">
        <v>0</v>
      </c>
      <c r="O2473">
        <v>0</v>
      </c>
      <c r="P2473">
        <v>1</v>
      </c>
      <c r="Q2473">
        <v>4</v>
      </c>
      <c r="R2473">
        <v>0</v>
      </c>
      <c r="S2473" t="str">
        <f t="shared" si="190"/>
        <v>PZ: Alta Crit.</v>
      </c>
      <c r="T2473">
        <f t="shared" si="191"/>
        <v>0</v>
      </c>
      <c r="U2473">
        <f t="shared" si="192"/>
        <v>0</v>
      </c>
      <c r="V2473">
        <f t="shared" si="193"/>
        <v>0</v>
      </c>
      <c r="W2473">
        <f t="shared" si="194"/>
        <v>1</v>
      </c>
      <c r="X2473">
        <v>1</v>
      </c>
      <c r="Y2473" s="2">
        <v>45768</v>
      </c>
      <c r="Z2473" s="3" t="s">
        <v>38</v>
      </c>
      <c r="AA2473" t="s">
        <v>39</v>
      </c>
      <c r="AB2473" t="s">
        <v>40</v>
      </c>
      <c r="AC2473" t="s">
        <v>40</v>
      </c>
      <c r="AD2473" t="s">
        <v>391</v>
      </c>
    </row>
    <row r="2474" spans="2:30">
      <c r="B2474">
        <v>0</v>
      </c>
      <c r="C2474">
        <v>1020</v>
      </c>
      <c r="D2474" t="s">
        <v>693</v>
      </c>
      <c r="E2474">
        <v>10297695</v>
      </c>
      <c r="F2474" t="s">
        <v>2561</v>
      </c>
      <c r="G2474" t="s">
        <v>52</v>
      </c>
      <c r="H2474" t="s">
        <v>32</v>
      </c>
      <c r="I2474" t="s">
        <v>695</v>
      </c>
      <c r="J2474" t="s">
        <v>45</v>
      </c>
      <c r="K2474" t="s">
        <v>35</v>
      </c>
      <c r="L2474" t="s">
        <v>175</v>
      </c>
      <c r="M2474" t="s">
        <v>37</v>
      </c>
      <c r="N2474">
        <v>0</v>
      </c>
      <c r="O2474">
        <v>0</v>
      </c>
      <c r="P2474">
        <v>0</v>
      </c>
      <c r="Q2474" s="8">
        <v>1000</v>
      </c>
      <c r="R2474">
        <v>0</v>
      </c>
      <c r="S2474" t="str">
        <f t="shared" si="190"/>
        <v>PZ: Alta Crit.</v>
      </c>
      <c r="T2474">
        <f t="shared" si="191"/>
        <v>0</v>
      </c>
      <c r="U2474">
        <f t="shared" si="192"/>
        <v>0</v>
      </c>
      <c r="V2474">
        <f t="shared" si="193"/>
        <v>0</v>
      </c>
      <c r="W2474">
        <f t="shared" si="194"/>
        <v>1</v>
      </c>
      <c r="X2474">
        <v>1</v>
      </c>
      <c r="Y2474" s="2">
        <v>45768</v>
      </c>
      <c r="Z2474" s="3" t="s">
        <v>38</v>
      </c>
      <c r="AA2474" t="s">
        <v>39</v>
      </c>
      <c r="AB2474" t="s">
        <v>40</v>
      </c>
      <c r="AC2474" t="s">
        <v>40</v>
      </c>
      <c r="AD2474" t="s">
        <v>696</v>
      </c>
    </row>
    <row r="2475" spans="2:30">
      <c r="B2475">
        <v>0</v>
      </c>
      <c r="C2475">
        <v>1020</v>
      </c>
      <c r="D2475" t="s">
        <v>388</v>
      </c>
      <c r="E2475">
        <v>10297704</v>
      </c>
      <c r="F2475" t="s">
        <v>2562</v>
      </c>
      <c r="G2475" t="s">
        <v>52</v>
      </c>
      <c r="H2475" t="s">
        <v>44</v>
      </c>
      <c r="I2475" t="s">
        <v>390</v>
      </c>
      <c r="J2475" t="s">
        <v>45</v>
      </c>
      <c r="K2475" t="s">
        <v>35</v>
      </c>
      <c r="L2475" t="s">
        <v>175</v>
      </c>
      <c r="M2475" t="s">
        <v>46</v>
      </c>
      <c r="N2475">
        <v>0</v>
      </c>
      <c r="O2475">
        <v>0</v>
      </c>
      <c r="P2475">
        <v>1</v>
      </c>
      <c r="Q2475">
        <v>1</v>
      </c>
      <c r="R2475">
        <v>0</v>
      </c>
      <c r="S2475" t="str">
        <f t="shared" si="190"/>
        <v>PZ: Alta Crit.</v>
      </c>
      <c r="T2475">
        <f t="shared" si="191"/>
        <v>0</v>
      </c>
      <c r="U2475">
        <f t="shared" si="192"/>
        <v>1</v>
      </c>
      <c r="V2475">
        <f t="shared" si="193"/>
        <v>0</v>
      </c>
      <c r="W2475">
        <f t="shared" si="194"/>
        <v>1</v>
      </c>
      <c r="X2475">
        <v>1</v>
      </c>
      <c r="Y2475" s="2">
        <v>45768</v>
      </c>
      <c r="Z2475" s="3" t="s">
        <v>47</v>
      </c>
      <c r="AA2475" t="s">
        <v>39</v>
      </c>
      <c r="AB2475" t="s">
        <v>40</v>
      </c>
      <c r="AC2475" t="s">
        <v>40</v>
      </c>
      <c r="AD2475" t="s">
        <v>391</v>
      </c>
    </row>
    <row r="2476" spans="2:30">
      <c r="B2476">
        <v>0</v>
      </c>
      <c r="C2476">
        <v>1020</v>
      </c>
      <c r="D2476" t="s">
        <v>388</v>
      </c>
      <c r="E2476">
        <v>10297708</v>
      </c>
      <c r="F2476" t="s">
        <v>2563</v>
      </c>
      <c r="G2476" t="s">
        <v>52</v>
      </c>
      <c r="H2476" t="s">
        <v>32</v>
      </c>
      <c r="I2476" t="s">
        <v>390</v>
      </c>
      <c r="J2476" t="s">
        <v>45</v>
      </c>
      <c r="K2476" t="s">
        <v>35</v>
      </c>
      <c r="L2476" t="s">
        <v>175</v>
      </c>
      <c r="M2476" t="s">
        <v>117</v>
      </c>
      <c r="N2476">
        <v>0</v>
      </c>
      <c r="O2476">
        <v>0</v>
      </c>
      <c r="P2476">
        <v>1</v>
      </c>
      <c r="Q2476">
        <v>1</v>
      </c>
      <c r="R2476">
        <v>0</v>
      </c>
      <c r="S2476" t="str">
        <f t="shared" si="190"/>
        <v>PZ: Alta Crit.</v>
      </c>
      <c r="T2476">
        <f t="shared" si="191"/>
        <v>0</v>
      </c>
      <c r="U2476">
        <f t="shared" si="192"/>
        <v>1</v>
      </c>
      <c r="V2476">
        <f t="shared" si="193"/>
        <v>0</v>
      </c>
      <c r="W2476">
        <f t="shared" si="194"/>
        <v>1</v>
      </c>
      <c r="X2476">
        <v>1</v>
      </c>
      <c r="Y2476" s="2">
        <v>45768</v>
      </c>
      <c r="Z2476" s="3" t="s">
        <v>118</v>
      </c>
      <c r="AA2476" t="s">
        <v>39</v>
      </c>
      <c r="AB2476" t="s">
        <v>40</v>
      </c>
      <c r="AC2476" t="s">
        <v>40</v>
      </c>
      <c r="AD2476" t="s">
        <v>391</v>
      </c>
    </row>
    <row r="2477" spans="2:30">
      <c r="B2477">
        <v>0</v>
      </c>
      <c r="C2477">
        <v>1020</v>
      </c>
      <c r="D2477" t="s">
        <v>388</v>
      </c>
      <c r="E2477">
        <v>10297839</v>
      </c>
      <c r="F2477" t="s">
        <v>2564</v>
      </c>
      <c r="G2477" t="s">
        <v>43</v>
      </c>
      <c r="H2477" t="s">
        <v>32</v>
      </c>
      <c r="I2477" t="s">
        <v>390</v>
      </c>
      <c r="J2477" t="s">
        <v>45</v>
      </c>
      <c r="K2477" t="s">
        <v>35</v>
      </c>
      <c r="L2477" t="s">
        <v>175</v>
      </c>
      <c r="M2477" t="s">
        <v>117</v>
      </c>
      <c r="N2477">
        <v>0</v>
      </c>
      <c r="O2477">
        <v>0</v>
      </c>
      <c r="P2477">
        <v>1</v>
      </c>
      <c r="Q2477">
        <v>1</v>
      </c>
      <c r="R2477">
        <v>0</v>
      </c>
      <c r="S2477" t="str">
        <f t="shared" si="190"/>
        <v>PY: Media Crit.</v>
      </c>
      <c r="T2477">
        <f t="shared" si="191"/>
        <v>0</v>
      </c>
      <c r="U2477">
        <f t="shared" si="192"/>
        <v>1</v>
      </c>
      <c r="V2477">
        <f t="shared" si="193"/>
        <v>0</v>
      </c>
      <c r="W2477">
        <f t="shared" si="194"/>
        <v>1</v>
      </c>
      <c r="X2477">
        <v>1</v>
      </c>
      <c r="Y2477" s="2">
        <v>45768</v>
      </c>
      <c r="Z2477" s="3" t="s">
        <v>118</v>
      </c>
      <c r="AA2477" t="s">
        <v>39</v>
      </c>
      <c r="AB2477" t="s">
        <v>40</v>
      </c>
      <c r="AC2477" t="s">
        <v>40</v>
      </c>
      <c r="AD2477" t="s">
        <v>391</v>
      </c>
    </row>
    <row r="2478" spans="2:30">
      <c r="B2478">
        <v>0</v>
      </c>
      <c r="C2478">
        <v>1020</v>
      </c>
      <c r="D2478" t="s">
        <v>388</v>
      </c>
      <c r="E2478">
        <v>10297861</v>
      </c>
      <c r="F2478" t="s">
        <v>2565</v>
      </c>
      <c r="G2478" t="s">
        <v>43</v>
      </c>
      <c r="H2478" t="s">
        <v>32</v>
      </c>
      <c r="I2478" t="s">
        <v>390</v>
      </c>
      <c r="J2478" t="s">
        <v>45</v>
      </c>
      <c r="K2478" t="s">
        <v>35</v>
      </c>
      <c r="L2478" t="s">
        <v>175</v>
      </c>
      <c r="M2478" t="s">
        <v>117</v>
      </c>
      <c r="N2478">
        <v>0</v>
      </c>
      <c r="O2478">
        <v>0</v>
      </c>
      <c r="P2478">
        <v>1</v>
      </c>
      <c r="Q2478">
        <v>1</v>
      </c>
      <c r="R2478">
        <v>0</v>
      </c>
      <c r="S2478" t="str">
        <f t="shared" si="190"/>
        <v>PY: Media Crit.</v>
      </c>
      <c r="T2478">
        <f t="shared" si="191"/>
        <v>0</v>
      </c>
      <c r="U2478">
        <f t="shared" si="192"/>
        <v>1</v>
      </c>
      <c r="V2478">
        <f t="shared" si="193"/>
        <v>0</v>
      </c>
      <c r="W2478">
        <f t="shared" si="194"/>
        <v>1</v>
      </c>
      <c r="X2478">
        <v>1</v>
      </c>
      <c r="Y2478" s="2">
        <v>45768</v>
      </c>
      <c r="Z2478" s="3" t="s">
        <v>118</v>
      </c>
      <c r="AA2478" t="s">
        <v>39</v>
      </c>
      <c r="AB2478" t="s">
        <v>40</v>
      </c>
      <c r="AC2478" t="s">
        <v>40</v>
      </c>
      <c r="AD2478" t="s">
        <v>391</v>
      </c>
    </row>
    <row r="2479" spans="2:30">
      <c r="B2479">
        <v>0</v>
      </c>
      <c r="C2479">
        <v>1020</v>
      </c>
      <c r="D2479" t="s">
        <v>693</v>
      </c>
      <c r="E2479">
        <v>10298162</v>
      </c>
      <c r="F2479" t="s">
        <v>2566</v>
      </c>
      <c r="G2479" t="s">
        <v>52</v>
      </c>
      <c r="H2479" t="s">
        <v>32</v>
      </c>
      <c r="I2479" t="s">
        <v>695</v>
      </c>
      <c r="J2479" t="s">
        <v>45</v>
      </c>
      <c r="K2479" t="s">
        <v>35</v>
      </c>
      <c r="L2479" t="s">
        <v>175</v>
      </c>
      <c r="M2479" t="s">
        <v>46</v>
      </c>
      <c r="N2479">
        <v>0</v>
      </c>
      <c r="O2479">
        <v>0</v>
      </c>
      <c r="P2479">
        <v>0</v>
      </c>
      <c r="Q2479">
        <v>0</v>
      </c>
      <c r="R2479">
        <v>0</v>
      </c>
      <c r="S2479" t="str">
        <f t="shared" si="190"/>
        <v>PZ: Alta Crit.</v>
      </c>
      <c r="T2479">
        <f t="shared" si="191"/>
        <v>1</v>
      </c>
      <c r="U2479">
        <f t="shared" si="192"/>
        <v>0</v>
      </c>
      <c r="V2479">
        <f t="shared" si="193"/>
        <v>0</v>
      </c>
      <c r="W2479">
        <f t="shared" si="194"/>
        <v>0</v>
      </c>
      <c r="X2479">
        <v>1</v>
      </c>
      <c r="Y2479" s="2">
        <v>45768</v>
      </c>
      <c r="Z2479" s="3" t="s">
        <v>47</v>
      </c>
      <c r="AA2479" t="s">
        <v>39</v>
      </c>
      <c r="AB2479" t="s">
        <v>40</v>
      </c>
      <c r="AC2479" t="s">
        <v>40</v>
      </c>
      <c r="AD2479" t="s">
        <v>696</v>
      </c>
    </row>
    <row r="2480" spans="2:30">
      <c r="B2480">
        <v>0</v>
      </c>
      <c r="C2480">
        <v>1020</v>
      </c>
      <c r="D2480" t="s">
        <v>693</v>
      </c>
      <c r="E2480">
        <v>10298172</v>
      </c>
      <c r="F2480" t="s">
        <v>2567</v>
      </c>
      <c r="G2480" t="s">
        <v>43</v>
      </c>
      <c r="H2480" t="s">
        <v>32</v>
      </c>
      <c r="I2480" t="s">
        <v>695</v>
      </c>
      <c r="J2480" t="s">
        <v>45</v>
      </c>
      <c r="K2480" t="s">
        <v>65</v>
      </c>
      <c r="L2480" t="s">
        <v>175</v>
      </c>
      <c r="M2480" t="s">
        <v>37</v>
      </c>
      <c r="N2480">
        <v>0</v>
      </c>
      <c r="O2480">
        <v>0</v>
      </c>
      <c r="P2480">
        <v>0</v>
      </c>
      <c r="Q2480">
        <v>40</v>
      </c>
      <c r="R2480">
        <v>0</v>
      </c>
      <c r="S2480" t="str">
        <f t="shared" si="190"/>
        <v>PY: Media Crit.</v>
      </c>
      <c r="T2480">
        <f t="shared" si="191"/>
        <v>0</v>
      </c>
      <c r="U2480">
        <f t="shared" si="192"/>
        <v>0</v>
      </c>
      <c r="V2480">
        <f t="shared" si="193"/>
        <v>0</v>
      </c>
      <c r="W2480">
        <f t="shared" si="194"/>
        <v>1</v>
      </c>
      <c r="X2480">
        <v>1</v>
      </c>
      <c r="Y2480" s="2">
        <v>45768</v>
      </c>
      <c r="Z2480" s="3" t="s">
        <v>38</v>
      </c>
      <c r="AA2480" t="s">
        <v>39</v>
      </c>
      <c r="AB2480" t="s">
        <v>40</v>
      </c>
      <c r="AC2480" t="s">
        <v>40</v>
      </c>
      <c r="AD2480" t="s">
        <v>696</v>
      </c>
    </row>
    <row r="2481" spans="2:30">
      <c r="B2481">
        <v>0</v>
      </c>
      <c r="C2481">
        <v>1020</v>
      </c>
      <c r="D2481" t="s">
        <v>693</v>
      </c>
      <c r="E2481">
        <v>10298201</v>
      </c>
      <c r="F2481" t="s">
        <v>2568</v>
      </c>
      <c r="G2481" t="s">
        <v>52</v>
      </c>
      <c r="H2481" t="s">
        <v>32</v>
      </c>
      <c r="I2481" t="s">
        <v>695</v>
      </c>
      <c r="J2481" t="s">
        <v>45</v>
      </c>
      <c r="K2481" t="s">
        <v>35</v>
      </c>
      <c r="L2481" t="s">
        <v>175</v>
      </c>
      <c r="M2481" t="s">
        <v>46</v>
      </c>
      <c r="N2481">
        <v>0</v>
      </c>
      <c r="O2481">
        <v>0</v>
      </c>
      <c r="P2481">
        <v>0</v>
      </c>
      <c r="Q2481">
        <v>21</v>
      </c>
      <c r="R2481">
        <v>0</v>
      </c>
      <c r="S2481" t="str">
        <f t="shared" si="190"/>
        <v>PZ: Alta Crit.</v>
      </c>
      <c r="T2481">
        <f t="shared" si="191"/>
        <v>0</v>
      </c>
      <c r="U2481">
        <f t="shared" si="192"/>
        <v>0</v>
      </c>
      <c r="V2481">
        <f t="shared" si="193"/>
        <v>0</v>
      </c>
      <c r="W2481">
        <f t="shared" si="194"/>
        <v>1</v>
      </c>
      <c r="X2481">
        <v>1</v>
      </c>
      <c r="Y2481" s="2">
        <v>45768</v>
      </c>
      <c r="Z2481" s="3" t="s">
        <v>47</v>
      </c>
      <c r="AA2481" t="s">
        <v>39</v>
      </c>
      <c r="AB2481" t="s">
        <v>40</v>
      </c>
      <c r="AC2481" t="s">
        <v>40</v>
      </c>
      <c r="AD2481" t="s">
        <v>696</v>
      </c>
    </row>
    <row r="2482" spans="2:30">
      <c r="B2482">
        <v>0</v>
      </c>
      <c r="C2482">
        <v>1020</v>
      </c>
      <c r="D2482" t="s">
        <v>388</v>
      </c>
      <c r="E2482">
        <v>10298247</v>
      </c>
      <c r="F2482" t="s">
        <v>2569</v>
      </c>
      <c r="G2482" t="s">
        <v>43</v>
      </c>
      <c r="H2482" t="s">
        <v>32</v>
      </c>
      <c r="I2482" t="s">
        <v>390</v>
      </c>
      <c r="J2482" t="s">
        <v>45</v>
      </c>
      <c r="K2482" t="s">
        <v>35</v>
      </c>
      <c r="L2482" t="s">
        <v>175</v>
      </c>
      <c r="M2482" t="s">
        <v>117</v>
      </c>
      <c r="N2482">
        <v>0</v>
      </c>
      <c r="O2482">
        <v>0</v>
      </c>
      <c r="P2482">
        <v>4</v>
      </c>
      <c r="Q2482">
        <v>4</v>
      </c>
      <c r="R2482">
        <v>0</v>
      </c>
      <c r="S2482" t="str">
        <f t="shared" si="190"/>
        <v>PY: Media Crit.</v>
      </c>
      <c r="T2482">
        <f t="shared" si="191"/>
        <v>0</v>
      </c>
      <c r="U2482">
        <f t="shared" si="192"/>
        <v>1</v>
      </c>
      <c r="V2482">
        <f t="shared" si="193"/>
        <v>0</v>
      </c>
      <c r="W2482">
        <f t="shared" si="194"/>
        <v>1</v>
      </c>
      <c r="X2482">
        <v>1</v>
      </c>
      <c r="Y2482" s="2">
        <v>45768</v>
      </c>
      <c r="Z2482" s="3" t="s">
        <v>118</v>
      </c>
      <c r="AA2482" t="s">
        <v>39</v>
      </c>
      <c r="AB2482" t="s">
        <v>40</v>
      </c>
      <c r="AC2482" t="s">
        <v>40</v>
      </c>
      <c r="AD2482" t="s">
        <v>391</v>
      </c>
    </row>
    <row r="2483" spans="2:30">
      <c r="B2483">
        <v>0</v>
      </c>
      <c r="C2483">
        <v>1020</v>
      </c>
      <c r="D2483" t="s">
        <v>693</v>
      </c>
      <c r="E2483">
        <v>10298616</v>
      </c>
      <c r="F2483" t="s">
        <v>2570</v>
      </c>
      <c r="G2483" t="s">
        <v>43</v>
      </c>
      <c r="H2483" t="s">
        <v>32</v>
      </c>
      <c r="I2483" t="s">
        <v>695</v>
      </c>
      <c r="J2483" t="s">
        <v>45</v>
      </c>
      <c r="K2483" t="s">
        <v>35</v>
      </c>
      <c r="L2483" t="s">
        <v>175</v>
      </c>
      <c r="M2483" t="s">
        <v>117</v>
      </c>
      <c r="N2483">
        <v>0</v>
      </c>
      <c r="O2483">
        <v>0</v>
      </c>
      <c r="P2483">
        <v>0</v>
      </c>
      <c r="Q2483">
        <v>8</v>
      </c>
      <c r="R2483">
        <v>0</v>
      </c>
      <c r="S2483" t="str">
        <f t="shared" si="190"/>
        <v>PY: Media Crit.</v>
      </c>
      <c r="T2483">
        <f t="shared" si="191"/>
        <v>0</v>
      </c>
      <c r="U2483">
        <f t="shared" si="192"/>
        <v>0</v>
      </c>
      <c r="V2483">
        <f t="shared" si="193"/>
        <v>0</v>
      </c>
      <c r="W2483">
        <f t="shared" si="194"/>
        <v>1</v>
      </c>
      <c r="X2483">
        <v>1</v>
      </c>
      <c r="Y2483" s="2">
        <v>45768</v>
      </c>
      <c r="Z2483" s="3" t="s">
        <v>118</v>
      </c>
      <c r="AA2483" t="s">
        <v>39</v>
      </c>
      <c r="AB2483" t="s">
        <v>40</v>
      </c>
      <c r="AC2483" t="s">
        <v>40</v>
      </c>
      <c r="AD2483" t="s">
        <v>696</v>
      </c>
    </row>
    <row r="2484" spans="2:30">
      <c r="B2484">
        <v>0</v>
      </c>
      <c r="C2484">
        <v>1020</v>
      </c>
      <c r="D2484" t="s">
        <v>388</v>
      </c>
      <c r="E2484">
        <v>10365747</v>
      </c>
      <c r="F2484" t="s">
        <v>2571</v>
      </c>
      <c r="G2484" t="s">
        <v>52</v>
      </c>
      <c r="H2484" t="s">
        <v>32</v>
      </c>
      <c r="I2484" t="s">
        <v>390</v>
      </c>
      <c r="J2484" t="s">
        <v>45</v>
      </c>
      <c r="K2484" t="s">
        <v>35</v>
      </c>
      <c r="L2484" t="s">
        <v>175</v>
      </c>
      <c r="M2484" t="s">
        <v>69</v>
      </c>
      <c r="N2484">
        <v>0</v>
      </c>
      <c r="O2484">
        <v>0</v>
      </c>
      <c r="P2484">
        <v>1</v>
      </c>
      <c r="Q2484">
        <v>1</v>
      </c>
      <c r="R2484">
        <v>0</v>
      </c>
      <c r="S2484" t="str">
        <f t="shared" si="190"/>
        <v>PZ: Alta Crit.</v>
      </c>
      <c r="T2484">
        <f t="shared" si="191"/>
        <v>0</v>
      </c>
      <c r="U2484">
        <f t="shared" si="192"/>
        <v>1</v>
      </c>
      <c r="V2484">
        <f t="shared" si="193"/>
        <v>0</v>
      </c>
      <c r="W2484">
        <f t="shared" si="194"/>
        <v>1</v>
      </c>
      <c r="X2484">
        <v>1</v>
      </c>
      <c r="Y2484" s="2">
        <v>45768</v>
      </c>
      <c r="Z2484" s="3" t="s">
        <v>70</v>
      </c>
      <c r="AA2484" t="s">
        <v>39</v>
      </c>
      <c r="AB2484" t="s">
        <v>40</v>
      </c>
      <c r="AC2484" t="s">
        <v>40</v>
      </c>
      <c r="AD2484" t="s">
        <v>391</v>
      </c>
    </row>
    <row r="2485" spans="2:30">
      <c r="B2485">
        <v>0</v>
      </c>
      <c r="C2485">
        <v>1020</v>
      </c>
      <c r="D2485" t="s">
        <v>388</v>
      </c>
      <c r="E2485">
        <v>10399511</v>
      </c>
      <c r="F2485" t="s">
        <v>2572</v>
      </c>
      <c r="G2485" t="s">
        <v>52</v>
      </c>
      <c r="H2485" t="s">
        <v>32</v>
      </c>
      <c r="I2485" t="s">
        <v>390</v>
      </c>
      <c r="J2485" t="s">
        <v>45</v>
      </c>
      <c r="K2485" t="s">
        <v>35</v>
      </c>
      <c r="L2485" t="s">
        <v>175</v>
      </c>
      <c r="M2485" t="s">
        <v>69</v>
      </c>
      <c r="N2485">
        <v>0</v>
      </c>
      <c r="O2485">
        <v>0</v>
      </c>
      <c r="P2485">
        <v>1</v>
      </c>
      <c r="Q2485">
        <v>1</v>
      </c>
      <c r="R2485">
        <v>0</v>
      </c>
      <c r="S2485" t="str">
        <f t="shared" si="190"/>
        <v>PZ: Alta Crit.</v>
      </c>
      <c r="T2485">
        <f t="shared" si="191"/>
        <v>0</v>
      </c>
      <c r="U2485">
        <f t="shared" si="192"/>
        <v>1</v>
      </c>
      <c r="V2485">
        <f t="shared" si="193"/>
        <v>0</v>
      </c>
      <c r="W2485">
        <f t="shared" si="194"/>
        <v>1</v>
      </c>
      <c r="X2485">
        <v>1</v>
      </c>
      <c r="Y2485" s="2">
        <v>45768</v>
      </c>
      <c r="Z2485" s="3" t="s">
        <v>70</v>
      </c>
      <c r="AA2485" t="s">
        <v>39</v>
      </c>
      <c r="AB2485" t="s">
        <v>40</v>
      </c>
      <c r="AC2485" t="s">
        <v>40</v>
      </c>
      <c r="AD2485" t="s">
        <v>391</v>
      </c>
    </row>
    <row r="2486" spans="2:30">
      <c r="B2486">
        <v>0</v>
      </c>
      <c r="C2486">
        <v>1020</v>
      </c>
      <c r="D2486" t="s">
        <v>388</v>
      </c>
      <c r="E2486">
        <v>10410513</v>
      </c>
      <c r="F2486" t="s">
        <v>2573</v>
      </c>
      <c r="G2486" t="s">
        <v>52</v>
      </c>
      <c r="H2486" t="s">
        <v>44</v>
      </c>
      <c r="I2486" t="s">
        <v>390</v>
      </c>
      <c r="J2486" t="s">
        <v>45</v>
      </c>
      <c r="K2486" t="s">
        <v>35</v>
      </c>
      <c r="L2486" t="s">
        <v>175</v>
      </c>
      <c r="M2486" t="s">
        <v>69</v>
      </c>
      <c r="N2486">
        <v>0</v>
      </c>
      <c r="O2486">
        <v>0</v>
      </c>
      <c r="P2486">
        <v>1</v>
      </c>
      <c r="Q2486">
        <v>1</v>
      </c>
      <c r="R2486">
        <v>0</v>
      </c>
      <c r="S2486" t="str">
        <f t="shared" si="190"/>
        <v>PZ: Alta Crit.</v>
      </c>
      <c r="T2486">
        <f t="shared" si="191"/>
        <v>0</v>
      </c>
      <c r="U2486">
        <f t="shared" si="192"/>
        <v>1</v>
      </c>
      <c r="V2486">
        <f t="shared" si="193"/>
        <v>0</v>
      </c>
      <c r="W2486">
        <f t="shared" si="194"/>
        <v>1</v>
      </c>
      <c r="X2486">
        <v>1</v>
      </c>
      <c r="Y2486" s="2">
        <v>45768</v>
      </c>
      <c r="Z2486" s="3" t="s">
        <v>70</v>
      </c>
      <c r="AA2486" t="s">
        <v>39</v>
      </c>
      <c r="AB2486" t="s">
        <v>40</v>
      </c>
      <c r="AC2486" t="s">
        <v>40</v>
      </c>
      <c r="AD2486" t="s">
        <v>391</v>
      </c>
    </row>
    <row r="2487" spans="2:30">
      <c r="B2487">
        <v>0</v>
      </c>
      <c r="C2487">
        <v>1020</v>
      </c>
      <c r="D2487" t="s">
        <v>693</v>
      </c>
      <c r="E2487">
        <v>10440448</v>
      </c>
      <c r="F2487" t="s">
        <v>2574</v>
      </c>
      <c r="G2487" t="s">
        <v>31</v>
      </c>
      <c r="H2487" t="s">
        <v>32</v>
      </c>
      <c r="I2487" t="s">
        <v>695</v>
      </c>
      <c r="J2487" t="s">
        <v>45</v>
      </c>
      <c r="K2487" t="s">
        <v>35</v>
      </c>
      <c r="L2487" t="s">
        <v>175</v>
      </c>
      <c r="M2487" t="s">
        <v>46</v>
      </c>
      <c r="N2487">
        <v>0</v>
      </c>
      <c r="O2487">
        <v>0</v>
      </c>
      <c r="P2487">
        <v>0</v>
      </c>
      <c r="Q2487">
        <v>2</v>
      </c>
      <c r="R2487">
        <v>0</v>
      </c>
      <c r="S2487" t="str">
        <f t="shared" si="190"/>
        <v>PX: Baja Crit.</v>
      </c>
      <c r="T2487">
        <f t="shared" si="191"/>
        <v>0</v>
      </c>
      <c r="U2487">
        <f t="shared" si="192"/>
        <v>0</v>
      </c>
      <c r="V2487">
        <f t="shared" si="193"/>
        <v>0</v>
      </c>
      <c r="W2487">
        <f t="shared" si="194"/>
        <v>1</v>
      </c>
      <c r="X2487">
        <v>1</v>
      </c>
      <c r="Y2487" s="2">
        <v>45768</v>
      </c>
      <c r="Z2487" s="3" t="s">
        <v>47</v>
      </c>
      <c r="AA2487" t="s">
        <v>39</v>
      </c>
      <c r="AB2487" t="s">
        <v>40</v>
      </c>
      <c r="AC2487" t="s">
        <v>40</v>
      </c>
      <c r="AD2487" t="s">
        <v>696</v>
      </c>
    </row>
    <row r="2488" spans="2:30">
      <c r="B2488">
        <v>0</v>
      </c>
      <c r="C2488">
        <v>1020</v>
      </c>
      <c r="D2488" t="s">
        <v>693</v>
      </c>
      <c r="E2488">
        <v>10598806</v>
      </c>
      <c r="F2488" t="s">
        <v>2575</v>
      </c>
      <c r="G2488" t="s">
        <v>52</v>
      </c>
      <c r="H2488" t="s">
        <v>32</v>
      </c>
      <c r="I2488" t="s">
        <v>695</v>
      </c>
      <c r="J2488" t="s">
        <v>45</v>
      </c>
      <c r="K2488" t="s">
        <v>35</v>
      </c>
      <c r="L2488" t="s">
        <v>175</v>
      </c>
      <c r="M2488" t="s">
        <v>117</v>
      </c>
      <c r="N2488">
        <v>0</v>
      </c>
      <c r="O2488">
        <v>0</v>
      </c>
      <c r="P2488">
        <v>0</v>
      </c>
      <c r="Q2488">
        <v>0</v>
      </c>
      <c r="R2488">
        <v>0</v>
      </c>
      <c r="S2488" t="str">
        <f t="shared" si="190"/>
        <v>PZ: Alta Crit.</v>
      </c>
      <c r="T2488">
        <f t="shared" si="191"/>
        <v>1</v>
      </c>
      <c r="U2488">
        <f t="shared" si="192"/>
        <v>0</v>
      </c>
      <c r="V2488">
        <f t="shared" si="193"/>
        <v>0</v>
      </c>
      <c r="W2488">
        <f t="shared" si="194"/>
        <v>0</v>
      </c>
      <c r="X2488">
        <v>1</v>
      </c>
      <c r="Y2488" s="2">
        <v>45768</v>
      </c>
      <c r="Z2488" s="3" t="s">
        <v>118</v>
      </c>
      <c r="AA2488" t="s">
        <v>39</v>
      </c>
      <c r="AB2488" t="s">
        <v>40</v>
      </c>
      <c r="AC2488" t="s">
        <v>40</v>
      </c>
      <c r="AD2488" t="s">
        <v>696</v>
      </c>
    </row>
    <row r="2489" spans="2:30">
      <c r="B2489">
        <v>0</v>
      </c>
      <c r="C2489">
        <v>1020</v>
      </c>
      <c r="D2489" t="s">
        <v>693</v>
      </c>
      <c r="E2489">
        <v>10598868</v>
      </c>
      <c r="F2489" t="s">
        <v>2576</v>
      </c>
      <c r="G2489" t="s">
        <v>43</v>
      </c>
      <c r="H2489" t="s">
        <v>32</v>
      </c>
      <c r="I2489" t="s">
        <v>695</v>
      </c>
      <c r="J2489" t="s">
        <v>45</v>
      </c>
      <c r="K2489" t="s">
        <v>35</v>
      </c>
      <c r="L2489" t="s">
        <v>175</v>
      </c>
      <c r="M2489" t="s">
        <v>69</v>
      </c>
      <c r="N2489">
        <v>0</v>
      </c>
      <c r="O2489">
        <v>0</v>
      </c>
      <c r="P2489">
        <v>0</v>
      </c>
      <c r="Q2489">
        <v>2</v>
      </c>
      <c r="R2489">
        <v>0</v>
      </c>
      <c r="S2489" t="str">
        <f t="shared" si="190"/>
        <v>PY: Media Crit.</v>
      </c>
      <c r="T2489">
        <f t="shared" si="191"/>
        <v>0</v>
      </c>
      <c r="U2489">
        <f t="shared" si="192"/>
        <v>0</v>
      </c>
      <c r="V2489">
        <f t="shared" si="193"/>
        <v>0</v>
      </c>
      <c r="W2489">
        <f t="shared" si="194"/>
        <v>1</v>
      </c>
      <c r="X2489">
        <v>1</v>
      </c>
      <c r="Y2489" s="2">
        <v>45768</v>
      </c>
      <c r="Z2489" s="3" t="s">
        <v>70</v>
      </c>
      <c r="AA2489" t="s">
        <v>39</v>
      </c>
      <c r="AB2489" t="s">
        <v>40</v>
      </c>
      <c r="AC2489" t="s">
        <v>40</v>
      </c>
      <c r="AD2489" t="s">
        <v>696</v>
      </c>
    </row>
    <row r="2490" spans="2:30">
      <c r="B2490">
        <v>0</v>
      </c>
      <c r="C2490">
        <v>1020</v>
      </c>
      <c r="D2490" t="s">
        <v>693</v>
      </c>
      <c r="E2490">
        <v>10599502</v>
      </c>
      <c r="F2490" t="s">
        <v>2577</v>
      </c>
      <c r="G2490" t="s">
        <v>52</v>
      </c>
      <c r="H2490" t="s">
        <v>32</v>
      </c>
      <c r="I2490" t="s">
        <v>695</v>
      </c>
      <c r="J2490" t="s">
        <v>45</v>
      </c>
      <c r="K2490" t="s">
        <v>35</v>
      </c>
      <c r="L2490" t="s">
        <v>36</v>
      </c>
      <c r="M2490" t="s">
        <v>46</v>
      </c>
      <c r="N2490">
        <v>520</v>
      </c>
      <c r="O2490">
        <v>205</v>
      </c>
      <c r="P2490">
        <v>100</v>
      </c>
      <c r="Q2490">
        <v>540</v>
      </c>
      <c r="R2490">
        <v>0</v>
      </c>
      <c r="S2490" t="str">
        <f t="shared" si="190"/>
        <v>PZ: Alta Crit.</v>
      </c>
      <c r="T2490">
        <f t="shared" si="191"/>
        <v>0</v>
      </c>
      <c r="U2490">
        <f t="shared" si="192"/>
        <v>0</v>
      </c>
      <c r="V2490">
        <f t="shared" si="193"/>
        <v>0</v>
      </c>
      <c r="W2490">
        <f t="shared" si="194"/>
        <v>1</v>
      </c>
      <c r="X2490">
        <v>1</v>
      </c>
      <c r="Y2490" s="2">
        <v>45768</v>
      </c>
      <c r="Z2490" s="3" t="s">
        <v>47</v>
      </c>
      <c r="AA2490" t="s">
        <v>39</v>
      </c>
      <c r="AB2490" t="s">
        <v>40</v>
      </c>
      <c r="AC2490" t="s">
        <v>40</v>
      </c>
      <c r="AD2490" t="s">
        <v>696</v>
      </c>
    </row>
    <row r="2491" spans="2:30">
      <c r="B2491">
        <v>0</v>
      </c>
      <c r="C2491">
        <v>1020</v>
      </c>
      <c r="D2491" t="s">
        <v>181</v>
      </c>
      <c r="E2491">
        <v>10599983</v>
      </c>
      <c r="F2491" t="s">
        <v>2578</v>
      </c>
      <c r="G2491" t="s">
        <v>31</v>
      </c>
      <c r="H2491" t="s">
        <v>32</v>
      </c>
      <c r="I2491" t="s">
        <v>183</v>
      </c>
      <c r="J2491" t="s">
        <v>45</v>
      </c>
      <c r="K2491" t="s">
        <v>35</v>
      </c>
      <c r="L2491" t="s">
        <v>36</v>
      </c>
      <c r="M2491" t="s">
        <v>46</v>
      </c>
      <c r="N2491">
        <v>600</v>
      </c>
      <c r="O2491">
        <v>341</v>
      </c>
      <c r="P2491">
        <v>200</v>
      </c>
      <c r="Q2491">
        <v>440</v>
      </c>
      <c r="R2491">
        <v>0</v>
      </c>
      <c r="S2491" t="str">
        <f t="shared" si="190"/>
        <v>PX: Baja Crit.</v>
      </c>
      <c r="T2491">
        <f t="shared" si="191"/>
        <v>0</v>
      </c>
      <c r="U2491">
        <f t="shared" si="192"/>
        <v>0</v>
      </c>
      <c r="V2491">
        <f t="shared" si="193"/>
        <v>1</v>
      </c>
      <c r="W2491">
        <f t="shared" si="194"/>
        <v>0</v>
      </c>
      <c r="X2491">
        <v>1</v>
      </c>
      <c r="Y2491" s="2">
        <v>45768</v>
      </c>
      <c r="Z2491" s="3" t="s">
        <v>47</v>
      </c>
      <c r="AA2491" t="s">
        <v>39</v>
      </c>
      <c r="AB2491" t="s">
        <v>40</v>
      </c>
      <c r="AC2491" t="s">
        <v>40</v>
      </c>
      <c r="AD2491" t="s">
        <v>184</v>
      </c>
    </row>
    <row r="2492" spans="2:30">
      <c r="B2492">
        <v>0</v>
      </c>
      <c r="C2492">
        <v>1020</v>
      </c>
      <c r="D2492" t="s">
        <v>693</v>
      </c>
      <c r="E2492">
        <v>10600009</v>
      </c>
      <c r="F2492" t="s">
        <v>2579</v>
      </c>
      <c r="G2492" t="s">
        <v>52</v>
      </c>
      <c r="H2492" t="s">
        <v>32</v>
      </c>
      <c r="I2492" t="s">
        <v>695</v>
      </c>
      <c r="J2492" t="s">
        <v>45</v>
      </c>
      <c r="K2492" t="s">
        <v>35</v>
      </c>
      <c r="L2492" t="s">
        <v>175</v>
      </c>
      <c r="M2492" t="s">
        <v>69</v>
      </c>
      <c r="N2492">
        <v>0</v>
      </c>
      <c r="O2492">
        <v>0</v>
      </c>
      <c r="P2492">
        <v>0</v>
      </c>
      <c r="Q2492">
        <v>1</v>
      </c>
      <c r="R2492">
        <v>0</v>
      </c>
      <c r="S2492" t="str">
        <f t="shared" si="190"/>
        <v>PZ: Alta Crit.</v>
      </c>
      <c r="T2492">
        <f t="shared" si="191"/>
        <v>0</v>
      </c>
      <c r="U2492">
        <f t="shared" si="192"/>
        <v>0</v>
      </c>
      <c r="V2492">
        <f t="shared" si="193"/>
        <v>0</v>
      </c>
      <c r="W2492">
        <f t="shared" si="194"/>
        <v>1</v>
      </c>
      <c r="X2492">
        <v>1</v>
      </c>
      <c r="Y2492" s="2">
        <v>45768</v>
      </c>
      <c r="Z2492" s="3" t="s">
        <v>70</v>
      </c>
      <c r="AA2492" t="s">
        <v>39</v>
      </c>
      <c r="AB2492" t="s">
        <v>40</v>
      </c>
      <c r="AC2492" t="s">
        <v>40</v>
      </c>
      <c r="AD2492" t="s">
        <v>696</v>
      </c>
    </row>
    <row r="2493" spans="2:30">
      <c r="B2493">
        <v>0</v>
      </c>
      <c r="C2493">
        <v>1020</v>
      </c>
      <c r="D2493" t="s">
        <v>384</v>
      </c>
      <c r="E2493">
        <v>10600328</v>
      </c>
      <c r="F2493" t="s">
        <v>2580</v>
      </c>
      <c r="G2493" t="s">
        <v>43</v>
      </c>
      <c r="H2493" t="s">
        <v>32</v>
      </c>
      <c r="I2493" t="s">
        <v>386</v>
      </c>
      <c r="J2493" t="s">
        <v>45</v>
      </c>
      <c r="K2493" t="s">
        <v>260</v>
      </c>
      <c r="L2493" t="s">
        <v>175</v>
      </c>
      <c r="M2493" t="s">
        <v>37</v>
      </c>
      <c r="N2493">
        <v>0</v>
      </c>
      <c r="O2493">
        <v>0</v>
      </c>
      <c r="P2493">
        <v>0</v>
      </c>
      <c r="Q2493">
        <v>2</v>
      </c>
      <c r="R2493">
        <v>0</v>
      </c>
      <c r="S2493" t="str">
        <f t="shared" si="190"/>
        <v>PY: Media Crit.</v>
      </c>
      <c r="T2493">
        <f t="shared" si="191"/>
        <v>0</v>
      </c>
      <c r="U2493">
        <f t="shared" si="192"/>
        <v>0</v>
      </c>
      <c r="V2493">
        <f t="shared" si="193"/>
        <v>0</v>
      </c>
      <c r="W2493">
        <f t="shared" si="194"/>
        <v>1</v>
      </c>
      <c r="X2493">
        <v>1</v>
      </c>
      <c r="Y2493" s="2">
        <v>45768</v>
      </c>
      <c r="Z2493" s="3" t="s">
        <v>38</v>
      </c>
      <c r="AA2493" t="s">
        <v>39</v>
      </c>
      <c r="AB2493" t="s">
        <v>40</v>
      </c>
      <c r="AC2493" t="s">
        <v>40</v>
      </c>
      <c r="AD2493" t="s">
        <v>387</v>
      </c>
    </row>
    <row r="2494" spans="2:30">
      <c r="B2494">
        <v>0</v>
      </c>
      <c r="C2494">
        <v>1020</v>
      </c>
      <c r="D2494" t="s">
        <v>384</v>
      </c>
      <c r="E2494">
        <v>10601551</v>
      </c>
      <c r="F2494" t="s">
        <v>2581</v>
      </c>
      <c r="G2494" t="s">
        <v>43</v>
      </c>
      <c r="H2494" t="s">
        <v>32</v>
      </c>
      <c r="I2494" t="s">
        <v>386</v>
      </c>
      <c r="J2494" t="s">
        <v>45</v>
      </c>
      <c r="K2494" t="s">
        <v>35</v>
      </c>
      <c r="L2494" t="s">
        <v>175</v>
      </c>
      <c r="M2494" t="s">
        <v>117</v>
      </c>
      <c r="N2494">
        <v>0</v>
      </c>
      <c r="O2494">
        <v>0</v>
      </c>
      <c r="P2494">
        <v>0</v>
      </c>
      <c r="Q2494">
        <v>20</v>
      </c>
      <c r="R2494">
        <v>0</v>
      </c>
      <c r="S2494" t="str">
        <f t="shared" si="190"/>
        <v>PY: Media Crit.</v>
      </c>
      <c r="T2494">
        <f t="shared" si="191"/>
        <v>0</v>
      </c>
      <c r="U2494">
        <f t="shared" si="192"/>
        <v>0</v>
      </c>
      <c r="V2494">
        <f t="shared" si="193"/>
        <v>0</v>
      </c>
      <c r="W2494">
        <f t="shared" si="194"/>
        <v>1</v>
      </c>
      <c r="X2494">
        <v>1</v>
      </c>
      <c r="Y2494" s="2">
        <v>45768</v>
      </c>
      <c r="Z2494" s="3" t="s">
        <v>118</v>
      </c>
      <c r="AA2494" t="s">
        <v>39</v>
      </c>
      <c r="AB2494" t="s">
        <v>40</v>
      </c>
      <c r="AC2494" t="s">
        <v>40</v>
      </c>
      <c r="AD2494" t="s">
        <v>387</v>
      </c>
    </row>
    <row r="2495" spans="2:30">
      <c r="B2495">
        <v>0</v>
      </c>
      <c r="C2495">
        <v>1020</v>
      </c>
      <c r="D2495" t="s">
        <v>693</v>
      </c>
      <c r="E2495">
        <v>10601602</v>
      </c>
      <c r="F2495" t="s">
        <v>2582</v>
      </c>
      <c r="G2495" t="s">
        <v>43</v>
      </c>
      <c r="H2495" t="s">
        <v>32</v>
      </c>
      <c r="I2495" t="s">
        <v>695</v>
      </c>
      <c r="J2495" t="s">
        <v>45</v>
      </c>
      <c r="K2495" t="s">
        <v>35</v>
      </c>
      <c r="L2495" t="s">
        <v>175</v>
      </c>
      <c r="M2495" t="s">
        <v>117</v>
      </c>
      <c r="N2495">
        <v>0</v>
      </c>
      <c r="O2495">
        <v>0</v>
      </c>
      <c r="P2495">
        <v>0</v>
      </c>
      <c r="Q2495">
        <v>5</v>
      </c>
      <c r="R2495">
        <v>0</v>
      </c>
      <c r="S2495" t="str">
        <f t="shared" si="190"/>
        <v>PY: Media Crit.</v>
      </c>
      <c r="T2495">
        <f t="shared" si="191"/>
        <v>0</v>
      </c>
      <c r="U2495">
        <f t="shared" si="192"/>
        <v>0</v>
      </c>
      <c r="V2495">
        <f t="shared" si="193"/>
        <v>0</v>
      </c>
      <c r="W2495">
        <f t="shared" si="194"/>
        <v>1</v>
      </c>
      <c r="X2495">
        <v>1</v>
      </c>
      <c r="Y2495" s="2">
        <v>45768</v>
      </c>
      <c r="Z2495" s="3" t="s">
        <v>118</v>
      </c>
      <c r="AA2495" t="s">
        <v>39</v>
      </c>
      <c r="AB2495" t="s">
        <v>40</v>
      </c>
      <c r="AC2495" t="s">
        <v>40</v>
      </c>
      <c r="AD2495" t="s">
        <v>696</v>
      </c>
    </row>
    <row r="2496" spans="2:30">
      <c r="B2496">
        <v>0</v>
      </c>
      <c r="C2496">
        <v>1020</v>
      </c>
      <c r="D2496" t="s">
        <v>693</v>
      </c>
      <c r="E2496">
        <v>10601740</v>
      </c>
      <c r="F2496" t="s">
        <v>2583</v>
      </c>
      <c r="G2496" t="s">
        <v>43</v>
      </c>
      <c r="H2496" t="s">
        <v>32</v>
      </c>
      <c r="I2496" t="s">
        <v>695</v>
      </c>
      <c r="J2496" t="s">
        <v>45</v>
      </c>
      <c r="K2496" t="s">
        <v>35</v>
      </c>
      <c r="L2496" t="s">
        <v>175</v>
      </c>
      <c r="M2496" t="s">
        <v>46</v>
      </c>
      <c r="N2496">
        <v>0</v>
      </c>
      <c r="O2496">
        <v>0</v>
      </c>
      <c r="P2496">
        <v>0</v>
      </c>
      <c r="Q2496">
        <v>0</v>
      </c>
      <c r="R2496">
        <v>0</v>
      </c>
      <c r="S2496" t="str">
        <f t="shared" si="190"/>
        <v>PY: Media Crit.</v>
      </c>
      <c r="T2496">
        <f t="shared" si="191"/>
        <v>1</v>
      </c>
      <c r="U2496">
        <f t="shared" si="192"/>
        <v>0</v>
      </c>
      <c r="V2496">
        <f t="shared" si="193"/>
        <v>0</v>
      </c>
      <c r="W2496">
        <f t="shared" si="194"/>
        <v>0</v>
      </c>
      <c r="X2496">
        <v>1</v>
      </c>
      <c r="Y2496" s="2">
        <v>45768</v>
      </c>
      <c r="Z2496" s="3" t="s">
        <v>47</v>
      </c>
      <c r="AA2496" t="s">
        <v>39</v>
      </c>
      <c r="AB2496" t="s">
        <v>40</v>
      </c>
      <c r="AC2496" t="s">
        <v>40</v>
      </c>
      <c r="AD2496" t="s">
        <v>696</v>
      </c>
    </row>
    <row r="2497" spans="2:30">
      <c r="B2497">
        <v>0</v>
      </c>
      <c r="C2497">
        <v>1020</v>
      </c>
      <c r="D2497" t="s">
        <v>693</v>
      </c>
      <c r="E2497">
        <v>10606919</v>
      </c>
      <c r="F2497" t="s">
        <v>2584</v>
      </c>
      <c r="G2497" t="s">
        <v>52</v>
      </c>
      <c r="H2497" t="s">
        <v>32</v>
      </c>
      <c r="I2497" t="s">
        <v>695</v>
      </c>
      <c r="J2497" t="s">
        <v>45</v>
      </c>
      <c r="K2497" t="s">
        <v>35</v>
      </c>
      <c r="L2497" t="s">
        <v>175</v>
      </c>
      <c r="M2497" t="s">
        <v>69</v>
      </c>
      <c r="N2497">
        <v>0</v>
      </c>
      <c r="O2497">
        <v>0</v>
      </c>
      <c r="P2497">
        <v>0</v>
      </c>
      <c r="Q2497">
        <v>1</v>
      </c>
      <c r="R2497">
        <v>0</v>
      </c>
      <c r="S2497" t="str">
        <f t="shared" si="190"/>
        <v>PZ: Alta Crit.</v>
      </c>
      <c r="T2497">
        <f t="shared" si="191"/>
        <v>0</v>
      </c>
      <c r="U2497">
        <f t="shared" si="192"/>
        <v>0</v>
      </c>
      <c r="V2497">
        <f t="shared" si="193"/>
        <v>0</v>
      </c>
      <c r="W2497">
        <f t="shared" si="194"/>
        <v>1</v>
      </c>
      <c r="X2497">
        <v>1</v>
      </c>
      <c r="Y2497" s="2">
        <v>45768</v>
      </c>
      <c r="Z2497" s="3" t="s">
        <v>70</v>
      </c>
      <c r="AA2497" t="s">
        <v>39</v>
      </c>
      <c r="AB2497" t="s">
        <v>40</v>
      </c>
      <c r="AC2497" t="s">
        <v>40</v>
      </c>
      <c r="AD2497" t="s">
        <v>696</v>
      </c>
    </row>
    <row r="2498" spans="2:30">
      <c r="B2498">
        <v>0</v>
      </c>
      <c r="C2498">
        <v>1020</v>
      </c>
      <c r="D2498" t="s">
        <v>388</v>
      </c>
      <c r="E2498">
        <v>10607163</v>
      </c>
      <c r="F2498" t="s">
        <v>2585</v>
      </c>
      <c r="G2498" t="s">
        <v>43</v>
      </c>
      <c r="H2498" t="s">
        <v>32</v>
      </c>
      <c r="I2498" t="s">
        <v>390</v>
      </c>
      <c r="J2498" t="s">
        <v>45</v>
      </c>
      <c r="K2498" t="s">
        <v>35</v>
      </c>
      <c r="L2498" t="s">
        <v>175</v>
      </c>
      <c r="M2498" t="s">
        <v>37</v>
      </c>
      <c r="N2498">
        <v>0</v>
      </c>
      <c r="O2498">
        <v>0</v>
      </c>
      <c r="P2498">
        <v>1</v>
      </c>
      <c r="Q2498">
        <v>1</v>
      </c>
      <c r="R2498">
        <v>0</v>
      </c>
      <c r="S2498" t="str">
        <f t="shared" ref="S2498:S2561" si="195">+IF(G2498="PZ", "PZ: Alta Crit.",IF(G2498="PY","PY: Media Crit.", "PX: Baja Crit."))</f>
        <v>PY: Media Crit.</v>
      </c>
      <c r="T2498">
        <f t="shared" ref="T2498:T2561" si="196">+IF(Q2498=0,1,0)</f>
        <v>0</v>
      </c>
      <c r="U2498">
        <f t="shared" ref="U2498:U2561" si="197">+IF(AND(Q2498&lt;=P2498,Q2498&gt;0),1,0)</f>
        <v>1</v>
      </c>
      <c r="V2498">
        <f t="shared" ref="V2498:V2561" si="198">+IF(AND(Q2498&gt;P2498,Q2498&lt;=N2498),1,0)</f>
        <v>0</v>
      </c>
      <c r="W2498">
        <f t="shared" ref="W2498:W2561" si="199">+IF(Q2498&gt;N2498,1,0)</f>
        <v>1</v>
      </c>
      <c r="X2498">
        <v>1</v>
      </c>
      <c r="Y2498" s="2">
        <v>45768</v>
      </c>
      <c r="Z2498" s="3" t="s">
        <v>38</v>
      </c>
      <c r="AA2498" t="s">
        <v>39</v>
      </c>
      <c r="AB2498" t="s">
        <v>40</v>
      </c>
      <c r="AC2498" t="s">
        <v>40</v>
      </c>
      <c r="AD2498" t="s">
        <v>391</v>
      </c>
    </row>
    <row r="2499" spans="2:30">
      <c r="B2499">
        <v>0</v>
      </c>
      <c r="C2499">
        <v>1020</v>
      </c>
      <c r="D2499" t="s">
        <v>384</v>
      </c>
      <c r="E2499">
        <v>10607371</v>
      </c>
      <c r="F2499" t="s">
        <v>2586</v>
      </c>
      <c r="G2499" t="s">
        <v>43</v>
      </c>
      <c r="H2499" t="s">
        <v>32</v>
      </c>
      <c r="I2499" t="s">
        <v>386</v>
      </c>
      <c r="J2499" t="s">
        <v>45</v>
      </c>
      <c r="K2499" t="s">
        <v>35</v>
      </c>
      <c r="L2499" t="s">
        <v>175</v>
      </c>
      <c r="M2499" t="s">
        <v>69</v>
      </c>
      <c r="N2499">
        <v>0</v>
      </c>
      <c r="O2499">
        <v>0</v>
      </c>
      <c r="P2499">
        <v>0</v>
      </c>
      <c r="Q2499">
        <v>2</v>
      </c>
      <c r="R2499">
        <v>0</v>
      </c>
      <c r="S2499" t="str">
        <f t="shared" si="195"/>
        <v>PY: Media Crit.</v>
      </c>
      <c r="T2499">
        <f t="shared" si="196"/>
        <v>0</v>
      </c>
      <c r="U2499">
        <f t="shared" si="197"/>
        <v>0</v>
      </c>
      <c r="V2499">
        <f t="shared" si="198"/>
        <v>0</v>
      </c>
      <c r="W2499">
        <f t="shared" si="199"/>
        <v>1</v>
      </c>
      <c r="X2499">
        <v>1</v>
      </c>
      <c r="Y2499" s="2">
        <v>45768</v>
      </c>
      <c r="Z2499" s="3" t="s">
        <v>70</v>
      </c>
      <c r="AA2499" t="s">
        <v>39</v>
      </c>
      <c r="AB2499" t="s">
        <v>40</v>
      </c>
      <c r="AC2499" t="s">
        <v>40</v>
      </c>
      <c r="AD2499" t="s">
        <v>387</v>
      </c>
    </row>
    <row r="2500" spans="2:30">
      <c r="B2500">
        <v>0</v>
      </c>
      <c r="C2500">
        <v>1020</v>
      </c>
      <c r="D2500" t="s">
        <v>181</v>
      </c>
      <c r="E2500">
        <v>10607407</v>
      </c>
      <c r="F2500" t="s">
        <v>2587</v>
      </c>
      <c r="G2500" t="s">
        <v>43</v>
      </c>
      <c r="H2500" t="s">
        <v>60</v>
      </c>
      <c r="I2500" t="s">
        <v>183</v>
      </c>
      <c r="J2500" t="s">
        <v>45</v>
      </c>
      <c r="K2500" t="s">
        <v>35</v>
      </c>
      <c r="L2500" t="s">
        <v>36</v>
      </c>
      <c r="M2500" t="s">
        <v>46</v>
      </c>
      <c r="N2500">
        <v>2</v>
      </c>
      <c r="O2500">
        <v>2</v>
      </c>
      <c r="P2500">
        <v>1</v>
      </c>
      <c r="Q2500">
        <v>2</v>
      </c>
      <c r="R2500">
        <v>0</v>
      </c>
      <c r="S2500" t="str">
        <f t="shared" si="195"/>
        <v>PY: Media Crit.</v>
      </c>
      <c r="T2500">
        <f t="shared" si="196"/>
        <v>0</v>
      </c>
      <c r="U2500">
        <f t="shared" si="197"/>
        <v>0</v>
      </c>
      <c r="V2500">
        <f t="shared" si="198"/>
        <v>1</v>
      </c>
      <c r="W2500">
        <f t="shared" si="199"/>
        <v>0</v>
      </c>
      <c r="X2500">
        <v>1</v>
      </c>
      <c r="Y2500" s="2">
        <v>45768</v>
      </c>
      <c r="Z2500" s="3" t="s">
        <v>47</v>
      </c>
      <c r="AA2500" t="s">
        <v>39</v>
      </c>
      <c r="AB2500" t="s">
        <v>40</v>
      </c>
      <c r="AC2500" t="s">
        <v>40</v>
      </c>
      <c r="AD2500" t="s">
        <v>184</v>
      </c>
    </row>
    <row r="2501" spans="2:30">
      <c r="B2501">
        <v>0</v>
      </c>
      <c r="C2501">
        <v>1020</v>
      </c>
      <c r="D2501" t="s">
        <v>693</v>
      </c>
      <c r="E2501">
        <v>10607471</v>
      </c>
      <c r="F2501" t="s">
        <v>2588</v>
      </c>
      <c r="G2501" t="s">
        <v>43</v>
      </c>
      <c r="H2501" t="s">
        <v>32</v>
      </c>
      <c r="I2501" t="s">
        <v>695</v>
      </c>
      <c r="J2501" t="s">
        <v>45</v>
      </c>
      <c r="K2501" t="s">
        <v>35</v>
      </c>
      <c r="L2501" t="s">
        <v>175</v>
      </c>
      <c r="M2501" t="s">
        <v>88</v>
      </c>
      <c r="N2501">
        <v>0</v>
      </c>
      <c r="O2501">
        <v>0</v>
      </c>
      <c r="P2501">
        <v>0</v>
      </c>
      <c r="Q2501">
        <v>8</v>
      </c>
      <c r="R2501">
        <v>0</v>
      </c>
      <c r="S2501" t="str">
        <f t="shared" si="195"/>
        <v>PY: Media Crit.</v>
      </c>
      <c r="T2501">
        <f t="shared" si="196"/>
        <v>0</v>
      </c>
      <c r="U2501">
        <f t="shared" si="197"/>
        <v>0</v>
      </c>
      <c r="V2501">
        <f t="shared" si="198"/>
        <v>0</v>
      </c>
      <c r="W2501">
        <f t="shared" si="199"/>
        <v>1</v>
      </c>
      <c r="X2501">
        <v>1</v>
      </c>
      <c r="Y2501" s="2">
        <v>45768</v>
      </c>
      <c r="Z2501" s="3" t="s">
        <v>89</v>
      </c>
      <c r="AA2501" t="s">
        <v>39</v>
      </c>
      <c r="AB2501" t="s">
        <v>40</v>
      </c>
      <c r="AC2501" t="s">
        <v>40</v>
      </c>
      <c r="AD2501" t="s">
        <v>696</v>
      </c>
    </row>
    <row r="2502" spans="2:30">
      <c r="B2502">
        <v>0</v>
      </c>
      <c r="C2502">
        <v>1020</v>
      </c>
      <c r="D2502" t="s">
        <v>693</v>
      </c>
      <c r="E2502">
        <v>10607539</v>
      </c>
      <c r="F2502" t="s">
        <v>2589</v>
      </c>
      <c r="G2502" t="s">
        <v>43</v>
      </c>
      <c r="H2502" t="s">
        <v>32</v>
      </c>
      <c r="I2502" t="s">
        <v>695</v>
      </c>
      <c r="J2502" t="s">
        <v>45</v>
      </c>
      <c r="K2502" t="s">
        <v>35</v>
      </c>
      <c r="L2502" t="s">
        <v>175</v>
      </c>
      <c r="M2502" t="s">
        <v>117</v>
      </c>
      <c r="N2502">
        <v>0</v>
      </c>
      <c r="O2502">
        <v>0</v>
      </c>
      <c r="P2502">
        <v>0</v>
      </c>
      <c r="Q2502">
        <v>2</v>
      </c>
      <c r="R2502">
        <v>0</v>
      </c>
      <c r="S2502" t="str">
        <f t="shared" si="195"/>
        <v>PY: Media Crit.</v>
      </c>
      <c r="T2502">
        <f t="shared" si="196"/>
        <v>0</v>
      </c>
      <c r="U2502">
        <f t="shared" si="197"/>
        <v>0</v>
      </c>
      <c r="V2502">
        <f t="shared" si="198"/>
        <v>0</v>
      </c>
      <c r="W2502">
        <f t="shared" si="199"/>
        <v>1</v>
      </c>
      <c r="X2502">
        <v>1</v>
      </c>
      <c r="Y2502" s="2">
        <v>45768</v>
      </c>
      <c r="Z2502" s="3" t="s">
        <v>118</v>
      </c>
      <c r="AA2502" t="s">
        <v>39</v>
      </c>
      <c r="AB2502" t="s">
        <v>40</v>
      </c>
      <c r="AC2502" t="s">
        <v>40</v>
      </c>
      <c r="AD2502" t="s">
        <v>696</v>
      </c>
    </row>
    <row r="2503" spans="2:30">
      <c r="B2503">
        <v>0</v>
      </c>
      <c r="C2503">
        <v>1020</v>
      </c>
      <c r="D2503" t="s">
        <v>388</v>
      </c>
      <c r="E2503">
        <v>10607552</v>
      </c>
      <c r="F2503" t="s">
        <v>2590</v>
      </c>
      <c r="G2503" t="s">
        <v>52</v>
      </c>
      <c r="H2503" t="s">
        <v>44</v>
      </c>
      <c r="I2503" t="s">
        <v>390</v>
      </c>
      <c r="J2503" t="s">
        <v>45</v>
      </c>
      <c r="K2503" t="s">
        <v>35</v>
      </c>
      <c r="L2503" t="s">
        <v>36</v>
      </c>
      <c r="M2503" t="s">
        <v>69</v>
      </c>
      <c r="N2503">
        <v>1</v>
      </c>
      <c r="O2503">
        <v>0</v>
      </c>
      <c r="P2503">
        <v>1</v>
      </c>
      <c r="Q2503">
        <v>1</v>
      </c>
      <c r="R2503" s="4">
        <v>11548.7</v>
      </c>
      <c r="S2503" t="str">
        <f t="shared" si="195"/>
        <v>PZ: Alta Crit.</v>
      </c>
      <c r="T2503">
        <f t="shared" si="196"/>
        <v>0</v>
      </c>
      <c r="U2503">
        <f t="shared" si="197"/>
        <v>1</v>
      </c>
      <c r="V2503">
        <f t="shared" si="198"/>
        <v>0</v>
      </c>
      <c r="W2503">
        <f t="shared" si="199"/>
        <v>0</v>
      </c>
      <c r="X2503">
        <v>1</v>
      </c>
      <c r="Y2503" s="2">
        <v>45768</v>
      </c>
      <c r="Z2503" s="3" t="s">
        <v>70</v>
      </c>
      <c r="AA2503" t="s">
        <v>39</v>
      </c>
      <c r="AB2503" t="s">
        <v>40</v>
      </c>
      <c r="AC2503" t="s">
        <v>40</v>
      </c>
      <c r="AD2503" t="s">
        <v>391</v>
      </c>
    </row>
    <row r="2504" spans="2:30">
      <c r="B2504">
        <v>0</v>
      </c>
      <c r="C2504">
        <v>1020</v>
      </c>
      <c r="D2504" t="s">
        <v>693</v>
      </c>
      <c r="E2504">
        <v>10607564</v>
      </c>
      <c r="F2504" t="s">
        <v>2591</v>
      </c>
      <c r="G2504" t="s">
        <v>43</v>
      </c>
      <c r="H2504" t="s">
        <v>60</v>
      </c>
      <c r="I2504" t="s">
        <v>695</v>
      </c>
      <c r="J2504" t="s">
        <v>45</v>
      </c>
      <c r="K2504" t="s">
        <v>35</v>
      </c>
      <c r="L2504" t="s">
        <v>175</v>
      </c>
      <c r="M2504" t="s">
        <v>117</v>
      </c>
      <c r="N2504">
        <v>0</v>
      </c>
      <c r="O2504">
        <v>0</v>
      </c>
      <c r="P2504">
        <v>0</v>
      </c>
      <c r="Q2504">
        <v>4</v>
      </c>
      <c r="R2504">
        <v>0</v>
      </c>
      <c r="S2504" t="str">
        <f t="shared" si="195"/>
        <v>PY: Media Crit.</v>
      </c>
      <c r="T2504">
        <f t="shared" si="196"/>
        <v>0</v>
      </c>
      <c r="U2504">
        <f t="shared" si="197"/>
        <v>0</v>
      </c>
      <c r="V2504">
        <f t="shared" si="198"/>
        <v>0</v>
      </c>
      <c r="W2504">
        <f t="shared" si="199"/>
        <v>1</v>
      </c>
      <c r="X2504">
        <v>1</v>
      </c>
      <c r="Y2504" s="2">
        <v>45768</v>
      </c>
      <c r="Z2504" s="3" t="s">
        <v>118</v>
      </c>
      <c r="AA2504" t="s">
        <v>39</v>
      </c>
      <c r="AB2504" t="s">
        <v>40</v>
      </c>
      <c r="AC2504" t="s">
        <v>40</v>
      </c>
      <c r="AD2504" t="s">
        <v>696</v>
      </c>
    </row>
    <row r="2505" spans="2:30">
      <c r="B2505">
        <v>0</v>
      </c>
      <c r="C2505">
        <v>1020</v>
      </c>
      <c r="D2505" t="s">
        <v>384</v>
      </c>
      <c r="E2505">
        <v>10607593</v>
      </c>
      <c r="F2505" t="s">
        <v>2592</v>
      </c>
      <c r="G2505" t="s">
        <v>43</v>
      </c>
      <c r="H2505" t="s">
        <v>32</v>
      </c>
      <c r="I2505" t="s">
        <v>386</v>
      </c>
      <c r="J2505" t="s">
        <v>45</v>
      </c>
      <c r="K2505" t="s">
        <v>35</v>
      </c>
      <c r="L2505" t="s">
        <v>175</v>
      </c>
      <c r="M2505" t="s">
        <v>88</v>
      </c>
      <c r="N2505">
        <v>0</v>
      </c>
      <c r="O2505">
        <v>0</v>
      </c>
      <c r="P2505">
        <v>0</v>
      </c>
      <c r="Q2505">
        <v>8</v>
      </c>
      <c r="R2505">
        <v>0</v>
      </c>
      <c r="S2505" t="str">
        <f t="shared" si="195"/>
        <v>PY: Media Crit.</v>
      </c>
      <c r="T2505">
        <f t="shared" si="196"/>
        <v>0</v>
      </c>
      <c r="U2505">
        <f t="shared" si="197"/>
        <v>0</v>
      </c>
      <c r="V2505">
        <f t="shared" si="198"/>
        <v>0</v>
      </c>
      <c r="W2505">
        <f t="shared" si="199"/>
        <v>1</v>
      </c>
      <c r="X2505">
        <v>1</v>
      </c>
      <c r="Y2505" s="2">
        <v>45768</v>
      </c>
      <c r="Z2505" s="3" t="s">
        <v>89</v>
      </c>
      <c r="AA2505" t="s">
        <v>39</v>
      </c>
      <c r="AB2505" t="s">
        <v>40</v>
      </c>
      <c r="AC2505" t="s">
        <v>40</v>
      </c>
      <c r="AD2505" t="s">
        <v>387</v>
      </c>
    </row>
    <row r="2506" spans="2:30">
      <c r="B2506">
        <v>0</v>
      </c>
      <c r="C2506">
        <v>1020</v>
      </c>
      <c r="D2506" t="s">
        <v>384</v>
      </c>
      <c r="E2506">
        <v>10609892</v>
      </c>
      <c r="F2506" t="s">
        <v>2593</v>
      </c>
      <c r="G2506" t="s">
        <v>31</v>
      </c>
      <c r="H2506" t="s">
        <v>32</v>
      </c>
      <c r="I2506" t="s">
        <v>386</v>
      </c>
      <c r="J2506" t="s">
        <v>45</v>
      </c>
      <c r="K2506" t="s">
        <v>35</v>
      </c>
      <c r="L2506" t="s">
        <v>175</v>
      </c>
      <c r="M2506" t="s">
        <v>117</v>
      </c>
      <c r="N2506">
        <v>0</v>
      </c>
      <c r="O2506">
        <v>0</v>
      </c>
      <c r="P2506">
        <v>0</v>
      </c>
      <c r="Q2506">
        <v>6</v>
      </c>
      <c r="R2506">
        <v>0</v>
      </c>
      <c r="S2506" t="str">
        <f t="shared" si="195"/>
        <v>PX: Baja Crit.</v>
      </c>
      <c r="T2506">
        <f t="shared" si="196"/>
        <v>0</v>
      </c>
      <c r="U2506">
        <f t="shared" si="197"/>
        <v>0</v>
      </c>
      <c r="V2506">
        <f t="shared" si="198"/>
        <v>0</v>
      </c>
      <c r="W2506">
        <f t="shared" si="199"/>
        <v>1</v>
      </c>
      <c r="X2506">
        <v>1</v>
      </c>
      <c r="Y2506" s="2">
        <v>45768</v>
      </c>
      <c r="Z2506" s="3" t="s">
        <v>118</v>
      </c>
      <c r="AA2506" t="s">
        <v>39</v>
      </c>
      <c r="AB2506" t="s">
        <v>40</v>
      </c>
      <c r="AC2506" t="s">
        <v>40</v>
      </c>
      <c r="AD2506" t="s">
        <v>387</v>
      </c>
    </row>
    <row r="2507" spans="2:30">
      <c r="B2507">
        <v>0</v>
      </c>
      <c r="C2507">
        <v>1020</v>
      </c>
      <c r="D2507" t="s">
        <v>181</v>
      </c>
      <c r="E2507">
        <v>10610577</v>
      </c>
      <c r="F2507" t="s">
        <v>2594</v>
      </c>
      <c r="G2507" t="s">
        <v>31</v>
      </c>
      <c r="H2507" t="s">
        <v>32</v>
      </c>
      <c r="I2507" t="s">
        <v>183</v>
      </c>
      <c r="J2507" t="s">
        <v>45</v>
      </c>
      <c r="K2507" t="s">
        <v>35</v>
      </c>
      <c r="L2507" t="s">
        <v>36</v>
      </c>
      <c r="M2507" t="s">
        <v>88</v>
      </c>
      <c r="N2507">
        <v>100</v>
      </c>
      <c r="O2507">
        <v>51</v>
      </c>
      <c r="P2507">
        <v>0</v>
      </c>
      <c r="Q2507">
        <v>100</v>
      </c>
      <c r="R2507">
        <v>68</v>
      </c>
      <c r="S2507" t="str">
        <f t="shared" si="195"/>
        <v>PX: Baja Crit.</v>
      </c>
      <c r="T2507">
        <f t="shared" si="196"/>
        <v>0</v>
      </c>
      <c r="U2507">
        <f t="shared" si="197"/>
        <v>0</v>
      </c>
      <c r="V2507">
        <f t="shared" si="198"/>
        <v>1</v>
      </c>
      <c r="W2507">
        <f t="shared" si="199"/>
        <v>0</v>
      </c>
      <c r="X2507">
        <v>1</v>
      </c>
      <c r="Y2507" s="2">
        <v>45768</v>
      </c>
      <c r="Z2507" s="3" t="s">
        <v>89</v>
      </c>
      <c r="AA2507" t="s">
        <v>39</v>
      </c>
      <c r="AB2507" t="s">
        <v>40</v>
      </c>
      <c r="AC2507" t="s">
        <v>40</v>
      </c>
      <c r="AD2507" t="s">
        <v>184</v>
      </c>
    </row>
    <row r="2508" spans="2:30">
      <c r="B2508">
        <v>0</v>
      </c>
      <c r="C2508">
        <v>1020</v>
      </c>
      <c r="D2508" t="s">
        <v>181</v>
      </c>
      <c r="E2508">
        <v>10610578</v>
      </c>
      <c r="F2508" t="s">
        <v>2595</v>
      </c>
      <c r="G2508" t="s">
        <v>31</v>
      </c>
      <c r="H2508" t="s">
        <v>60</v>
      </c>
      <c r="I2508" t="s">
        <v>183</v>
      </c>
      <c r="J2508" t="s">
        <v>45</v>
      </c>
      <c r="K2508" t="s">
        <v>35</v>
      </c>
      <c r="L2508" t="s">
        <v>36</v>
      </c>
      <c r="M2508" t="s">
        <v>88</v>
      </c>
      <c r="N2508">
        <v>100</v>
      </c>
      <c r="O2508">
        <v>51</v>
      </c>
      <c r="P2508">
        <v>0</v>
      </c>
      <c r="Q2508">
        <v>100</v>
      </c>
      <c r="R2508">
        <v>68</v>
      </c>
      <c r="S2508" t="str">
        <f t="shared" si="195"/>
        <v>PX: Baja Crit.</v>
      </c>
      <c r="T2508">
        <f t="shared" si="196"/>
        <v>0</v>
      </c>
      <c r="U2508">
        <f t="shared" si="197"/>
        <v>0</v>
      </c>
      <c r="V2508">
        <f t="shared" si="198"/>
        <v>1</v>
      </c>
      <c r="W2508">
        <f t="shared" si="199"/>
        <v>0</v>
      </c>
      <c r="X2508">
        <v>1</v>
      </c>
      <c r="Y2508" s="2">
        <v>45768</v>
      </c>
      <c r="Z2508" s="3" t="s">
        <v>89</v>
      </c>
      <c r="AA2508" t="s">
        <v>39</v>
      </c>
      <c r="AB2508" t="s">
        <v>40</v>
      </c>
      <c r="AC2508" t="s">
        <v>40</v>
      </c>
      <c r="AD2508" t="s">
        <v>184</v>
      </c>
    </row>
    <row r="2509" spans="2:30">
      <c r="B2509">
        <v>0</v>
      </c>
      <c r="C2509">
        <v>1020</v>
      </c>
      <c r="D2509" t="s">
        <v>181</v>
      </c>
      <c r="E2509">
        <v>10610580</v>
      </c>
      <c r="F2509" t="s">
        <v>2596</v>
      </c>
      <c r="G2509" t="s">
        <v>31</v>
      </c>
      <c r="H2509" t="s">
        <v>60</v>
      </c>
      <c r="I2509" t="s">
        <v>183</v>
      </c>
      <c r="J2509" t="s">
        <v>45</v>
      </c>
      <c r="K2509" t="s">
        <v>35</v>
      </c>
      <c r="L2509" t="s">
        <v>36</v>
      </c>
      <c r="M2509" t="s">
        <v>88</v>
      </c>
      <c r="N2509">
        <v>100</v>
      </c>
      <c r="O2509">
        <v>51</v>
      </c>
      <c r="P2509">
        <v>0</v>
      </c>
      <c r="Q2509">
        <v>100</v>
      </c>
      <c r="R2509">
        <v>68</v>
      </c>
      <c r="S2509" t="str">
        <f t="shared" si="195"/>
        <v>PX: Baja Crit.</v>
      </c>
      <c r="T2509">
        <f t="shared" si="196"/>
        <v>0</v>
      </c>
      <c r="U2509">
        <f t="shared" si="197"/>
        <v>0</v>
      </c>
      <c r="V2509">
        <f t="shared" si="198"/>
        <v>1</v>
      </c>
      <c r="W2509">
        <f t="shared" si="199"/>
        <v>0</v>
      </c>
      <c r="X2509">
        <v>1</v>
      </c>
      <c r="Y2509" s="2">
        <v>45768</v>
      </c>
      <c r="Z2509" s="3" t="s">
        <v>89</v>
      </c>
      <c r="AA2509" t="s">
        <v>39</v>
      </c>
      <c r="AB2509" t="s">
        <v>40</v>
      </c>
      <c r="AC2509" t="s">
        <v>40</v>
      </c>
      <c r="AD2509" t="s">
        <v>184</v>
      </c>
    </row>
    <row r="2510" spans="2:30">
      <c r="B2510">
        <v>0</v>
      </c>
      <c r="C2510">
        <v>1020</v>
      </c>
      <c r="D2510" t="s">
        <v>181</v>
      </c>
      <c r="E2510">
        <v>10611211</v>
      </c>
      <c r="F2510" t="s">
        <v>2597</v>
      </c>
      <c r="G2510" t="s">
        <v>31</v>
      </c>
      <c r="H2510" t="s">
        <v>32</v>
      </c>
      <c r="I2510" t="s">
        <v>183</v>
      </c>
      <c r="J2510" t="s">
        <v>45</v>
      </c>
      <c r="K2510" t="s">
        <v>35</v>
      </c>
      <c r="L2510" t="s">
        <v>36</v>
      </c>
      <c r="M2510" t="s">
        <v>88</v>
      </c>
      <c r="N2510">
        <v>100</v>
      </c>
      <c r="O2510">
        <v>51</v>
      </c>
      <c r="P2510">
        <v>20</v>
      </c>
      <c r="Q2510">
        <v>100</v>
      </c>
      <c r="R2510">
        <v>0</v>
      </c>
      <c r="S2510" t="str">
        <f t="shared" si="195"/>
        <v>PX: Baja Crit.</v>
      </c>
      <c r="T2510">
        <f t="shared" si="196"/>
        <v>0</v>
      </c>
      <c r="U2510">
        <f t="shared" si="197"/>
        <v>0</v>
      </c>
      <c r="V2510">
        <f t="shared" si="198"/>
        <v>1</v>
      </c>
      <c r="W2510">
        <f t="shared" si="199"/>
        <v>0</v>
      </c>
      <c r="X2510">
        <v>1</v>
      </c>
      <c r="Y2510" s="2">
        <v>45768</v>
      </c>
      <c r="Z2510" s="3" t="s">
        <v>89</v>
      </c>
      <c r="AA2510" t="s">
        <v>39</v>
      </c>
      <c r="AB2510" t="s">
        <v>40</v>
      </c>
      <c r="AC2510" t="s">
        <v>40</v>
      </c>
      <c r="AD2510" t="s">
        <v>184</v>
      </c>
    </row>
    <row r="2511" spans="2:30">
      <c r="B2511">
        <v>0</v>
      </c>
      <c r="C2511">
        <v>1020</v>
      </c>
      <c r="D2511" t="s">
        <v>181</v>
      </c>
      <c r="E2511">
        <v>10612599</v>
      </c>
      <c r="F2511" t="s">
        <v>2598</v>
      </c>
      <c r="G2511" t="s">
        <v>31</v>
      </c>
      <c r="H2511" t="s">
        <v>32</v>
      </c>
      <c r="I2511" t="s">
        <v>183</v>
      </c>
      <c r="J2511" t="s">
        <v>45</v>
      </c>
      <c r="K2511" t="s">
        <v>35</v>
      </c>
      <c r="L2511" t="s">
        <v>36</v>
      </c>
      <c r="M2511" t="s">
        <v>88</v>
      </c>
      <c r="N2511">
        <v>2</v>
      </c>
      <c r="O2511">
        <v>1</v>
      </c>
      <c r="P2511">
        <v>0</v>
      </c>
      <c r="Q2511">
        <v>2</v>
      </c>
      <c r="R2511" s="4">
        <v>1759.08</v>
      </c>
      <c r="S2511" t="str">
        <f t="shared" si="195"/>
        <v>PX: Baja Crit.</v>
      </c>
      <c r="T2511">
        <f t="shared" si="196"/>
        <v>0</v>
      </c>
      <c r="U2511">
        <f t="shared" si="197"/>
        <v>0</v>
      </c>
      <c r="V2511">
        <f t="shared" si="198"/>
        <v>1</v>
      </c>
      <c r="W2511">
        <f t="shared" si="199"/>
        <v>0</v>
      </c>
      <c r="X2511">
        <v>1</v>
      </c>
      <c r="Y2511" s="2">
        <v>45768</v>
      </c>
      <c r="Z2511" s="3" t="s">
        <v>89</v>
      </c>
      <c r="AA2511" t="s">
        <v>39</v>
      </c>
      <c r="AB2511" t="s">
        <v>40</v>
      </c>
      <c r="AC2511" t="s">
        <v>40</v>
      </c>
      <c r="AD2511" t="s">
        <v>184</v>
      </c>
    </row>
    <row r="2512" spans="2:30">
      <c r="B2512">
        <v>0</v>
      </c>
      <c r="C2512">
        <v>1020</v>
      </c>
      <c r="D2512" t="s">
        <v>181</v>
      </c>
      <c r="E2512">
        <v>10612601</v>
      </c>
      <c r="F2512" t="s">
        <v>2599</v>
      </c>
      <c r="G2512" t="s">
        <v>31</v>
      </c>
      <c r="H2512" t="s">
        <v>32</v>
      </c>
      <c r="I2512" t="s">
        <v>183</v>
      </c>
      <c r="J2512" t="s">
        <v>45</v>
      </c>
      <c r="K2512" t="s">
        <v>35</v>
      </c>
      <c r="L2512" t="s">
        <v>36</v>
      </c>
      <c r="M2512" t="s">
        <v>88</v>
      </c>
      <c r="N2512">
        <v>2</v>
      </c>
      <c r="O2512">
        <v>1</v>
      </c>
      <c r="P2512">
        <v>0</v>
      </c>
      <c r="Q2512">
        <v>2</v>
      </c>
      <c r="R2512" s="4">
        <v>2247.34</v>
      </c>
      <c r="S2512" t="str">
        <f t="shared" si="195"/>
        <v>PX: Baja Crit.</v>
      </c>
      <c r="T2512">
        <f t="shared" si="196"/>
        <v>0</v>
      </c>
      <c r="U2512">
        <f t="shared" si="197"/>
        <v>0</v>
      </c>
      <c r="V2512">
        <f t="shared" si="198"/>
        <v>1</v>
      </c>
      <c r="W2512">
        <f t="shared" si="199"/>
        <v>0</v>
      </c>
      <c r="X2512">
        <v>1</v>
      </c>
      <c r="Y2512" s="2">
        <v>45768</v>
      </c>
      <c r="Z2512" s="3" t="s">
        <v>89</v>
      </c>
      <c r="AA2512" t="s">
        <v>39</v>
      </c>
      <c r="AB2512" t="s">
        <v>40</v>
      </c>
      <c r="AC2512" t="s">
        <v>40</v>
      </c>
      <c r="AD2512" t="s">
        <v>184</v>
      </c>
    </row>
    <row r="2513" spans="2:30">
      <c r="B2513">
        <v>0</v>
      </c>
      <c r="C2513">
        <v>1020</v>
      </c>
      <c r="D2513" t="s">
        <v>181</v>
      </c>
      <c r="E2513">
        <v>10612605</v>
      </c>
      <c r="F2513" t="s">
        <v>2600</v>
      </c>
      <c r="G2513" t="s">
        <v>31</v>
      </c>
      <c r="H2513" t="s">
        <v>32</v>
      </c>
      <c r="I2513" t="s">
        <v>183</v>
      </c>
      <c r="J2513" t="s">
        <v>45</v>
      </c>
      <c r="K2513" t="s">
        <v>35</v>
      </c>
      <c r="L2513" t="s">
        <v>36</v>
      </c>
      <c r="M2513" t="s">
        <v>88</v>
      </c>
      <c r="N2513">
        <v>2</v>
      </c>
      <c r="O2513">
        <v>1</v>
      </c>
      <c r="P2513">
        <v>0</v>
      </c>
      <c r="Q2513">
        <v>2</v>
      </c>
      <c r="R2513">
        <v>0</v>
      </c>
      <c r="S2513" t="str">
        <f t="shared" si="195"/>
        <v>PX: Baja Crit.</v>
      </c>
      <c r="T2513">
        <f t="shared" si="196"/>
        <v>0</v>
      </c>
      <c r="U2513">
        <f t="shared" si="197"/>
        <v>0</v>
      </c>
      <c r="V2513">
        <f t="shared" si="198"/>
        <v>1</v>
      </c>
      <c r="W2513">
        <f t="shared" si="199"/>
        <v>0</v>
      </c>
      <c r="X2513">
        <v>1</v>
      </c>
      <c r="Y2513" s="2">
        <v>45768</v>
      </c>
      <c r="Z2513" s="3" t="s">
        <v>89</v>
      </c>
      <c r="AA2513" t="s">
        <v>39</v>
      </c>
      <c r="AB2513" t="s">
        <v>40</v>
      </c>
      <c r="AC2513" t="s">
        <v>40</v>
      </c>
      <c r="AD2513" t="s">
        <v>184</v>
      </c>
    </row>
    <row r="2514" spans="2:30">
      <c r="B2514">
        <v>0</v>
      </c>
      <c r="C2514">
        <v>1020</v>
      </c>
      <c r="D2514" t="s">
        <v>388</v>
      </c>
      <c r="E2514">
        <v>10613999</v>
      </c>
      <c r="F2514" t="s">
        <v>2601</v>
      </c>
      <c r="G2514" t="s">
        <v>52</v>
      </c>
      <c r="H2514" t="s">
        <v>32</v>
      </c>
      <c r="I2514" t="s">
        <v>390</v>
      </c>
      <c r="J2514" t="s">
        <v>45</v>
      </c>
      <c r="K2514" t="s">
        <v>35</v>
      </c>
      <c r="L2514" t="s">
        <v>175</v>
      </c>
      <c r="M2514" t="s">
        <v>69</v>
      </c>
      <c r="N2514">
        <v>0</v>
      </c>
      <c r="O2514">
        <v>0</v>
      </c>
      <c r="P2514">
        <v>1</v>
      </c>
      <c r="Q2514">
        <v>1</v>
      </c>
      <c r="R2514" s="4">
        <v>44323.08</v>
      </c>
      <c r="S2514" t="str">
        <f t="shared" si="195"/>
        <v>PZ: Alta Crit.</v>
      </c>
      <c r="T2514">
        <f t="shared" si="196"/>
        <v>0</v>
      </c>
      <c r="U2514">
        <f t="shared" si="197"/>
        <v>1</v>
      </c>
      <c r="V2514">
        <f t="shared" si="198"/>
        <v>0</v>
      </c>
      <c r="W2514">
        <f t="shared" si="199"/>
        <v>1</v>
      </c>
      <c r="X2514">
        <v>1</v>
      </c>
      <c r="Y2514" s="2">
        <v>45768</v>
      </c>
      <c r="Z2514" s="3" t="s">
        <v>70</v>
      </c>
      <c r="AA2514" t="s">
        <v>39</v>
      </c>
      <c r="AB2514" t="s">
        <v>40</v>
      </c>
      <c r="AC2514" t="s">
        <v>40</v>
      </c>
      <c r="AD2514" t="s">
        <v>391</v>
      </c>
    </row>
    <row r="2515" spans="2:30">
      <c r="B2515">
        <v>0</v>
      </c>
      <c r="C2515">
        <v>1020</v>
      </c>
      <c r="D2515" t="s">
        <v>388</v>
      </c>
      <c r="E2515">
        <v>10614048</v>
      </c>
      <c r="F2515" t="s">
        <v>2602</v>
      </c>
      <c r="G2515" t="s">
        <v>52</v>
      </c>
      <c r="H2515" t="s">
        <v>32</v>
      </c>
      <c r="I2515" t="s">
        <v>390</v>
      </c>
      <c r="J2515" t="s">
        <v>45</v>
      </c>
      <c r="K2515" t="s">
        <v>35</v>
      </c>
      <c r="L2515" t="s">
        <v>175</v>
      </c>
      <c r="M2515" t="s">
        <v>37</v>
      </c>
      <c r="N2515">
        <v>0</v>
      </c>
      <c r="O2515">
        <v>0</v>
      </c>
      <c r="P2515">
        <v>1</v>
      </c>
      <c r="Q2515">
        <v>1</v>
      </c>
      <c r="R2515">
        <v>0</v>
      </c>
      <c r="S2515" t="str">
        <f t="shared" si="195"/>
        <v>PZ: Alta Crit.</v>
      </c>
      <c r="T2515">
        <f t="shared" si="196"/>
        <v>0</v>
      </c>
      <c r="U2515">
        <f t="shared" si="197"/>
        <v>1</v>
      </c>
      <c r="V2515">
        <f t="shared" si="198"/>
        <v>0</v>
      </c>
      <c r="W2515">
        <f t="shared" si="199"/>
        <v>1</v>
      </c>
      <c r="X2515">
        <v>1</v>
      </c>
      <c r="Y2515" s="2">
        <v>45768</v>
      </c>
      <c r="Z2515" s="3" t="s">
        <v>38</v>
      </c>
      <c r="AA2515" t="s">
        <v>39</v>
      </c>
      <c r="AB2515" t="s">
        <v>40</v>
      </c>
      <c r="AC2515" t="s">
        <v>40</v>
      </c>
      <c r="AD2515" t="s">
        <v>391</v>
      </c>
    </row>
    <row r="2516" spans="2:30">
      <c r="B2516">
        <v>0</v>
      </c>
      <c r="C2516">
        <v>1020</v>
      </c>
      <c r="D2516" t="s">
        <v>181</v>
      </c>
      <c r="E2516">
        <v>10615200</v>
      </c>
      <c r="F2516" t="s">
        <v>2603</v>
      </c>
      <c r="G2516" t="s">
        <v>52</v>
      </c>
      <c r="H2516" t="s">
        <v>44</v>
      </c>
      <c r="I2516" t="s">
        <v>183</v>
      </c>
      <c r="J2516" t="s">
        <v>45</v>
      </c>
      <c r="K2516" t="s">
        <v>35</v>
      </c>
      <c r="L2516" t="s">
        <v>36</v>
      </c>
      <c r="M2516" t="s">
        <v>69</v>
      </c>
      <c r="N2516">
        <v>5</v>
      </c>
      <c r="O2516">
        <v>3</v>
      </c>
      <c r="P2516">
        <v>0</v>
      </c>
      <c r="Q2516">
        <v>0</v>
      </c>
      <c r="R2516">
        <v>0</v>
      </c>
      <c r="S2516" t="str">
        <f t="shared" si="195"/>
        <v>PZ: Alta Crit.</v>
      </c>
      <c r="T2516">
        <f t="shared" si="196"/>
        <v>1</v>
      </c>
      <c r="U2516">
        <f t="shared" si="197"/>
        <v>0</v>
      </c>
      <c r="V2516">
        <f t="shared" si="198"/>
        <v>0</v>
      </c>
      <c r="W2516">
        <f t="shared" si="199"/>
        <v>0</v>
      </c>
      <c r="X2516">
        <v>1</v>
      </c>
      <c r="Y2516" s="2">
        <v>45768</v>
      </c>
      <c r="Z2516" s="3" t="s">
        <v>70</v>
      </c>
      <c r="AA2516" t="s">
        <v>39</v>
      </c>
      <c r="AB2516" t="s">
        <v>49</v>
      </c>
      <c r="AC2516" s="5" t="s">
        <v>50</v>
      </c>
      <c r="AD2516" t="s">
        <v>184</v>
      </c>
    </row>
    <row r="2517" spans="2:30">
      <c r="B2517">
        <v>0</v>
      </c>
      <c r="C2517">
        <v>1020</v>
      </c>
      <c r="D2517" t="s">
        <v>693</v>
      </c>
      <c r="E2517">
        <v>10615330</v>
      </c>
      <c r="F2517" t="s">
        <v>2604</v>
      </c>
      <c r="G2517" t="s">
        <v>43</v>
      </c>
      <c r="H2517" t="s">
        <v>32</v>
      </c>
      <c r="I2517" t="s">
        <v>695</v>
      </c>
      <c r="J2517" t="s">
        <v>45</v>
      </c>
      <c r="K2517" t="s">
        <v>35</v>
      </c>
      <c r="L2517" t="s">
        <v>175</v>
      </c>
      <c r="M2517" t="s">
        <v>46</v>
      </c>
      <c r="N2517">
        <v>0</v>
      </c>
      <c r="O2517">
        <v>0</v>
      </c>
      <c r="P2517">
        <v>0</v>
      </c>
      <c r="Q2517">
        <v>12</v>
      </c>
      <c r="R2517">
        <v>0</v>
      </c>
      <c r="S2517" t="str">
        <f t="shared" si="195"/>
        <v>PY: Media Crit.</v>
      </c>
      <c r="T2517">
        <f t="shared" si="196"/>
        <v>0</v>
      </c>
      <c r="U2517">
        <f t="shared" si="197"/>
        <v>0</v>
      </c>
      <c r="V2517">
        <f t="shared" si="198"/>
        <v>0</v>
      </c>
      <c r="W2517">
        <f t="shared" si="199"/>
        <v>1</v>
      </c>
      <c r="X2517">
        <v>1</v>
      </c>
      <c r="Y2517" s="2">
        <v>45768</v>
      </c>
      <c r="Z2517" s="3" t="s">
        <v>47</v>
      </c>
      <c r="AA2517" t="s">
        <v>39</v>
      </c>
      <c r="AB2517" t="s">
        <v>40</v>
      </c>
      <c r="AC2517" t="s">
        <v>40</v>
      </c>
      <c r="AD2517" t="s">
        <v>696</v>
      </c>
    </row>
    <row r="2518" spans="2:30">
      <c r="B2518">
        <v>0</v>
      </c>
      <c r="C2518">
        <v>1020</v>
      </c>
      <c r="D2518" t="s">
        <v>181</v>
      </c>
      <c r="E2518">
        <v>10615600</v>
      </c>
      <c r="F2518" t="s">
        <v>2605</v>
      </c>
      <c r="G2518" t="s">
        <v>52</v>
      </c>
      <c r="H2518" t="s">
        <v>32</v>
      </c>
      <c r="I2518" t="s">
        <v>183</v>
      </c>
      <c r="J2518" t="s">
        <v>45</v>
      </c>
      <c r="K2518" t="s">
        <v>35</v>
      </c>
      <c r="L2518" t="s">
        <v>36</v>
      </c>
      <c r="M2518" t="s">
        <v>69</v>
      </c>
      <c r="N2518">
        <v>5</v>
      </c>
      <c r="O2518">
        <v>3</v>
      </c>
      <c r="P2518">
        <v>0</v>
      </c>
      <c r="Q2518">
        <v>5</v>
      </c>
      <c r="R2518" s="4">
        <v>1188.8599999999999</v>
      </c>
      <c r="S2518" t="str">
        <f t="shared" si="195"/>
        <v>PZ: Alta Crit.</v>
      </c>
      <c r="T2518">
        <f t="shared" si="196"/>
        <v>0</v>
      </c>
      <c r="U2518">
        <f t="shared" si="197"/>
        <v>0</v>
      </c>
      <c r="V2518">
        <f t="shared" si="198"/>
        <v>1</v>
      </c>
      <c r="W2518">
        <f t="shared" si="199"/>
        <v>0</v>
      </c>
      <c r="X2518">
        <v>1</v>
      </c>
      <c r="Y2518" s="2">
        <v>45768</v>
      </c>
      <c r="Z2518" s="3" t="s">
        <v>70</v>
      </c>
      <c r="AA2518" t="s">
        <v>39</v>
      </c>
      <c r="AB2518" t="s">
        <v>40</v>
      </c>
      <c r="AC2518" t="s">
        <v>40</v>
      </c>
      <c r="AD2518" t="s">
        <v>184</v>
      </c>
    </row>
    <row r="2519" spans="2:30">
      <c r="B2519">
        <v>0</v>
      </c>
      <c r="C2519">
        <v>1020</v>
      </c>
      <c r="D2519" t="s">
        <v>693</v>
      </c>
      <c r="E2519">
        <v>10615657</v>
      </c>
      <c r="F2519" t="s">
        <v>2606</v>
      </c>
      <c r="G2519" t="s">
        <v>43</v>
      </c>
      <c r="H2519" t="s">
        <v>32</v>
      </c>
      <c r="I2519" t="s">
        <v>695</v>
      </c>
      <c r="J2519" t="s">
        <v>45</v>
      </c>
      <c r="K2519" t="s">
        <v>260</v>
      </c>
      <c r="L2519" t="s">
        <v>175</v>
      </c>
      <c r="M2519" t="s">
        <v>46</v>
      </c>
      <c r="N2519">
        <v>0</v>
      </c>
      <c r="O2519">
        <v>0</v>
      </c>
      <c r="P2519">
        <v>0</v>
      </c>
      <c r="Q2519">
        <v>4</v>
      </c>
      <c r="R2519">
        <v>0</v>
      </c>
      <c r="S2519" t="str">
        <f t="shared" si="195"/>
        <v>PY: Media Crit.</v>
      </c>
      <c r="T2519">
        <f t="shared" si="196"/>
        <v>0</v>
      </c>
      <c r="U2519">
        <f t="shared" si="197"/>
        <v>0</v>
      </c>
      <c r="V2519">
        <f t="shared" si="198"/>
        <v>0</v>
      </c>
      <c r="W2519">
        <f t="shared" si="199"/>
        <v>1</v>
      </c>
      <c r="X2519">
        <v>1</v>
      </c>
      <c r="Y2519" s="2">
        <v>45768</v>
      </c>
      <c r="Z2519" s="3" t="s">
        <v>47</v>
      </c>
      <c r="AA2519" t="s">
        <v>39</v>
      </c>
      <c r="AB2519" t="s">
        <v>40</v>
      </c>
      <c r="AC2519" t="s">
        <v>40</v>
      </c>
      <c r="AD2519" t="s">
        <v>696</v>
      </c>
    </row>
    <row r="2520" spans="2:30">
      <c r="B2520">
        <v>0</v>
      </c>
      <c r="C2520">
        <v>1020</v>
      </c>
      <c r="D2520" t="s">
        <v>388</v>
      </c>
      <c r="E2520">
        <v>10616130</v>
      </c>
      <c r="F2520" t="s">
        <v>2607</v>
      </c>
      <c r="G2520" t="s">
        <v>52</v>
      </c>
      <c r="H2520" t="s">
        <v>32</v>
      </c>
      <c r="I2520" t="s">
        <v>390</v>
      </c>
      <c r="J2520" t="s">
        <v>45</v>
      </c>
      <c r="K2520" t="s">
        <v>35</v>
      </c>
      <c r="L2520" t="s">
        <v>175</v>
      </c>
      <c r="M2520" t="s">
        <v>69</v>
      </c>
      <c r="N2520">
        <v>0</v>
      </c>
      <c r="O2520">
        <v>0</v>
      </c>
      <c r="P2520">
        <v>1</v>
      </c>
      <c r="Q2520">
        <v>1</v>
      </c>
      <c r="R2520">
        <v>0</v>
      </c>
      <c r="S2520" t="str">
        <f t="shared" si="195"/>
        <v>PZ: Alta Crit.</v>
      </c>
      <c r="T2520">
        <f t="shared" si="196"/>
        <v>0</v>
      </c>
      <c r="U2520">
        <f t="shared" si="197"/>
        <v>1</v>
      </c>
      <c r="V2520">
        <f t="shared" si="198"/>
        <v>0</v>
      </c>
      <c r="W2520">
        <f t="shared" si="199"/>
        <v>1</v>
      </c>
      <c r="X2520">
        <v>1</v>
      </c>
      <c r="Y2520" s="2">
        <v>45768</v>
      </c>
      <c r="Z2520" s="3" t="s">
        <v>70</v>
      </c>
      <c r="AA2520" t="s">
        <v>39</v>
      </c>
      <c r="AB2520" t="s">
        <v>40</v>
      </c>
      <c r="AC2520" t="s">
        <v>40</v>
      </c>
      <c r="AD2520" t="s">
        <v>391</v>
      </c>
    </row>
    <row r="2521" spans="2:30">
      <c r="B2521">
        <v>0</v>
      </c>
      <c r="C2521">
        <v>1020</v>
      </c>
      <c r="D2521" t="s">
        <v>181</v>
      </c>
      <c r="E2521">
        <v>10619696</v>
      </c>
      <c r="F2521" t="s">
        <v>2608</v>
      </c>
      <c r="G2521" t="s">
        <v>52</v>
      </c>
      <c r="H2521" t="s">
        <v>32</v>
      </c>
      <c r="I2521" t="s">
        <v>183</v>
      </c>
      <c r="J2521" t="s">
        <v>45</v>
      </c>
      <c r="K2521" t="s">
        <v>35</v>
      </c>
      <c r="L2521" t="s">
        <v>36</v>
      </c>
      <c r="M2521" t="s">
        <v>46</v>
      </c>
      <c r="N2521">
        <v>4</v>
      </c>
      <c r="O2521">
        <v>3</v>
      </c>
      <c r="P2521">
        <v>1</v>
      </c>
      <c r="Q2521">
        <v>4</v>
      </c>
      <c r="R2521">
        <v>0</v>
      </c>
      <c r="S2521" t="str">
        <f t="shared" si="195"/>
        <v>PZ: Alta Crit.</v>
      </c>
      <c r="T2521">
        <f t="shared" si="196"/>
        <v>0</v>
      </c>
      <c r="U2521">
        <f t="shared" si="197"/>
        <v>0</v>
      </c>
      <c r="V2521">
        <f t="shared" si="198"/>
        <v>1</v>
      </c>
      <c r="W2521">
        <f t="shared" si="199"/>
        <v>0</v>
      </c>
      <c r="X2521">
        <v>1</v>
      </c>
      <c r="Y2521" s="2">
        <v>45768</v>
      </c>
      <c r="Z2521" s="3" t="s">
        <v>47</v>
      </c>
      <c r="AA2521" t="s">
        <v>39</v>
      </c>
      <c r="AB2521" t="s">
        <v>40</v>
      </c>
      <c r="AC2521" t="s">
        <v>40</v>
      </c>
      <c r="AD2521" t="s">
        <v>184</v>
      </c>
    </row>
    <row r="2522" spans="2:30">
      <c r="B2522">
        <v>0</v>
      </c>
      <c r="C2522">
        <v>1020</v>
      </c>
      <c r="D2522" t="s">
        <v>181</v>
      </c>
      <c r="E2522">
        <v>10619697</v>
      </c>
      <c r="F2522" t="s">
        <v>2609</v>
      </c>
      <c r="G2522" t="s">
        <v>52</v>
      </c>
      <c r="H2522" t="s">
        <v>44</v>
      </c>
      <c r="I2522" t="s">
        <v>183</v>
      </c>
      <c r="J2522" t="s">
        <v>45</v>
      </c>
      <c r="K2522" t="s">
        <v>35</v>
      </c>
      <c r="L2522" t="s">
        <v>36</v>
      </c>
      <c r="M2522" t="s">
        <v>46</v>
      </c>
      <c r="N2522">
        <v>4</v>
      </c>
      <c r="O2522">
        <v>3</v>
      </c>
      <c r="P2522">
        <v>1</v>
      </c>
      <c r="Q2522">
        <v>4</v>
      </c>
      <c r="R2522">
        <v>0</v>
      </c>
      <c r="S2522" t="str">
        <f t="shared" si="195"/>
        <v>PZ: Alta Crit.</v>
      </c>
      <c r="T2522">
        <f t="shared" si="196"/>
        <v>0</v>
      </c>
      <c r="U2522">
        <f t="shared" si="197"/>
        <v>0</v>
      </c>
      <c r="V2522">
        <f t="shared" si="198"/>
        <v>1</v>
      </c>
      <c r="W2522">
        <f t="shared" si="199"/>
        <v>0</v>
      </c>
      <c r="X2522">
        <v>1</v>
      </c>
      <c r="Y2522" s="2">
        <v>45768</v>
      </c>
      <c r="Z2522" s="3" t="s">
        <v>47</v>
      </c>
      <c r="AA2522" t="s">
        <v>39</v>
      </c>
      <c r="AB2522" t="s">
        <v>40</v>
      </c>
      <c r="AC2522" t="s">
        <v>40</v>
      </c>
      <c r="AD2522" t="s">
        <v>184</v>
      </c>
    </row>
    <row r="2523" spans="2:30">
      <c r="B2523">
        <v>0</v>
      </c>
      <c r="C2523">
        <v>1020</v>
      </c>
      <c r="D2523" t="s">
        <v>181</v>
      </c>
      <c r="E2523">
        <v>10619983</v>
      </c>
      <c r="F2523" t="s">
        <v>2610</v>
      </c>
      <c r="G2523" t="s">
        <v>43</v>
      </c>
      <c r="H2523" t="s">
        <v>60</v>
      </c>
      <c r="I2523" t="s">
        <v>183</v>
      </c>
      <c r="J2523" t="s">
        <v>45</v>
      </c>
      <c r="K2523" t="s">
        <v>35</v>
      </c>
      <c r="L2523" t="s">
        <v>36</v>
      </c>
      <c r="M2523" t="s">
        <v>117</v>
      </c>
      <c r="N2523">
        <v>200</v>
      </c>
      <c r="O2523">
        <v>101</v>
      </c>
      <c r="P2523">
        <v>0</v>
      </c>
      <c r="Q2523">
        <v>200</v>
      </c>
      <c r="R2523">
        <v>0</v>
      </c>
      <c r="S2523" t="str">
        <f t="shared" si="195"/>
        <v>PY: Media Crit.</v>
      </c>
      <c r="T2523">
        <f t="shared" si="196"/>
        <v>0</v>
      </c>
      <c r="U2523">
        <f t="shared" si="197"/>
        <v>0</v>
      </c>
      <c r="V2523">
        <f t="shared" si="198"/>
        <v>1</v>
      </c>
      <c r="W2523">
        <f t="shared" si="199"/>
        <v>0</v>
      </c>
      <c r="X2523">
        <v>1</v>
      </c>
      <c r="Y2523" s="2">
        <v>45768</v>
      </c>
      <c r="Z2523" s="3" t="s">
        <v>118</v>
      </c>
      <c r="AA2523" t="s">
        <v>39</v>
      </c>
      <c r="AB2523" t="s">
        <v>40</v>
      </c>
      <c r="AC2523" t="s">
        <v>40</v>
      </c>
      <c r="AD2523" t="s">
        <v>184</v>
      </c>
    </row>
    <row r="2524" spans="2:30">
      <c r="B2524">
        <v>0</v>
      </c>
      <c r="C2524">
        <v>1020</v>
      </c>
      <c r="D2524" t="s">
        <v>181</v>
      </c>
      <c r="E2524">
        <v>10619988</v>
      </c>
      <c r="F2524" t="s">
        <v>2611</v>
      </c>
      <c r="G2524" t="s">
        <v>52</v>
      </c>
      <c r="H2524" t="s">
        <v>44</v>
      </c>
      <c r="I2524" t="s">
        <v>183</v>
      </c>
      <c r="J2524" t="s">
        <v>45</v>
      </c>
      <c r="K2524" t="s">
        <v>35</v>
      </c>
      <c r="L2524" t="s">
        <v>36</v>
      </c>
      <c r="M2524" t="s">
        <v>69</v>
      </c>
      <c r="N2524">
        <v>5</v>
      </c>
      <c r="O2524">
        <v>3</v>
      </c>
      <c r="P2524">
        <v>0</v>
      </c>
      <c r="Q2524">
        <v>5</v>
      </c>
      <c r="R2524" s="4">
        <v>1287.97</v>
      </c>
      <c r="S2524" t="str">
        <f t="shared" si="195"/>
        <v>PZ: Alta Crit.</v>
      </c>
      <c r="T2524">
        <f t="shared" si="196"/>
        <v>0</v>
      </c>
      <c r="U2524">
        <f t="shared" si="197"/>
        <v>0</v>
      </c>
      <c r="V2524">
        <f t="shared" si="198"/>
        <v>1</v>
      </c>
      <c r="W2524">
        <f t="shared" si="199"/>
        <v>0</v>
      </c>
      <c r="X2524">
        <v>1</v>
      </c>
      <c r="Y2524" s="2">
        <v>45768</v>
      </c>
      <c r="Z2524" s="3" t="s">
        <v>70</v>
      </c>
      <c r="AA2524" t="s">
        <v>39</v>
      </c>
      <c r="AB2524" t="s">
        <v>40</v>
      </c>
      <c r="AC2524" t="s">
        <v>40</v>
      </c>
      <c r="AD2524" t="s">
        <v>184</v>
      </c>
    </row>
    <row r="2525" spans="2:30">
      <c r="B2525">
        <v>0</v>
      </c>
      <c r="C2525">
        <v>1020</v>
      </c>
      <c r="D2525" t="s">
        <v>181</v>
      </c>
      <c r="E2525">
        <v>10619994</v>
      </c>
      <c r="F2525" t="s">
        <v>2612</v>
      </c>
      <c r="G2525" t="s">
        <v>52</v>
      </c>
      <c r="H2525" t="s">
        <v>32</v>
      </c>
      <c r="I2525" t="s">
        <v>183</v>
      </c>
      <c r="J2525" t="s">
        <v>45</v>
      </c>
      <c r="K2525" t="s">
        <v>35</v>
      </c>
      <c r="L2525" t="s">
        <v>36</v>
      </c>
      <c r="M2525" t="s">
        <v>69</v>
      </c>
      <c r="N2525">
        <v>5</v>
      </c>
      <c r="O2525">
        <v>3</v>
      </c>
      <c r="P2525">
        <v>1</v>
      </c>
      <c r="Q2525">
        <v>5</v>
      </c>
      <c r="R2525" s="4">
        <v>1034.6199999999999</v>
      </c>
      <c r="S2525" t="str">
        <f t="shared" si="195"/>
        <v>PZ: Alta Crit.</v>
      </c>
      <c r="T2525">
        <f t="shared" si="196"/>
        <v>0</v>
      </c>
      <c r="U2525">
        <f t="shared" si="197"/>
        <v>0</v>
      </c>
      <c r="V2525">
        <f t="shared" si="198"/>
        <v>1</v>
      </c>
      <c r="W2525">
        <f t="shared" si="199"/>
        <v>0</v>
      </c>
      <c r="X2525">
        <v>1</v>
      </c>
      <c r="Y2525" s="2">
        <v>45768</v>
      </c>
      <c r="Z2525" s="3" t="s">
        <v>70</v>
      </c>
      <c r="AA2525" t="s">
        <v>39</v>
      </c>
      <c r="AB2525" t="s">
        <v>40</v>
      </c>
      <c r="AC2525" t="s">
        <v>40</v>
      </c>
      <c r="AD2525" t="s">
        <v>184</v>
      </c>
    </row>
    <row r="2526" spans="2:30">
      <c r="B2526">
        <v>0</v>
      </c>
      <c r="C2526">
        <v>1020</v>
      </c>
      <c r="D2526" t="s">
        <v>388</v>
      </c>
      <c r="E2526">
        <v>10622911</v>
      </c>
      <c r="F2526" t="s">
        <v>2613</v>
      </c>
      <c r="G2526" t="s">
        <v>52</v>
      </c>
      <c r="H2526" t="s">
        <v>32</v>
      </c>
      <c r="I2526" t="s">
        <v>1002</v>
      </c>
      <c r="J2526" t="s">
        <v>45</v>
      </c>
      <c r="K2526" t="s">
        <v>35</v>
      </c>
      <c r="L2526" t="s">
        <v>175</v>
      </c>
      <c r="M2526" t="s">
        <v>46</v>
      </c>
      <c r="N2526">
        <v>0</v>
      </c>
      <c r="O2526">
        <v>0</v>
      </c>
      <c r="P2526">
        <v>1</v>
      </c>
      <c r="Q2526">
        <v>1</v>
      </c>
      <c r="R2526">
        <v>0</v>
      </c>
      <c r="S2526" t="str">
        <f t="shared" si="195"/>
        <v>PZ: Alta Crit.</v>
      </c>
      <c r="T2526">
        <f t="shared" si="196"/>
        <v>0</v>
      </c>
      <c r="U2526">
        <f t="shared" si="197"/>
        <v>1</v>
      </c>
      <c r="V2526">
        <f t="shared" si="198"/>
        <v>0</v>
      </c>
      <c r="W2526">
        <f t="shared" si="199"/>
        <v>1</v>
      </c>
      <c r="X2526">
        <v>1</v>
      </c>
      <c r="Y2526" s="2">
        <v>45768</v>
      </c>
      <c r="Z2526" s="3" t="s">
        <v>47</v>
      </c>
      <c r="AA2526" t="s">
        <v>39</v>
      </c>
      <c r="AB2526" t="s">
        <v>40</v>
      </c>
      <c r="AC2526" t="s">
        <v>40</v>
      </c>
      <c r="AD2526" t="s">
        <v>391</v>
      </c>
    </row>
    <row r="2527" spans="2:30">
      <c r="B2527">
        <v>0</v>
      </c>
      <c r="C2527">
        <v>1020</v>
      </c>
      <c r="D2527" t="s">
        <v>388</v>
      </c>
      <c r="E2527">
        <v>10623384</v>
      </c>
      <c r="F2527" t="s">
        <v>2614</v>
      </c>
      <c r="G2527" t="s">
        <v>52</v>
      </c>
      <c r="H2527" t="s">
        <v>32</v>
      </c>
      <c r="I2527" t="s">
        <v>390</v>
      </c>
      <c r="J2527" t="s">
        <v>45</v>
      </c>
      <c r="K2527" t="s">
        <v>35</v>
      </c>
      <c r="L2527" t="s">
        <v>175</v>
      </c>
      <c r="M2527" t="s">
        <v>69</v>
      </c>
      <c r="N2527">
        <v>0</v>
      </c>
      <c r="O2527">
        <v>0</v>
      </c>
      <c r="P2527">
        <v>2</v>
      </c>
      <c r="Q2527">
        <v>2</v>
      </c>
      <c r="R2527" s="4">
        <v>41473.32</v>
      </c>
      <c r="S2527" t="str">
        <f t="shared" si="195"/>
        <v>PZ: Alta Crit.</v>
      </c>
      <c r="T2527">
        <f t="shared" si="196"/>
        <v>0</v>
      </c>
      <c r="U2527">
        <f t="shared" si="197"/>
        <v>1</v>
      </c>
      <c r="V2527">
        <f t="shared" si="198"/>
        <v>0</v>
      </c>
      <c r="W2527">
        <f t="shared" si="199"/>
        <v>1</v>
      </c>
      <c r="X2527">
        <v>1</v>
      </c>
      <c r="Y2527" s="2">
        <v>45768</v>
      </c>
      <c r="Z2527" s="3" t="s">
        <v>70</v>
      </c>
      <c r="AA2527" t="s">
        <v>39</v>
      </c>
      <c r="AB2527" t="s">
        <v>40</v>
      </c>
      <c r="AC2527" t="s">
        <v>40</v>
      </c>
      <c r="AD2527" t="s">
        <v>391</v>
      </c>
    </row>
    <row r="2528" spans="2:30">
      <c r="B2528">
        <v>0</v>
      </c>
      <c r="C2528">
        <v>1020</v>
      </c>
      <c r="D2528" t="s">
        <v>181</v>
      </c>
      <c r="E2528">
        <v>10623404</v>
      </c>
      <c r="F2528" t="s">
        <v>2615</v>
      </c>
      <c r="G2528" t="s">
        <v>31</v>
      </c>
      <c r="H2528" t="s">
        <v>32</v>
      </c>
      <c r="I2528" t="s">
        <v>183</v>
      </c>
      <c r="J2528" t="s">
        <v>45</v>
      </c>
      <c r="K2528" t="s">
        <v>35</v>
      </c>
      <c r="L2528" t="s">
        <v>36</v>
      </c>
      <c r="M2528" t="s">
        <v>46</v>
      </c>
      <c r="N2528">
        <v>1</v>
      </c>
      <c r="O2528">
        <v>1</v>
      </c>
      <c r="P2528">
        <v>1</v>
      </c>
      <c r="Q2528">
        <v>1</v>
      </c>
      <c r="R2528">
        <v>0</v>
      </c>
      <c r="S2528" t="str">
        <f t="shared" si="195"/>
        <v>PX: Baja Crit.</v>
      </c>
      <c r="T2528">
        <f t="shared" si="196"/>
        <v>0</v>
      </c>
      <c r="U2528">
        <f t="shared" si="197"/>
        <v>1</v>
      </c>
      <c r="V2528">
        <f t="shared" si="198"/>
        <v>0</v>
      </c>
      <c r="W2528">
        <f t="shared" si="199"/>
        <v>0</v>
      </c>
      <c r="X2528">
        <v>1</v>
      </c>
      <c r="Y2528" s="2">
        <v>45768</v>
      </c>
      <c r="Z2528" s="3" t="s">
        <v>47</v>
      </c>
      <c r="AA2528" t="s">
        <v>39</v>
      </c>
      <c r="AB2528" t="s">
        <v>40</v>
      </c>
      <c r="AC2528" t="s">
        <v>40</v>
      </c>
      <c r="AD2528" t="s">
        <v>184</v>
      </c>
    </row>
    <row r="2529" spans="2:30">
      <c r="B2529">
        <v>0</v>
      </c>
      <c r="C2529">
        <v>1020</v>
      </c>
      <c r="D2529" t="s">
        <v>181</v>
      </c>
      <c r="E2529">
        <v>10627855</v>
      </c>
      <c r="F2529" t="s">
        <v>2616</v>
      </c>
      <c r="G2529" t="s">
        <v>52</v>
      </c>
      <c r="H2529" t="s">
        <v>32</v>
      </c>
      <c r="I2529" t="s">
        <v>183</v>
      </c>
      <c r="J2529" t="s">
        <v>45</v>
      </c>
      <c r="K2529" t="s">
        <v>35</v>
      </c>
      <c r="L2529" t="s">
        <v>36</v>
      </c>
      <c r="M2529" t="s">
        <v>117</v>
      </c>
      <c r="N2529">
        <v>4</v>
      </c>
      <c r="O2529">
        <v>3</v>
      </c>
      <c r="P2529">
        <v>1</v>
      </c>
      <c r="Q2529">
        <v>4</v>
      </c>
      <c r="R2529">
        <v>0</v>
      </c>
      <c r="S2529" t="str">
        <f t="shared" si="195"/>
        <v>PZ: Alta Crit.</v>
      </c>
      <c r="T2529">
        <f t="shared" si="196"/>
        <v>0</v>
      </c>
      <c r="U2529">
        <f t="shared" si="197"/>
        <v>0</v>
      </c>
      <c r="V2529">
        <f t="shared" si="198"/>
        <v>1</v>
      </c>
      <c r="W2529">
        <f t="shared" si="199"/>
        <v>0</v>
      </c>
      <c r="X2529">
        <v>1</v>
      </c>
      <c r="Y2529" s="2">
        <v>45768</v>
      </c>
      <c r="Z2529" s="3" t="s">
        <v>118</v>
      </c>
      <c r="AA2529" t="s">
        <v>39</v>
      </c>
      <c r="AB2529" t="s">
        <v>40</v>
      </c>
      <c r="AC2529" t="s">
        <v>40</v>
      </c>
      <c r="AD2529" t="s">
        <v>184</v>
      </c>
    </row>
    <row r="2530" spans="2:30">
      <c r="B2530">
        <v>0</v>
      </c>
      <c r="C2530">
        <v>1020</v>
      </c>
      <c r="D2530" t="s">
        <v>181</v>
      </c>
      <c r="E2530">
        <v>10628954</v>
      </c>
      <c r="F2530" t="s">
        <v>2617</v>
      </c>
      <c r="G2530" t="s">
        <v>43</v>
      </c>
      <c r="H2530" t="s">
        <v>32</v>
      </c>
      <c r="I2530" t="s">
        <v>183</v>
      </c>
      <c r="J2530" t="s">
        <v>45</v>
      </c>
      <c r="K2530" t="s">
        <v>35</v>
      </c>
      <c r="L2530" t="s">
        <v>36</v>
      </c>
      <c r="M2530" t="s">
        <v>46</v>
      </c>
      <c r="N2530">
        <v>24</v>
      </c>
      <c r="O2530">
        <v>13</v>
      </c>
      <c r="P2530">
        <v>4</v>
      </c>
      <c r="Q2530">
        <v>24</v>
      </c>
      <c r="R2530">
        <v>259.88</v>
      </c>
      <c r="S2530" t="str">
        <f t="shared" si="195"/>
        <v>PY: Media Crit.</v>
      </c>
      <c r="T2530">
        <f t="shared" si="196"/>
        <v>0</v>
      </c>
      <c r="U2530">
        <f t="shared" si="197"/>
        <v>0</v>
      </c>
      <c r="V2530">
        <f t="shared" si="198"/>
        <v>1</v>
      </c>
      <c r="W2530">
        <f t="shared" si="199"/>
        <v>0</v>
      </c>
      <c r="X2530">
        <v>1</v>
      </c>
      <c r="Y2530" s="2">
        <v>45768</v>
      </c>
      <c r="Z2530" s="3" t="s">
        <v>47</v>
      </c>
      <c r="AA2530" t="s">
        <v>39</v>
      </c>
      <c r="AB2530" t="s">
        <v>40</v>
      </c>
      <c r="AC2530" t="s">
        <v>40</v>
      </c>
      <c r="AD2530" t="s">
        <v>184</v>
      </c>
    </row>
    <row r="2531" spans="2:30">
      <c r="B2531">
        <v>0</v>
      </c>
      <c r="C2531">
        <v>1020</v>
      </c>
      <c r="D2531" t="s">
        <v>384</v>
      </c>
      <c r="E2531">
        <v>10631816</v>
      </c>
      <c r="F2531" t="s">
        <v>2618</v>
      </c>
      <c r="G2531" t="s">
        <v>52</v>
      </c>
      <c r="H2531" t="s">
        <v>32</v>
      </c>
      <c r="I2531" t="s">
        <v>386</v>
      </c>
      <c r="J2531" t="s">
        <v>45</v>
      </c>
      <c r="K2531" t="s">
        <v>35</v>
      </c>
      <c r="L2531" t="s">
        <v>175</v>
      </c>
      <c r="M2531" t="s">
        <v>69</v>
      </c>
      <c r="N2531">
        <v>0</v>
      </c>
      <c r="O2531">
        <v>0</v>
      </c>
      <c r="P2531">
        <v>0</v>
      </c>
      <c r="Q2531">
        <v>1</v>
      </c>
      <c r="R2531">
        <v>0</v>
      </c>
      <c r="S2531" t="str">
        <f t="shared" si="195"/>
        <v>PZ: Alta Crit.</v>
      </c>
      <c r="T2531">
        <f t="shared" si="196"/>
        <v>0</v>
      </c>
      <c r="U2531">
        <f t="shared" si="197"/>
        <v>0</v>
      </c>
      <c r="V2531">
        <f t="shared" si="198"/>
        <v>0</v>
      </c>
      <c r="W2531">
        <f t="shared" si="199"/>
        <v>1</v>
      </c>
      <c r="X2531">
        <v>1</v>
      </c>
      <c r="Y2531" s="2">
        <v>45768</v>
      </c>
      <c r="Z2531" s="3" t="s">
        <v>70</v>
      </c>
      <c r="AA2531" t="s">
        <v>39</v>
      </c>
      <c r="AB2531" t="s">
        <v>40</v>
      </c>
      <c r="AC2531" t="s">
        <v>40</v>
      </c>
      <c r="AD2531" t="s">
        <v>387</v>
      </c>
    </row>
    <row r="2532" spans="2:30">
      <c r="B2532">
        <v>0</v>
      </c>
      <c r="C2532">
        <v>1020</v>
      </c>
      <c r="D2532" t="s">
        <v>388</v>
      </c>
      <c r="E2532">
        <v>10631900</v>
      </c>
      <c r="F2532" t="s">
        <v>2619</v>
      </c>
      <c r="G2532" t="s">
        <v>52</v>
      </c>
      <c r="H2532" t="s">
        <v>32</v>
      </c>
      <c r="I2532" t="s">
        <v>390</v>
      </c>
      <c r="J2532" t="s">
        <v>45</v>
      </c>
      <c r="K2532" t="s">
        <v>35</v>
      </c>
      <c r="L2532" t="s">
        <v>175</v>
      </c>
      <c r="M2532" t="s">
        <v>117</v>
      </c>
      <c r="N2532">
        <v>0</v>
      </c>
      <c r="O2532">
        <v>0</v>
      </c>
      <c r="P2532">
        <v>2</v>
      </c>
      <c r="Q2532">
        <v>2</v>
      </c>
      <c r="R2532">
        <v>0</v>
      </c>
      <c r="S2532" t="str">
        <f t="shared" si="195"/>
        <v>PZ: Alta Crit.</v>
      </c>
      <c r="T2532">
        <f t="shared" si="196"/>
        <v>0</v>
      </c>
      <c r="U2532">
        <f t="shared" si="197"/>
        <v>1</v>
      </c>
      <c r="V2532">
        <f t="shared" si="198"/>
        <v>0</v>
      </c>
      <c r="W2532">
        <f t="shared" si="199"/>
        <v>1</v>
      </c>
      <c r="X2532">
        <v>1</v>
      </c>
      <c r="Y2532" s="2">
        <v>45768</v>
      </c>
      <c r="Z2532" s="3" t="s">
        <v>118</v>
      </c>
      <c r="AA2532" t="s">
        <v>39</v>
      </c>
      <c r="AB2532" t="s">
        <v>40</v>
      </c>
      <c r="AC2532" t="s">
        <v>40</v>
      </c>
      <c r="AD2532" t="s">
        <v>391</v>
      </c>
    </row>
    <row r="2533" spans="2:30">
      <c r="B2533">
        <v>0</v>
      </c>
      <c r="C2533">
        <v>1020</v>
      </c>
      <c r="D2533" t="s">
        <v>388</v>
      </c>
      <c r="E2533">
        <v>10631901</v>
      </c>
      <c r="F2533" t="s">
        <v>2620</v>
      </c>
      <c r="G2533" t="s">
        <v>52</v>
      </c>
      <c r="H2533" t="s">
        <v>32</v>
      </c>
      <c r="I2533" t="s">
        <v>390</v>
      </c>
      <c r="J2533" t="s">
        <v>34</v>
      </c>
      <c r="K2533" t="s">
        <v>35</v>
      </c>
      <c r="L2533" t="s">
        <v>175</v>
      </c>
      <c r="M2533" t="s">
        <v>117</v>
      </c>
      <c r="N2533">
        <v>0</v>
      </c>
      <c r="O2533">
        <v>0</v>
      </c>
      <c r="P2533">
        <v>2</v>
      </c>
      <c r="Q2533">
        <v>2</v>
      </c>
      <c r="R2533">
        <v>0</v>
      </c>
      <c r="S2533" t="str">
        <f t="shared" si="195"/>
        <v>PZ: Alta Crit.</v>
      </c>
      <c r="T2533">
        <f t="shared" si="196"/>
        <v>0</v>
      </c>
      <c r="U2533">
        <f t="shared" si="197"/>
        <v>1</v>
      </c>
      <c r="V2533">
        <f t="shared" si="198"/>
        <v>0</v>
      </c>
      <c r="W2533">
        <f t="shared" si="199"/>
        <v>1</v>
      </c>
      <c r="X2533">
        <v>1</v>
      </c>
      <c r="Y2533" s="2">
        <v>45768</v>
      </c>
      <c r="Z2533" s="3" t="s">
        <v>118</v>
      </c>
      <c r="AA2533" t="s">
        <v>39</v>
      </c>
      <c r="AB2533" t="s">
        <v>40</v>
      </c>
      <c r="AC2533" t="s">
        <v>40</v>
      </c>
      <c r="AD2533" t="s">
        <v>391</v>
      </c>
    </row>
    <row r="2534" spans="2:30">
      <c r="B2534">
        <v>0</v>
      </c>
      <c r="C2534">
        <v>1020</v>
      </c>
      <c r="D2534" t="s">
        <v>388</v>
      </c>
      <c r="E2534">
        <v>10631902</v>
      </c>
      <c r="F2534" t="s">
        <v>2621</v>
      </c>
      <c r="G2534" t="s">
        <v>52</v>
      </c>
      <c r="H2534" t="s">
        <v>32</v>
      </c>
      <c r="I2534" t="s">
        <v>390</v>
      </c>
      <c r="J2534" t="s">
        <v>45</v>
      </c>
      <c r="K2534" t="s">
        <v>35</v>
      </c>
      <c r="L2534" t="s">
        <v>175</v>
      </c>
      <c r="M2534" t="s">
        <v>117</v>
      </c>
      <c r="N2534">
        <v>0</v>
      </c>
      <c r="O2534">
        <v>0</v>
      </c>
      <c r="P2534">
        <v>2</v>
      </c>
      <c r="Q2534">
        <v>2</v>
      </c>
      <c r="R2534">
        <v>0</v>
      </c>
      <c r="S2534" t="str">
        <f t="shared" si="195"/>
        <v>PZ: Alta Crit.</v>
      </c>
      <c r="T2534">
        <f t="shared" si="196"/>
        <v>0</v>
      </c>
      <c r="U2534">
        <f t="shared" si="197"/>
        <v>1</v>
      </c>
      <c r="V2534">
        <f t="shared" si="198"/>
        <v>0</v>
      </c>
      <c r="W2534">
        <f t="shared" si="199"/>
        <v>1</v>
      </c>
      <c r="X2534">
        <v>1</v>
      </c>
      <c r="Y2534" s="2">
        <v>45768</v>
      </c>
      <c r="Z2534" s="3" t="s">
        <v>118</v>
      </c>
      <c r="AA2534" t="s">
        <v>39</v>
      </c>
      <c r="AB2534" t="s">
        <v>40</v>
      </c>
      <c r="AC2534" t="s">
        <v>40</v>
      </c>
      <c r="AD2534" t="s">
        <v>391</v>
      </c>
    </row>
    <row r="2535" spans="2:30">
      <c r="B2535">
        <v>0</v>
      </c>
      <c r="C2535">
        <v>1020</v>
      </c>
      <c r="D2535" t="s">
        <v>384</v>
      </c>
      <c r="E2535">
        <v>10632482</v>
      </c>
      <c r="F2535" t="s">
        <v>2622</v>
      </c>
      <c r="G2535" t="s">
        <v>52</v>
      </c>
      <c r="H2535" t="s">
        <v>32</v>
      </c>
      <c r="I2535" t="s">
        <v>386</v>
      </c>
      <c r="J2535" t="s">
        <v>45</v>
      </c>
      <c r="K2535" t="s">
        <v>35</v>
      </c>
      <c r="L2535" t="s">
        <v>175</v>
      </c>
      <c r="M2535" t="s">
        <v>69</v>
      </c>
      <c r="N2535">
        <v>0</v>
      </c>
      <c r="O2535">
        <v>0</v>
      </c>
      <c r="P2535">
        <v>0</v>
      </c>
      <c r="Q2535">
        <v>1</v>
      </c>
      <c r="R2535">
        <v>0</v>
      </c>
      <c r="S2535" t="str">
        <f t="shared" si="195"/>
        <v>PZ: Alta Crit.</v>
      </c>
      <c r="T2535">
        <f t="shared" si="196"/>
        <v>0</v>
      </c>
      <c r="U2535">
        <f t="shared" si="197"/>
        <v>0</v>
      </c>
      <c r="V2535">
        <f t="shared" si="198"/>
        <v>0</v>
      </c>
      <c r="W2535">
        <f t="shared" si="199"/>
        <v>1</v>
      </c>
      <c r="X2535">
        <v>1</v>
      </c>
      <c r="Y2535" s="2">
        <v>45768</v>
      </c>
      <c r="Z2535" s="3" t="s">
        <v>70</v>
      </c>
      <c r="AA2535" t="s">
        <v>39</v>
      </c>
      <c r="AB2535" t="s">
        <v>40</v>
      </c>
      <c r="AC2535" t="s">
        <v>40</v>
      </c>
      <c r="AD2535" t="s">
        <v>387</v>
      </c>
    </row>
    <row r="2536" spans="2:30">
      <c r="B2536">
        <v>0</v>
      </c>
      <c r="C2536">
        <v>1020</v>
      </c>
      <c r="D2536" t="s">
        <v>388</v>
      </c>
      <c r="E2536">
        <v>10636695</v>
      </c>
      <c r="F2536" t="s">
        <v>2623</v>
      </c>
      <c r="G2536" t="s">
        <v>52</v>
      </c>
      <c r="H2536" t="s">
        <v>32</v>
      </c>
      <c r="I2536" t="s">
        <v>390</v>
      </c>
      <c r="J2536" t="s">
        <v>45</v>
      </c>
      <c r="K2536" t="s">
        <v>35</v>
      </c>
      <c r="L2536" t="s">
        <v>175</v>
      </c>
      <c r="M2536" t="s">
        <v>37</v>
      </c>
      <c r="N2536">
        <v>0</v>
      </c>
      <c r="O2536">
        <v>0</v>
      </c>
      <c r="P2536">
        <v>2</v>
      </c>
      <c r="Q2536">
        <v>2</v>
      </c>
      <c r="R2536">
        <v>0</v>
      </c>
      <c r="S2536" t="str">
        <f t="shared" si="195"/>
        <v>PZ: Alta Crit.</v>
      </c>
      <c r="T2536">
        <f t="shared" si="196"/>
        <v>0</v>
      </c>
      <c r="U2536">
        <f t="shared" si="197"/>
        <v>1</v>
      </c>
      <c r="V2536">
        <f t="shared" si="198"/>
        <v>0</v>
      </c>
      <c r="W2536">
        <f t="shared" si="199"/>
        <v>1</v>
      </c>
      <c r="X2536">
        <v>1</v>
      </c>
      <c r="Y2536" s="2">
        <v>45768</v>
      </c>
      <c r="Z2536" s="3" t="s">
        <v>38</v>
      </c>
      <c r="AA2536" t="s">
        <v>39</v>
      </c>
      <c r="AB2536" t="s">
        <v>40</v>
      </c>
      <c r="AC2536" t="s">
        <v>40</v>
      </c>
      <c r="AD2536" t="s">
        <v>391</v>
      </c>
    </row>
    <row r="2537" spans="2:30">
      <c r="B2537">
        <v>0</v>
      </c>
      <c r="C2537">
        <v>1020</v>
      </c>
      <c r="D2537" t="s">
        <v>388</v>
      </c>
      <c r="E2537">
        <v>10638404</v>
      </c>
      <c r="F2537" t="s">
        <v>2624</v>
      </c>
      <c r="G2537" t="s">
        <v>43</v>
      </c>
      <c r="H2537" t="s">
        <v>32</v>
      </c>
      <c r="I2537" t="s">
        <v>390</v>
      </c>
      <c r="J2537" t="s">
        <v>45</v>
      </c>
      <c r="K2537" t="s">
        <v>35</v>
      </c>
      <c r="L2537" t="s">
        <v>175</v>
      </c>
      <c r="M2537" t="s">
        <v>46</v>
      </c>
      <c r="N2537">
        <v>0</v>
      </c>
      <c r="O2537">
        <v>0</v>
      </c>
      <c r="P2537">
        <v>3</v>
      </c>
      <c r="Q2537">
        <v>3</v>
      </c>
      <c r="R2537">
        <v>0</v>
      </c>
      <c r="S2537" t="str">
        <f t="shared" si="195"/>
        <v>PY: Media Crit.</v>
      </c>
      <c r="T2537">
        <f t="shared" si="196"/>
        <v>0</v>
      </c>
      <c r="U2537">
        <f t="shared" si="197"/>
        <v>1</v>
      </c>
      <c r="V2537">
        <f t="shared" si="198"/>
        <v>0</v>
      </c>
      <c r="W2537">
        <f t="shared" si="199"/>
        <v>1</v>
      </c>
      <c r="X2537">
        <v>1</v>
      </c>
      <c r="Y2537" s="2">
        <v>45768</v>
      </c>
      <c r="Z2537" s="3" t="s">
        <v>47</v>
      </c>
      <c r="AA2537" t="s">
        <v>39</v>
      </c>
      <c r="AB2537" t="s">
        <v>40</v>
      </c>
      <c r="AC2537" t="s">
        <v>40</v>
      </c>
      <c r="AD2537" t="s">
        <v>391</v>
      </c>
    </row>
    <row r="2538" spans="2:30">
      <c r="B2538">
        <v>0</v>
      </c>
      <c r="C2538">
        <v>1020</v>
      </c>
      <c r="D2538" t="s">
        <v>384</v>
      </c>
      <c r="E2538">
        <v>10644339</v>
      </c>
      <c r="F2538" t="s">
        <v>2625</v>
      </c>
      <c r="G2538" t="s">
        <v>52</v>
      </c>
      <c r="H2538" t="s">
        <v>32</v>
      </c>
      <c r="I2538" t="s">
        <v>386</v>
      </c>
      <c r="J2538" t="s">
        <v>45</v>
      </c>
      <c r="K2538" t="s">
        <v>35</v>
      </c>
      <c r="L2538" t="s">
        <v>175</v>
      </c>
      <c r="M2538" t="s">
        <v>69</v>
      </c>
      <c r="N2538">
        <v>0</v>
      </c>
      <c r="O2538">
        <v>0</v>
      </c>
      <c r="P2538">
        <v>0</v>
      </c>
      <c r="Q2538">
        <v>1</v>
      </c>
      <c r="R2538">
        <v>0</v>
      </c>
      <c r="S2538" t="str">
        <f t="shared" si="195"/>
        <v>PZ: Alta Crit.</v>
      </c>
      <c r="T2538">
        <f t="shared" si="196"/>
        <v>0</v>
      </c>
      <c r="U2538">
        <f t="shared" si="197"/>
        <v>0</v>
      </c>
      <c r="V2538">
        <f t="shared" si="198"/>
        <v>0</v>
      </c>
      <c r="W2538">
        <f t="shared" si="199"/>
        <v>1</v>
      </c>
      <c r="X2538">
        <v>1</v>
      </c>
      <c r="Y2538" s="2">
        <v>45768</v>
      </c>
      <c r="Z2538" s="3" t="s">
        <v>70</v>
      </c>
      <c r="AA2538" t="s">
        <v>39</v>
      </c>
      <c r="AB2538" t="s">
        <v>40</v>
      </c>
      <c r="AC2538" t="s">
        <v>40</v>
      </c>
      <c r="AD2538" t="s">
        <v>387</v>
      </c>
    </row>
    <row r="2539" spans="2:30">
      <c r="B2539">
        <v>0</v>
      </c>
      <c r="C2539">
        <v>1020</v>
      </c>
      <c r="D2539" t="s">
        <v>384</v>
      </c>
      <c r="E2539">
        <v>10644378</v>
      </c>
      <c r="F2539" t="s">
        <v>2626</v>
      </c>
      <c r="G2539" t="s">
        <v>52</v>
      </c>
      <c r="H2539" t="s">
        <v>32</v>
      </c>
      <c r="I2539" t="s">
        <v>386</v>
      </c>
      <c r="J2539" t="s">
        <v>582</v>
      </c>
      <c r="K2539" t="s">
        <v>260</v>
      </c>
      <c r="L2539" t="s">
        <v>175</v>
      </c>
      <c r="M2539" t="s">
        <v>46</v>
      </c>
      <c r="N2539">
        <v>0</v>
      </c>
      <c r="O2539">
        <v>0</v>
      </c>
      <c r="P2539">
        <v>0</v>
      </c>
      <c r="Q2539">
        <v>2</v>
      </c>
      <c r="R2539">
        <v>0</v>
      </c>
      <c r="S2539" t="str">
        <f t="shared" si="195"/>
        <v>PZ: Alta Crit.</v>
      </c>
      <c r="T2539">
        <f t="shared" si="196"/>
        <v>0</v>
      </c>
      <c r="U2539">
        <f t="shared" si="197"/>
        <v>0</v>
      </c>
      <c r="V2539">
        <f t="shared" si="198"/>
        <v>0</v>
      </c>
      <c r="W2539">
        <f t="shared" si="199"/>
        <v>1</v>
      </c>
      <c r="X2539">
        <v>1</v>
      </c>
      <c r="Y2539" s="2">
        <v>45768</v>
      </c>
      <c r="Z2539" s="3" t="s">
        <v>47</v>
      </c>
      <c r="AA2539" t="s">
        <v>39</v>
      </c>
      <c r="AB2539" t="s">
        <v>40</v>
      </c>
      <c r="AC2539" t="s">
        <v>40</v>
      </c>
      <c r="AD2539" t="s">
        <v>387</v>
      </c>
    </row>
    <row r="2540" spans="2:30">
      <c r="B2540">
        <v>0</v>
      </c>
      <c r="C2540">
        <v>1020</v>
      </c>
      <c r="D2540" t="s">
        <v>388</v>
      </c>
      <c r="E2540">
        <v>10645676</v>
      </c>
      <c r="F2540" t="s">
        <v>2627</v>
      </c>
      <c r="G2540" t="s">
        <v>52</v>
      </c>
      <c r="H2540" t="s">
        <v>32</v>
      </c>
      <c r="I2540" t="s">
        <v>390</v>
      </c>
      <c r="J2540" t="s">
        <v>45</v>
      </c>
      <c r="K2540" t="s">
        <v>35</v>
      </c>
      <c r="L2540" t="s">
        <v>175</v>
      </c>
      <c r="M2540" t="s">
        <v>69</v>
      </c>
      <c r="N2540">
        <v>0</v>
      </c>
      <c r="O2540">
        <v>0</v>
      </c>
      <c r="P2540">
        <v>1</v>
      </c>
      <c r="Q2540">
        <v>1</v>
      </c>
      <c r="R2540" s="4">
        <v>14815.97</v>
      </c>
      <c r="S2540" t="str">
        <f t="shared" si="195"/>
        <v>PZ: Alta Crit.</v>
      </c>
      <c r="T2540">
        <f t="shared" si="196"/>
        <v>0</v>
      </c>
      <c r="U2540">
        <f t="shared" si="197"/>
        <v>1</v>
      </c>
      <c r="V2540">
        <f t="shared" si="198"/>
        <v>0</v>
      </c>
      <c r="W2540">
        <f t="shared" si="199"/>
        <v>1</v>
      </c>
      <c r="X2540">
        <v>1</v>
      </c>
      <c r="Y2540" s="2">
        <v>45768</v>
      </c>
      <c r="Z2540" s="3" t="s">
        <v>70</v>
      </c>
      <c r="AA2540" t="s">
        <v>39</v>
      </c>
      <c r="AB2540" t="s">
        <v>40</v>
      </c>
      <c r="AC2540" t="s">
        <v>40</v>
      </c>
      <c r="AD2540" t="s">
        <v>391</v>
      </c>
    </row>
    <row r="2541" spans="2:30">
      <c r="B2541">
        <v>0</v>
      </c>
      <c r="C2541">
        <v>1020</v>
      </c>
      <c r="D2541" t="s">
        <v>388</v>
      </c>
      <c r="E2541">
        <v>10645695</v>
      </c>
      <c r="F2541" t="s">
        <v>2628</v>
      </c>
      <c r="G2541" t="s">
        <v>52</v>
      </c>
      <c r="H2541" t="s">
        <v>32</v>
      </c>
      <c r="I2541" t="s">
        <v>390</v>
      </c>
      <c r="J2541" t="s">
        <v>45</v>
      </c>
      <c r="K2541" t="s">
        <v>35</v>
      </c>
      <c r="L2541" t="s">
        <v>175</v>
      </c>
      <c r="M2541" t="s">
        <v>69</v>
      </c>
      <c r="N2541">
        <v>0</v>
      </c>
      <c r="O2541">
        <v>0</v>
      </c>
      <c r="P2541">
        <v>1</v>
      </c>
      <c r="Q2541">
        <v>1</v>
      </c>
      <c r="R2541">
        <v>0</v>
      </c>
      <c r="S2541" t="str">
        <f t="shared" si="195"/>
        <v>PZ: Alta Crit.</v>
      </c>
      <c r="T2541">
        <f t="shared" si="196"/>
        <v>0</v>
      </c>
      <c r="U2541">
        <f t="shared" si="197"/>
        <v>1</v>
      </c>
      <c r="V2541">
        <f t="shared" si="198"/>
        <v>0</v>
      </c>
      <c r="W2541">
        <f t="shared" si="199"/>
        <v>1</v>
      </c>
      <c r="X2541">
        <v>1</v>
      </c>
      <c r="Y2541" s="2">
        <v>45768</v>
      </c>
      <c r="Z2541" s="3" t="s">
        <v>70</v>
      </c>
      <c r="AA2541" t="s">
        <v>39</v>
      </c>
      <c r="AB2541" t="s">
        <v>40</v>
      </c>
      <c r="AC2541" t="s">
        <v>40</v>
      </c>
      <c r="AD2541" t="s">
        <v>391</v>
      </c>
    </row>
    <row r="2542" spans="2:30">
      <c r="B2542">
        <v>0</v>
      </c>
      <c r="C2542">
        <v>1020</v>
      </c>
      <c r="D2542" t="s">
        <v>388</v>
      </c>
      <c r="E2542">
        <v>10647070</v>
      </c>
      <c r="F2542" t="s">
        <v>2629</v>
      </c>
      <c r="G2542" t="s">
        <v>43</v>
      </c>
      <c r="H2542" t="s">
        <v>60</v>
      </c>
      <c r="I2542" t="s">
        <v>390</v>
      </c>
      <c r="J2542" t="s">
        <v>45</v>
      </c>
      <c r="K2542" t="s">
        <v>252</v>
      </c>
      <c r="L2542" t="s">
        <v>175</v>
      </c>
      <c r="M2542" t="s">
        <v>69</v>
      </c>
      <c r="N2542">
        <v>0</v>
      </c>
      <c r="O2542">
        <v>0</v>
      </c>
      <c r="P2542">
        <v>305</v>
      </c>
      <c r="Q2542">
        <v>205</v>
      </c>
      <c r="R2542" s="4">
        <v>98397.3</v>
      </c>
      <c r="S2542" t="str">
        <f t="shared" si="195"/>
        <v>PY: Media Crit.</v>
      </c>
      <c r="T2542">
        <f t="shared" si="196"/>
        <v>0</v>
      </c>
      <c r="U2542">
        <f t="shared" si="197"/>
        <v>1</v>
      </c>
      <c r="V2542">
        <f t="shared" si="198"/>
        <v>0</v>
      </c>
      <c r="W2542">
        <f t="shared" si="199"/>
        <v>1</v>
      </c>
      <c r="X2542">
        <v>1</v>
      </c>
      <c r="Y2542" s="2">
        <v>45768</v>
      </c>
      <c r="Z2542" s="3" t="s">
        <v>70</v>
      </c>
      <c r="AA2542" t="s">
        <v>39</v>
      </c>
      <c r="AB2542" t="s">
        <v>40</v>
      </c>
      <c r="AC2542" t="s">
        <v>40</v>
      </c>
      <c r="AD2542" t="s">
        <v>391</v>
      </c>
    </row>
    <row r="2543" spans="2:30">
      <c r="B2543">
        <v>0</v>
      </c>
      <c r="C2543">
        <v>1020</v>
      </c>
      <c r="D2543" t="s">
        <v>181</v>
      </c>
      <c r="E2543">
        <v>10647472</v>
      </c>
      <c r="F2543" t="s">
        <v>2630</v>
      </c>
      <c r="G2543" t="s">
        <v>52</v>
      </c>
      <c r="H2543" t="s">
        <v>32</v>
      </c>
      <c r="I2543" t="s">
        <v>695</v>
      </c>
      <c r="J2543" t="s">
        <v>45</v>
      </c>
      <c r="K2543" t="s">
        <v>35</v>
      </c>
      <c r="L2543" t="s">
        <v>36</v>
      </c>
      <c r="M2543" t="s">
        <v>117</v>
      </c>
      <c r="N2543">
        <v>5</v>
      </c>
      <c r="O2543">
        <v>2</v>
      </c>
      <c r="P2543">
        <v>0</v>
      </c>
      <c r="Q2543">
        <v>5</v>
      </c>
      <c r="R2543">
        <v>685.76</v>
      </c>
      <c r="S2543" t="str">
        <f t="shared" si="195"/>
        <v>PZ: Alta Crit.</v>
      </c>
      <c r="T2543">
        <f t="shared" si="196"/>
        <v>0</v>
      </c>
      <c r="U2543">
        <f t="shared" si="197"/>
        <v>0</v>
      </c>
      <c r="V2543">
        <f t="shared" si="198"/>
        <v>1</v>
      </c>
      <c r="W2543">
        <f t="shared" si="199"/>
        <v>0</v>
      </c>
      <c r="X2543">
        <v>1</v>
      </c>
      <c r="Y2543" s="2">
        <v>45768</v>
      </c>
      <c r="Z2543" s="3" t="s">
        <v>118</v>
      </c>
      <c r="AA2543" t="s">
        <v>39</v>
      </c>
      <c r="AB2543" t="s">
        <v>40</v>
      </c>
      <c r="AC2543" t="s">
        <v>40</v>
      </c>
      <c r="AD2543" t="s">
        <v>391</v>
      </c>
    </row>
    <row r="2544" spans="2:30">
      <c r="B2544">
        <v>0</v>
      </c>
      <c r="C2544">
        <v>1020</v>
      </c>
      <c r="D2544" t="s">
        <v>693</v>
      </c>
      <c r="E2544">
        <v>10720508</v>
      </c>
      <c r="F2544" t="s">
        <v>2631</v>
      </c>
      <c r="G2544" t="s">
        <v>43</v>
      </c>
      <c r="H2544" t="s">
        <v>32</v>
      </c>
      <c r="I2544" t="s">
        <v>695</v>
      </c>
      <c r="J2544" t="s">
        <v>45</v>
      </c>
      <c r="K2544" t="s">
        <v>35</v>
      </c>
      <c r="L2544" t="s">
        <v>175</v>
      </c>
      <c r="M2544" t="s">
        <v>37</v>
      </c>
      <c r="N2544">
        <v>0</v>
      </c>
      <c r="O2544">
        <v>0</v>
      </c>
      <c r="P2544">
        <v>1</v>
      </c>
      <c r="Q2544">
        <v>1</v>
      </c>
      <c r="R2544" s="4">
        <v>3245.54</v>
      </c>
      <c r="S2544" t="str">
        <f t="shared" si="195"/>
        <v>PY: Media Crit.</v>
      </c>
      <c r="T2544">
        <f t="shared" si="196"/>
        <v>0</v>
      </c>
      <c r="U2544">
        <f t="shared" si="197"/>
        <v>1</v>
      </c>
      <c r="V2544">
        <f t="shared" si="198"/>
        <v>0</v>
      </c>
      <c r="W2544">
        <f t="shared" si="199"/>
        <v>1</v>
      </c>
      <c r="X2544">
        <v>1</v>
      </c>
      <c r="Y2544" s="2">
        <v>45768</v>
      </c>
      <c r="Z2544" s="3" t="s">
        <v>38</v>
      </c>
      <c r="AA2544" t="s">
        <v>39</v>
      </c>
      <c r="AB2544" t="s">
        <v>40</v>
      </c>
      <c r="AC2544" t="s">
        <v>40</v>
      </c>
      <c r="AD2544" t="s">
        <v>696</v>
      </c>
    </row>
    <row r="2545" spans="2:30">
      <c r="B2545">
        <v>0</v>
      </c>
      <c r="C2545">
        <v>1020</v>
      </c>
      <c r="D2545" t="s">
        <v>181</v>
      </c>
      <c r="E2545">
        <v>10724232</v>
      </c>
      <c r="F2545" t="s">
        <v>2632</v>
      </c>
      <c r="G2545" t="s">
        <v>31</v>
      </c>
      <c r="H2545" t="s">
        <v>44</v>
      </c>
      <c r="I2545" t="s">
        <v>183</v>
      </c>
      <c r="J2545" t="s">
        <v>45</v>
      </c>
      <c r="K2545" t="s">
        <v>35</v>
      </c>
      <c r="L2545" t="s">
        <v>36</v>
      </c>
      <c r="M2545" t="s">
        <v>46</v>
      </c>
      <c r="N2545">
        <v>5</v>
      </c>
      <c r="O2545">
        <v>3</v>
      </c>
      <c r="P2545">
        <v>0</v>
      </c>
      <c r="Q2545">
        <v>5</v>
      </c>
      <c r="R2545">
        <v>0</v>
      </c>
      <c r="S2545" t="str">
        <f t="shared" si="195"/>
        <v>PX: Baja Crit.</v>
      </c>
      <c r="T2545">
        <f t="shared" si="196"/>
        <v>0</v>
      </c>
      <c r="U2545">
        <f t="shared" si="197"/>
        <v>0</v>
      </c>
      <c r="V2545">
        <f t="shared" si="198"/>
        <v>1</v>
      </c>
      <c r="W2545">
        <f t="shared" si="199"/>
        <v>0</v>
      </c>
      <c r="X2545">
        <v>1</v>
      </c>
      <c r="Y2545" s="2">
        <v>45768</v>
      </c>
      <c r="Z2545" s="3" t="s">
        <v>47</v>
      </c>
      <c r="AA2545" t="s">
        <v>39</v>
      </c>
      <c r="AB2545" t="s">
        <v>40</v>
      </c>
      <c r="AC2545" t="s">
        <v>40</v>
      </c>
      <c r="AD2545" t="s">
        <v>184</v>
      </c>
    </row>
    <row r="2546" spans="2:30">
      <c r="B2546">
        <v>0</v>
      </c>
      <c r="C2546">
        <v>1020</v>
      </c>
      <c r="D2546" t="s">
        <v>388</v>
      </c>
      <c r="E2546">
        <v>10725247</v>
      </c>
      <c r="F2546" t="s">
        <v>2633</v>
      </c>
      <c r="G2546" t="s">
        <v>43</v>
      </c>
      <c r="H2546" t="s">
        <v>44</v>
      </c>
      <c r="I2546" t="s">
        <v>390</v>
      </c>
      <c r="J2546" t="s">
        <v>45</v>
      </c>
      <c r="K2546" t="s">
        <v>35</v>
      </c>
      <c r="L2546" t="s">
        <v>175</v>
      </c>
      <c r="M2546" t="s">
        <v>55</v>
      </c>
      <c r="N2546">
        <v>0</v>
      </c>
      <c r="O2546">
        <v>0</v>
      </c>
      <c r="P2546">
        <v>10</v>
      </c>
      <c r="Q2546">
        <v>0</v>
      </c>
      <c r="R2546">
        <v>0</v>
      </c>
      <c r="S2546" t="str">
        <f t="shared" si="195"/>
        <v>PY: Media Crit.</v>
      </c>
      <c r="T2546">
        <f t="shared" si="196"/>
        <v>1</v>
      </c>
      <c r="U2546">
        <f t="shared" si="197"/>
        <v>0</v>
      </c>
      <c r="V2546">
        <f t="shared" si="198"/>
        <v>0</v>
      </c>
      <c r="W2546">
        <f t="shared" si="199"/>
        <v>0</v>
      </c>
      <c r="X2546">
        <v>1</v>
      </c>
      <c r="Y2546" s="2">
        <v>45768</v>
      </c>
      <c r="Z2546" s="3" t="s">
        <v>56</v>
      </c>
      <c r="AA2546" t="s">
        <v>39</v>
      </c>
      <c r="AB2546" t="s">
        <v>76</v>
      </c>
      <c r="AC2546" s="5" t="s">
        <v>77</v>
      </c>
      <c r="AD2546" t="s">
        <v>391</v>
      </c>
    </row>
    <row r="2547" spans="2:30">
      <c r="B2547">
        <v>0</v>
      </c>
      <c r="C2547">
        <v>1020</v>
      </c>
      <c r="D2547" t="s">
        <v>384</v>
      </c>
      <c r="E2547">
        <v>10725664</v>
      </c>
      <c r="F2547" t="s">
        <v>2634</v>
      </c>
      <c r="G2547" t="s">
        <v>31</v>
      </c>
      <c r="H2547" t="s">
        <v>32</v>
      </c>
      <c r="I2547" t="s">
        <v>386</v>
      </c>
      <c r="J2547" t="s">
        <v>45</v>
      </c>
      <c r="K2547" t="s">
        <v>35</v>
      </c>
      <c r="L2547" t="s">
        <v>175</v>
      </c>
      <c r="M2547" t="s">
        <v>88</v>
      </c>
      <c r="N2547">
        <v>0</v>
      </c>
      <c r="O2547">
        <v>0</v>
      </c>
      <c r="P2547">
        <v>0</v>
      </c>
      <c r="Q2547">
        <v>15</v>
      </c>
      <c r="R2547">
        <v>333.96</v>
      </c>
      <c r="S2547" t="str">
        <f t="shared" si="195"/>
        <v>PX: Baja Crit.</v>
      </c>
      <c r="T2547">
        <f t="shared" si="196"/>
        <v>0</v>
      </c>
      <c r="U2547">
        <f t="shared" si="197"/>
        <v>0</v>
      </c>
      <c r="V2547">
        <f t="shared" si="198"/>
        <v>0</v>
      </c>
      <c r="W2547">
        <f t="shared" si="199"/>
        <v>1</v>
      </c>
      <c r="X2547">
        <v>1</v>
      </c>
      <c r="Y2547" s="2">
        <v>45768</v>
      </c>
      <c r="Z2547" s="3" t="s">
        <v>89</v>
      </c>
      <c r="AA2547" t="s">
        <v>39</v>
      </c>
      <c r="AB2547" t="s">
        <v>40</v>
      </c>
      <c r="AC2547" t="s">
        <v>40</v>
      </c>
      <c r="AD2547" t="s">
        <v>387</v>
      </c>
    </row>
    <row r="2548" spans="2:30">
      <c r="B2548">
        <v>0</v>
      </c>
      <c r="C2548">
        <v>1020</v>
      </c>
      <c r="D2548" t="s">
        <v>181</v>
      </c>
      <c r="E2548">
        <v>10725668</v>
      </c>
      <c r="F2548" t="s">
        <v>2635</v>
      </c>
      <c r="G2548" t="s">
        <v>43</v>
      </c>
      <c r="H2548" t="s">
        <v>32</v>
      </c>
      <c r="I2548" t="s">
        <v>183</v>
      </c>
      <c r="J2548" t="s">
        <v>45</v>
      </c>
      <c r="K2548" t="s">
        <v>35</v>
      </c>
      <c r="L2548" t="s">
        <v>36</v>
      </c>
      <c r="M2548" t="s">
        <v>46</v>
      </c>
      <c r="N2548">
        <v>4</v>
      </c>
      <c r="O2548">
        <v>3</v>
      </c>
      <c r="P2548">
        <v>1</v>
      </c>
      <c r="Q2548">
        <v>4</v>
      </c>
      <c r="R2548">
        <v>0</v>
      </c>
      <c r="S2548" t="str">
        <f t="shared" si="195"/>
        <v>PY: Media Crit.</v>
      </c>
      <c r="T2548">
        <f t="shared" si="196"/>
        <v>0</v>
      </c>
      <c r="U2548">
        <f t="shared" si="197"/>
        <v>0</v>
      </c>
      <c r="V2548">
        <f t="shared" si="198"/>
        <v>1</v>
      </c>
      <c r="W2548">
        <f t="shared" si="199"/>
        <v>0</v>
      </c>
      <c r="X2548">
        <v>1</v>
      </c>
      <c r="Y2548" s="2">
        <v>45768</v>
      </c>
      <c r="Z2548" s="3" t="s">
        <v>47</v>
      </c>
      <c r="AA2548" t="s">
        <v>39</v>
      </c>
      <c r="AB2548" t="s">
        <v>40</v>
      </c>
      <c r="AC2548" t="s">
        <v>40</v>
      </c>
      <c r="AD2548" t="s">
        <v>184</v>
      </c>
    </row>
    <row r="2549" spans="2:30">
      <c r="B2549">
        <v>0</v>
      </c>
      <c r="C2549">
        <v>1020</v>
      </c>
      <c r="D2549" t="s">
        <v>181</v>
      </c>
      <c r="E2549">
        <v>10726163</v>
      </c>
      <c r="F2549" t="s">
        <v>2636</v>
      </c>
      <c r="G2549" t="s">
        <v>31</v>
      </c>
      <c r="H2549" t="s">
        <v>32</v>
      </c>
      <c r="I2549" t="s">
        <v>183</v>
      </c>
      <c r="J2549" t="s">
        <v>45</v>
      </c>
      <c r="K2549" t="s">
        <v>35</v>
      </c>
      <c r="L2549" t="s">
        <v>36</v>
      </c>
      <c r="M2549" t="s">
        <v>88</v>
      </c>
      <c r="N2549">
        <v>10</v>
      </c>
      <c r="O2549">
        <v>5</v>
      </c>
      <c r="P2549">
        <v>3</v>
      </c>
      <c r="Q2549">
        <v>10</v>
      </c>
      <c r="R2549">
        <v>0</v>
      </c>
      <c r="S2549" t="str">
        <f t="shared" si="195"/>
        <v>PX: Baja Crit.</v>
      </c>
      <c r="T2549">
        <f t="shared" si="196"/>
        <v>0</v>
      </c>
      <c r="U2549">
        <f t="shared" si="197"/>
        <v>0</v>
      </c>
      <c r="V2549">
        <f t="shared" si="198"/>
        <v>1</v>
      </c>
      <c r="W2549">
        <f t="shared" si="199"/>
        <v>0</v>
      </c>
      <c r="X2549">
        <v>1</v>
      </c>
      <c r="Y2549" s="2">
        <v>45768</v>
      </c>
      <c r="Z2549" s="3" t="s">
        <v>89</v>
      </c>
      <c r="AA2549" t="s">
        <v>39</v>
      </c>
      <c r="AB2549" t="s">
        <v>40</v>
      </c>
      <c r="AC2549" t="s">
        <v>40</v>
      </c>
      <c r="AD2549" t="s">
        <v>184</v>
      </c>
    </row>
    <row r="2550" spans="2:30">
      <c r="B2550">
        <v>0</v>
      </c>
      <c r="C2550">
        <v>1020</v>
      </c>
      <c r="D2550" t="s">
        <v>693</v>
      </c>
      <c r="E2550">
        <v>10727667</v>
      </c>
      <c r="F2550" t="s">
        <v>2637</v>
      </c>
      <c r="G2550" t="s">
        <v>43</v>
      </c>
      <c r="H2550" t="s">
        <v>32</v>
      </c>
      <c r="I2550" t="s">
        <v>695</v>
      </c>
      <c r="J2550" t="s">
        <v>45</v>
      </c>
      <c r="K2550" t="s">
        <v>35</v>
      </c>
      <c r="L2550" t="s">
        <v>175</v>
      </c>
      <c r="M2550" t="s">
        <v>69</v>
      </c>
      <c r="N2550">
        <v>0</v>
      </c>
      <c r="O2550">
        <v>0</v>
      </c>
      <c r="P2550">
        <v>0</v>
      </c>
      <c r="Q2550">
        <v>2</v>
      </c>
      <c r="R2550">
        <v>0</v>
      </c>
      <c r="S2550" t="str">
        <f t="shared" si="195"/>
        <v>PY: Media Crit.</v>
      </c>
      <c r="T2550">
        <f t="shared" si="196"/>
        <v>0</v>
      </c>
      <c r="U2550">
        <f t="shared" si="197"/>
        <v>0</v>
      </c>
      <c r="V2550">
        <f t="shared" si="198"/>
        <v>0</v>
      </c>
      <c r="W2550">
        <f t="shared" si="199"/>
        <v>1</v>
      </c>
      <c r="X2550">
        <v>1</v>
      </c>
      <c r="Y2550" s="2">
        <v>45768</v>
      </c>
      <c r="Z2550" s="3" t="s">
        <v>70</v>
      </c>
      <c r="AA2550" t="s">
        <v>39</v>
      </c>
      <c r="AB2550" t="s">
        <v>40</v>
      </c>
      <c r="AC2550" t="s">
        <v>40</v>
      </c>
      <c r="AD2550" t="s">
        <v>696</v>
      </c>
    </row>
    <row r="2551" spans="2:30">
      <c r="B2551">
        <v>0</v>
      </c>
      <c r="C2551">
        <v>1020</v>
      </c>
      <c r="D2551" t="s">
        <v>388</v>
      </c>
      <c r="E2551">
        <v>14009564</v>
      </c>
      <c r="F2551" t="s">
        <v>2638</v>
      </c>
      <c r="G2551" t="s">
        <v>43</v>
      </c>
      <c r="H2551" t="s">
        <v>32</v>
      </c>
      <c r="I2551" t="s">
        <v>390</v>
      </c>
      <c r="J2551" t="s">
        <v>45</v>
      </c>
      <c r="K2551" t="s">
        <v>35</v>
      </c>
      <c r="L2551" t="s">
        <v>175</v>
      </c>
      <c r="M2551" t="s">
        <v>46</v>
      </c>
      <c r="N2551">
        <v>0</v>
      </c>
      <c r="O2551">
        <v>0</v>
      </c>
      <c r="P2551">
        <v>2</v>
      </c>
      <c r="Q2551">
        <v>2</v>
      </c>
      <c r="R2551">
        <v>0</v>
      </c>
      <c r="S2551" t="str">
        <f t="shared" si="195"/>
        <v>PY: Media Crit.</v>
      </c>
      <c r="T2551">
        <f t="shared" si="196"/>
        <v>0</v>
      </c>
      <c r="U2551">
        <f t="shared" si="197"/>
        <v>1</v>
      </c>
      <c r="V2551">
        <f t="shared" si="198"/>
        <v>0</v>
      </c>
      <c r="W2551">
        <f t="shared" si="199"/>
        <v>1</v>
      </c>
      <c r="X2551">
        <v>1</v>
      </c>
      <c r="Y2551" s="2">
        <v>45768</v>
      </c>
      <c r="Z2551" s="3" t="s">
        <v>47</v>
      </c>
      <c r="AA2551" t="s">
        <v>39</v>
      </c>
      <c r="AB2551" t="s">
        <v>40</v>
      </c>
      <c r="AC2551" t="s">
        <v>40</v>
      </c>
      <c r="AD2551" t="s">
        <v>391</v>
      </c>
    </row>
    <row r="2552" spans="2:30">
      <c r="B2552">
        <v>0</v>
      </c>
      <c r="C2552">
        <v>1020</v>
      </c>
      <c r="D2552" t="s">
        <v>388</v>
      </c>
      <c r="E2552">
        <v>14009565</v>
      </c>
      <c r="F2552" t="s">
        <v>2639</v>
      </c>
      <c r="G2552" t="s">
        <v>43</v>
      </c>
      <c r="H2552" t="s">
        <v>32</v>
      </c>
      <c r="I2552" t="s">
        <v>390</v>
      </c>
      <c r="J2552" t="s">
        <v>45</v>
      </c>
      <c r="K2552" t="s">
        <v>35</v>
      </c>
      <c r="L2552" t="s">
        <v>175</v>
      </c>
      <c r="M2552" t="s">
        <v>46</v>
      </c>
      <c r="N2552">
        <v>0</v>
      </c>
      <c r="O2552">
        <v>0</v>
      </c>
      <c r="P2552">
        <v>2</v>
      </c>
      <c r="Q2552">
        <v>2</v>
      </c>
      <c r="R2552">
        <v>0</v>
      </c>
      <c r="S2552" t="str">
        <f t="shared" si="195"/>
        <v>PY: Media Crit.</v>
      </c>
      <c r="T2552">
        <f t="shared" si="196"/>
        <v>0</v>
      </c>
      <c r="U2552">
        <f t="shared" si="197"/>
        <v>1</v>
      </c>
      <c r="V2552">
        <f t="shared" si="198"/>
        <v>0</v>
      </c>
      <c r="W2552">
        <f t="shared" si="199"/>
        <v>1</v>
      </c>
      <c r="X2552">
        <v>1</v>
      </c>
      <c r="Y2552" s="2">
        <v>45768</v>
      </c>
      <c r="Z2552" s="3" t="s">
        <v>47</v>
      </c>
      <c r="AA2552" t="s">
        <v>39</v>
      </c>
      <c r="AB2552" t="s">
        <v>40</v>
      </c>
      <c r="AC2552" t="s">
        <v>40</v>
      </c>
      <c r="AD2552" t="s">
        <v>391</v>
      </c>
    </row>
    <row r="2553" spans="2:30">
      <c r="B2553">
        <v>0</v>
      </c>
      <c r="C2553">
        <v>1020</v>
      </c>
      <c r="D2553" t="s">
        <v>181</v>
      </c>
      <c r="E2553">
        <v>14009862</v>
      </c>
      <c r="F2553" t="s">
        <v>2640</v>
      </c>
      <c r="G2553" t="s">
        <v>52</v>
      </c>
      <c r="H2553" t="s">
        <v>32</v>
      </c>
      <c r="I2553" t="s">
        <v>183</v>
      </c>
      <c r="J2553" t="s">
        <v>45</v>
      </c>
      <c r="K2553" t="s">
        <v>35</v>
      </c>
      <c r="L2553" t="s">
        <v>36</v>
      </c>
      <c r="M2553" t="s">
        <v>46</v>
      </c>
      <c r="N2553">
        <v>3</v>
      </c>
      <c r="O2553">
        <v>2</v>
      </c>
      <c r="P2553">
        <v>2</v>
      </c>
      <c r="Q2553">
        <v>3</v>
      </c>
      <c r="R2553">
        <v>0</v>
      </c>
      <c r="S2553" t="str">
        <f t="shared" si="195"/>
        <v>PZ: Alta Crit.</v>
      </c>
      <c r="T2553">
        <f t="shared" si="196"/>
        <v>0</v>
      </c>
      <c r="U2553">
        <f t="shared" si="197"/>
        <v>0</v>
      </c>
      <c r="V2553">
        <f t="shared" si="198"/>
        <v>1</v>
      </c>
      <c r="W2553">
        <f t="shared" si="199"/>
        <v>0</v>
      </c>
      <c r="X2553">
        <v>1</v>
      </c>
      <c r="Y2553" s="2">
        <v>45768</v>
      </c>
      <c r="Z2553" s="3" t="s">
        <v>47</v>
      </c>
      <c r="AA2553" t="s">
        <v>39</v>
      </c>
      <c r="AB2553" t="s">
        <v>40</v>
      </c>
      <c r="AC2553" t="s">
        <v>40</v>
      </c>
      <c r="AD2553" t="s">
        <v>184</v>
      </c>
    </row>
    <row r="2554" spans="2:30">
      <c r="B2554">
        <v>0</v>
      </c>
      <c r="C2554">
        <v>1020</v>
      </c>
      <c r="D2554" t="s">
        <v>181</v>
      </c>
      <c r="E2554">
        <v>14009949</v>
      </c>
      <c r="F2554" t="s">
        <v>2641</v>
      </c>
      <c r="G2554" t="s">
        <v>52</v>
      </c>
      <c r="H2554" t="s">
        <v>32</v>
      </c>
      <c r="I2554" t="s">
        <v>183</v>
      </c>
      <c r="J2554" t="s">
        <v>45</v>
      </c>
      <c r="K2554" t="s">
        <v>35</v>
      </c>
      <c r="L2554" t="s">
        <v>36</v>
      </c>
      <c r="M2554" t="s">
        <v>46</v>
      </c>
      <c r="N2554">
        <v>2</v>
      </c>
      <c r="O2554">
        <v>2</v>
      </c>
      <c r="P2554">
        <v>1</v>
      </c>
      <c r="Q2554">
        <v>2</v>
      </c>
      <c r="R2554">
        <v>0</v>
      </c>
      <c r="S2554" t="str">
        <f t="shared" si="195"/>
        <v>PZ: Alta Crit.</v>
      </c>
      <c r="T2554">
        <f t="shared" si="196"/>
        <v>0</v>
      </c>
      <c r="U2554">
        <f t="shared" si="197"/>
        <v>0</v>
      </c>
      <c r="V2554">
        <f t="shared" si="198"/>
        <v>1</v>
      </c>
      <c r="W2554">
        <f t="shared" si="199"/>
        <v>0</v>
      </c>
      <c r="X2554">
        <v>1</v>
      </c>
      <c r="Y2554" s="2">
        <v>45768</v>
      </c>
      <c r="Z2554" s="3" t="s">
        <v>47</v>
      </c>
      <c r="AA2554" t="s">
        <v>39</v>
      </c>
      <c r="AB2554" t="s">
        <v>40</v>
      </c>
      <c r="AC2554" t="s">
        <v>40</v>
      </c>
      <c r="AD2554" t="s">
        <v>184</v>
      </c>
    </row>
    <row r="2555" spans="2:30">
      <c r="B2555">
        <v>0</v>
      </c>
      <c r="C2555">
        <v>1020</v>
      </c>
      <c r="D2555" t="s">
        <v>693</v>
      </c>
      <c r="E2555">
        <v>14010259</v>
      </c>
      <c r="F2555" t="s">
        <v>2642</v>
      </c>
      <c r="G2555" t="s">
        <v>43</v>
      </c>
      <c r="H2555" t="s">
        <v>32</v>
      </c>
      <c r="I2555" t="s">
        <v>695</v>
      </c>
      <c r="J2555" t="s">
        <v>45</v>
      </c>
      <c r="K2555" t="s">
        <v>35</v>
      </c>
      <c r="L2555" t="s">
        <v>175</v>
      </c>
      <c r="M2555" t="s">
        <v>69</v>
      </c>
      <c r="N2555">
        <v>0</v>
      </c>
      <c r="O2555">
        <v>0</v>
      </c>
      <c r="P2555">
        <v>0</v>
      </c>
      <c r="Q2555">
        <v>4</v>
      </c>
      <c r="R2555">
        <v>0</v>
      </c>
      <c r="S2555" t="str">
        <f t="shared" si="195"/>
        <v>PY: Media Crit.</v>
      </c>
      <c r="T2555">
        <f t="shared" si="196"/>
        <v>0</v>
      </c>
      <c r="U2555">
        <f t="shared" si="197"/>
        <v>0</v>
      </c>
      <c r="V2555">
        <f t="shared" si="198"/>
        <v>0</v>
      </c>
      <c r="W2555">
        <f t="shared" si="199"/>
        <v>1</v>
      </c>
      <c r="X2555">
        <v>1</v>
      </c>
      <c r="Y2555" s="2">
        <v>45768</v>
      </c>
      <c r="Z2555" s="3" t="s">
        <v>70</v>
      </c>
      <c r="AA2555" t="s">
        <v>39</v>
      </c>
      <c r="AB2555" t="s">
        <v>40</v>
      </c>
      <c r="AC2555" t="s">
        <v>40</v>
      </c>
      <c r="AD2555" t="s">
        <v>696</v>
      </c>
    </row>
    <row r="2556" spans="2:30">
      <c r="B2556">
        <v>0</v>
      </c>
      <c r="C2556">
        <v>1020</v>
      </c>
      <c r="D2556" t="s">
        <v>384</v>
      </c>
      <c r="E2556">
        <v>14010268</v>
      </c>
      <c r="F2556" t="s">
        <v>2643</v>
      </c>
      <c r="G2556" t="s">
        <v>43</v>
      </c>
      <c r="H2556" t="s">
        <v>32</v>
      </c>
      <c r="I2556" t="s">
        <v>386</v>
      </c>
      <c r="J2556" t="s">
        <v>45</v>
      </c>
      <c r="K2556" t="s">
        <v>35</v>
      </c>
      <c r="L2556" t="s">
        <v>175</v>
      </c>
      <c r="M2556" t="s">
        <v>117</v>
      </c>
      <c r="N2556">
        <v>0</v>
      </c>
      <c r="O2556">
        <v>0</v>
      </c>
      <c r="P2556">
        <v>0</v>
      </c>
      <c r="Q2556">
        <v>15</v>
      </c>
      <c r="R2556">
        <v>0</v>
      </c>
      <c r="S2556" t="str">
        <f t="shared" si="195"/>
        <v>PY: Media Crit.</v>
      </c>
      <c r="T2556">
        <f t="shared" si="196"/>
        <v>0</v>
      </c>
      <c r="U2556">
        <f t="shared" si="197"/>
        <v>0</v>
      </c>
      <c r="V2556">
        <f t="shared" si="198"/>
        <v>0</v>
      </c>
      <c r="W2556">
        <f t="shared" si="199"/>
        <v>1</v>
      </c>
      <c r="X2556">
        <v>1</v>
      </c>
      <c r="Y2556" s="2">
        <v>45768</v>
      </c>
      <c r="Z2556" s="3" t="s">
        <v>118</v>
      </c>
      <c r="AA2556" t="s">
        <v>39</v>
      </c>
      <c r="AB2556" t="s">
        <v>40</v>
      </c>
      <c r="AC2556" t="s">
        <v>40</v>
      </c>
      <c r="AD2556" t="s">
        <v>387</v>
      </c>
    </row>
    <row r="2557" spans="2:30">
      <c r="B2557">
        <v>0</v>
      </c>
      <c r="C2557">
        <v>1020</v>
      </c>
      <c r="D2557" t="s">
        <v>181</v>
      </c>
      <c r="E2557">
        <v>14010272</v>
      </c>
      <c r="F2557" t="s">
        <v>2644</v>
      </c>
      <c r="G2557" t="s">
        <v>31</v>
      </c>
      <c r="H2557" t="s">
        <v>44</v>
      </c>
      <c r="I2557" t="s">
        <v>183</v>
      </c>
      <c r="J2557" t="s">
        <v>45</v>
      </c>
      <c r="K2557" t="s">
        <v>35</v>
      </c>
      <c r="L2557" t="s">
        <v>36</v>
      </c>
      <c r="M2557" t="s">
        <v>37</v>
      </c>
      <c r="N2557">
        <v>3</v>
      </c>
      <c r="O2557">
        <v>2</v>
      </c>
      <c r="P2557">
        <v>0</v>
      </c>
      <c r="Q2557">
        <v>0</v>
      </c>
      <c r="R2557">
        <v>0</v>
      </c>
      <c r="S2557" t="str">
        <f t="shared" si="195"/>
        <v>PX: Baja Crit.</v>
      </c>
      <c r="T2557">
        <f t="shared" si="196"/>
        <v>1</v>
      </c>
      <c r="U2557">
        <f t="shared" si="197"/>
        <v>0</v>
      </c>
      <c r="V2557">
        <f t="shared" si="198"/>
        <v>0</v>
      </c>
      <c r="W2557">
        <f t="shared" si="199"/>
        <v>0</v>
      </c>
      <c r="X2557">
        <v>1</v>
      </c>
      <c r="Y2557" s="2">
        <v>45768</v>
      </c>
      <c r="Z2557" s="3" t="s">
        <v>38</v>
      </c>
      <c r="AA2557" t="s">
        <v>39</v>
      </c>
      <c r="AB2557" t="s">
        <v>49</v>
      </c>
      <c r="AC2557" s="5" t="s">
        <v>50</v>
      </c>
      <c r="AD2557" t="s">
        <v>184</v>
      </c>
    </row>
    <row r="2558" spans="2:30">
      <c r="B2558">
        <v>0</v>
      </c>
      <c r="C2558">
        <v>1020</v>
      </c>
      <c r="D2558" t="s">
        <v>181</v>
      </c>
      <c r="E2558">
        <v>14010333</v>
      </c>
      <c r="F2558" t="s">
        <v>2645</v>
      </c>
      <c r="G2558" t="s">
        <v>52</v>
      </c>
      <c r="H2558" t="s">
        <v>32</v>
      </c>
      <c r="I2558" t="s">
        <v>183</v>
      </c>
      <c r="J2558" t="s">
        <v>45</v>
      </c>
      <c r="K2558" t="s">
        <v>35</v>
      </c>
      <c r="L2558" t="s">
        <v>36</v>
      </c>
      <c r="M2558" t="s">
        <v>88</v>
      </c>
      <c r="N2558">
        <v>2</v>
      </c>
      <c r="O2558">
        <v>2</v>
      </c>
      <c r="P2558">
        <v>1</v>
      </c>
      <c r="Q2558">
        <v>2</v>
      </c>
      <c r="R2558">
        <v>0</v>
      </c>
      <c r="S2558" t="str">
        <f t="shared" si="195"/>
        <v>PZ: Alta Crit.</v>
      </c>
      <c r="T2558">
        <f t="shared" si="196"/>
        <v>0</v>
      </c>
      <c r="U2558">
        <f t="shared" si="197"/>
        <v>0</v>
      </c>
      <c r="V2558">
        <f t="shared" si="198"/>
        <v>1</v>
      </c>
      <c r="W2558">
        <f t="shared" si="199"/>
        <v>0</v>
      </c>
      <c r="X2558">
        <v>1</v>
      </c>
      <c r="Y2558" s="2">
        <v>45768</v>
      </c>
      <c r="Z2558" s="3" t="s">
        <v>89</v>
      </c>
      <c r="AA2558" t="s">
        <v>39</v>
      </c>
      <c r="AB2558" t="s">
        <v>40</v>
      </c>
      <c r="AC2558" t="s">
        <v>40</v>
      </c>
      <c r="AD2558" t="s">
        <v>184</v>
      </c>
    </row>
    <row r="2559" spans="2:30">
      <c r="B2559">
        <v>0</v>
      </c>
      <c r="C2559">
        <v>1020</v>
      </c>
      <c r="D2559" t="s">
        <v>693</v>
      </c>
      <c r="E2559">
        <v>14011530</v>
      </c>
      <c r="F2559" t="s">
        <v>2646</v>
      </c>
      <c r="G2559" t="s">
        <v>31</v>
      </c>
      <c r="H2559" t="s">
        <v>32</v>
      </c>
      <c r="I2559" t="s">
        <v>695</v>
      </c>
      <c r="J2559" t="s">
        <v>45</v>
      </c>
      <c r="K2559" t="s">
        <v>35</v>
      </c>
      <c r="L2559" t="s">
        <v>175</v>
      </c>
      <c r="M2559" t="s">
        <v>46</v>
      </c>
      <c r="N2559">
        <v>0</v>
      </c>
      <c r="O2559">
        <v>0</v>
      </c>
      <c r="P2559">
        <v>0</v>
      </c>
      <c r="Q2559">
        <v>12</v>
      </c>
      <c r="R2559">
        <v>0</v>
      </c>
      <c r="S2559" t="str">
        <f t="shared" si="195"/>
        <v>PX: Baja Crit.</v>
      </c>
      <c r="T2559">
        <f t="shared" si="196"/>
        <v>0</v>
      </c>
      <c r="U2559">
        <f t="shared" si="197"/>
        <v>0</v>
      </c>
      <c r="V2559">
        <f t="shared" si="198"/>
        <v>0</v>
      </c>
      <c r="W2559">
        <f t="shared" si="199"/>
        <v>1</v>
      </c>
      <c r="X2559">
        <v>1</v>
      </c>
      <c r="Y2559" s="2">
        <v>45768</v>
      </c>
      <c r="Z2559" s="3" t="s">
        <v>47</v>
      </c>
      <c r="AA2559" t="s">
        <v>39</v>
      </c>
      <c r="AB2559" t="s">
        <v>40</v>
      </c>
      <c r="AC2559" t="s">
        <v>40</v>
      </c>
      <c r="AD2559" t="s">
        <v>696</v>
      </c>
    </row>
    <row r="2560" spans="2:30">
      <c r="B2560">
        <v>0</v>
      </c>
      <c r="C2560">
        <v>1020</v>
      </c>
      <c r="D2560" t="s">
        <v>172</v>
      </c>
      <c r="E2560">
        <v>14011574</v>
      </c>
      <c r="F2560" t="s">
        <v>2647</v>
      </c>
      <c r="G2560" t="s">
        <v>52</v>
      </c>
      <c r="H2560" t="s">
        <v>32</v>
      </c>
      <c r="I2560" t="s">
        <v>584</v>
      </c>
      <c r="J2560" t="s">
        <v>45</v>
      </c>
      <c r="K2560" t="s">
        <v>35</v>
      </c>
      <c r="L2560" t="s">
        <v>175</v>
      </c>
      <c r="M2560" t="s">
        <v>117</v>
      </c>
      <c r="N2560">
        <v>0</v>
      </c>
      <c r="O2560">
        <v>0</v>
      </c>
      <c r="P2560">
        <v>0</v>
      </c>
      <c r="Q2560">
        <v>0</v>
      </c>
      <c r="R2560">
        <v>0</v>
      </c>
      <c r="S2560" t="str">
        <f t="shared" si="195"/>
        <v>PZ: Alta Crit.</v>
      </c>
      <c r="T2560">
        <f t="shared" si="196"/>
        <v>1</v>
      </c>
      <c r="U2560">
        <f t="shared" si="197"/>
        <v>0</v>
      </c>
      <c r="V2560">
        <f t="shared" si="198"/>
        <v>0</v>
      </c>
      <c r="W2560">
        <f t="shared" si="199"/>
        <v>0</v>
      </c>
      <c r="X2560">
        <v>1</v>
      </c>
      <c r="Y2560" s="2">
        <v>45768</v>
      </c>
      <c r="Z2560" s="3" t="s">
        <v>118</v>
      </c>
      <c r="AA2560" t="s">
        <v>39</v>
      </c>
      <c r="AB2560" t="s">
        <v>40</v>
      </c>
      <c r="AC2560" t="s">
        <v>40</v>
      </c>
      <c r="AD2560" t="s">
        <v>585</v>
      </c>
    </row>
    <row r="2561" spans="2:30">
      <c r="B2561">
        <v>0</v>
      </c>
      <c r="C2561">
        <v>1020</v>
      </c>
      <c r="D2561" t="s">
        <v>384</v>
      </c>
      <c r="E2561">
        <v>14011980</v>
      </c>
      <c r="F2561" t="s">
        <v>2648</v>
      </c>
      <c r="G2561" t="s">
        <v>43</v>
      </c>
      <c r="H2561" t="s">
        <v>32</v>
      </c>
      <c r="I2561" t="s">
        <v>386</v>
      </c>
      <c r="J2561" t="s">
        <v>45</v>
      </c>
      <c r="K2561" t="s">
        <v>35</v>
      </c>
      <c r="L2561" t="s">
        <v>175</v>
      </c>
      <c r="M2561" t="s">
        <v>46</v>
      </c>
      <c r="N2561">
        <v>0</v>
      </c>
      <c r="O2561">
        <v>0</v>
      </c>
      <c r="P2561">
        <v>0</v>
      </c>
      <c r="Q2561">
        <v>2</v>
      </c>
      <c r="R2561">
        <v>0</v>
      </c>
      <c r="S2561" t="str">
        <f t="shared" si="195"/>
        <v>PY: Media Crit.</v>
      </c>
      <c r="T2561">
        <f t="shared" si="196"/>
        <v>0</v>
      </c>
      <c r="U2561">
        <f t="shared" si="197"/>
        <v>0</v>
      </c>
      <c r="V2561">
        <f t="shared" si="198"/>
        <v>0</v>
      </c>
      <c r="W2561">
        <f t="shared" si="199"/>
        <v>1</v>
      </c>
      <c r="X2561">
        <v>1</v>
      </c>
      <c r="Y2561" s="2">
        <v>45768</v>
      </c>
      <c r="Z2561" s="3" t="s">
        <v>47</v>
      </c>
      <c r="AA2561" t="s">
        <v>39</v>
      </c>
      <c r="AB2561" t="s">
        <v>40</v>
      </c>
      <c r="AC2561" t="s">
        <v>40</v>
      </c>
      <c r="AD2561" t="s">
        <v>387</v>
      </c>
    </row>
    <row r="2562" spans="2:30">
      <c r="B2562">
        <v>0</v>
      </c>
      <c r="C2562">
        <v>1020</v>
      </c>
      <c r="D2562" t="s">
        <v>693</v>
      </c>
      <c r="E2562">
        <v>14012147</v>
      </c>
      <c r="F2562" t="s">
        <v>2649</v>
      </c>
      <c r="G2562" t="s">
        <v>31</v>
      </c>
      <c r="H2562" t="s">
        <v>32</v>
      </c>
      <c r="I2562" t="s">
        <v>695</v>
      </c>
      <c r="J2562" t="s">
        <v>45</v>
      </c>
      <c r="K2562" t="s">
        <v>35</v>
      </c>
      <c r="L2562" t="s">
        <v>175</v>
      </c>
      <c r="M2562" t="s">
        <v>117</v>
      </c>
      <c r="N2562">
        <v>0</v>
      </c>
      <c r="O2562">
        <v>0</v>
      </c>
      <c r="P2562">
        <v>0</v>
      </c>
      <c r="Q2562">
        <v>1</v>
      </c>
      <c r="R2562">
        <v>0</v>
      </c>
      <c r="S2562" t="str">
        <f t="shared" ref="S2562:S2625" si="200">+IF(G2562="PZ", "PZ: Alta Crit.",IF(G2562="PY","PY: Media Crit.", "PX: Baja Crit."))</f>
        <v>PX: Baja Crit.</v>
      </c>
      <c r="T2562">
        <f t="shared" ref="T2562:T2625" si="201">+IF(Q2562=0,1,0)</f>
        <v>0</v>
      </c>
      <c r="U2562">
        <f t="shared" ref="U2562:U2625" si="202">+IF(AND(Q2562&lt;=P2562,Q2562&gt;0),1,0)</f>
        <v>0</v>
      </c>
      <c r="V2562">
        <f t="shared" ref="V2562:V2625" si="203">+IF(AND(Q2562&gt;P2562,Q2562&lt;=N2562),1,0)</f>
        <v>0</v>
      </c>
      <c r="W2562">
        <f t="shared" ref="W2562:W2625" si="204">+IF(Q2562&gt;N2562,1,0)</f>
        <v>1</v>
      </c>
      <c r="X2562">
        <v>1</v>
      </c>
      <c r="Y2562" s="2">
        <v>45768</v>
      </c>
      <c r="Z2562" s="3" t="s">
        <v>118</v>
      </c>
      <c r="AA2562" t="s">
        <v>39</v>
      </c>
      <c r="AB2562" t="s">
        <v>40</v>
      </c>
      <c r="AC2562" t="s">
        <v>40</v>
      </c>
      <c r="AD2562" t="s">
        <v>696</v>
      </c>
    </row>
    <row r="2563" spans="2:30">
      <c r="B2563">
        <v>0</v>
      </c>
      <c r="C2563">
        <v>1020</v>
      </c>
      <c r="D2563" t="s">
        <v>384</v>
      </c>
      <c r="E2563">
        <v>14012449</v>
      </c>
      <c r="F2563" t="s">
        <v>2650</v>
      </c>
      <c r="G2563" t="s">
        <v>43</v>
      </c>
      <c r="H2563" t="s">
        <v>32</v>
      </c>
      <c r="I2563" t="s">
        <v>386</v>
      </c>
      <c r="J2563" t="s">
        <v>45</v>
      </c>
      <c r="K2563" t="s">
        <v>35</v>
      </c>
      <c r="L2563" t="s">
        <v>175</v>
      </c>
      <c r="M2563" t="s">
        <v>117</v>
      </c>
      <c r="N2563">
        <v>0</v>
      </c>
      <c r="O2563">
        <v>0</v>
      </c>
      <c r="P2563">
        <v>0</v>
      </c>
      <c r="Q2563">
        <v>38</v>
      </c>
      <c r="R2563">
        <v>0</v>
      </c>
      <c r="S2563" t="str">
        <f t="shared" si="200"/>
        <v>PY: Media Crit.</v>
      </c>
      <c r="T2563">
        <f t="shared" si="201"/>
        <v>0</v>
      </c>
      <c r="U2563">
        <f t="shared" si="202"/>
        <v>0</v>
      </c>
      <c r="V2563">
        <f t="shared" si="203"/>
        <v>0</v>
      </c>
      <c r="W2563">
        <f t="shared" si="204"/>
        <v>1</v>
      </c>
      <c r="X2563">
        <v>1</v>
      </c>
      <c r="Y2563" s="2">
        <v>45768</v>
      </c>
      <c r="Z2563" s="3" t="s">
        <v>118</v>
      </c>
      <c r="AA2563" t="s">
        <v>39</v>
      </c>
      <c r="AB2563" t="s">
        <v>40</v>
      </c>
      <c r="AC2563" t="s">
        <v>40</v>
      </c>
      <c r="AD2563" t="s">
        <v>387</v>
      </c>
    </row>
    <row r="2564" spans="2:30">
      <c r="B2564">
        <v>0</v>
      </c>
      <c r="C2564">
        <v>1020</v>
      </c>
      <c r="D2564" t="s">
        <v>388</v>
      </c>
      <c r="E2564">
        <v>14013812</v>
      </c>
      <c r="F2564" t="s">
        <v>2651</v>
      </c>
      <c r="G2564" t="s">
        <v>31</v>
      </c>
      <c r="H2564" t="s">
        <v>60</v>
      </c>
      <c r="I2564" t="s">
        <v>390</v>
      </c>
      <c r="J2564" t="s">
        <v>45</v>
      </c>
      <c r="K2564" t="s">
        <v>2652</v>
      </c>
      <c r="L2564" t="s">
        <v>175</v>
      </c>
      <c r="M2564" t="s">
        <v>69</v>
      </c>
      <c r="N2564">
        <v>0</v>
      </c>
      <c r="O2564">
        <v>0</v>
      </c>
      <c r="P2564">
        <v>2</v>
      </c>
      <c r="Q2564">
        <v>2</v>
      </c>
      <c r="R2564">
        <v>0</v>
      </c>
      <c r="S2564" t="str">
        <f t="shared" si="200"/>
        <v>PX: Baja Crit.</v>
      </c>
      <c r="T2564">
        <f t="shared" si="201"/>
        <v>0</v>
      </c>
      <c r="U2564">
        <f t="shared" si="202"/>
        <v>1</v>
      </c>
      <c r="V2564">
        <f t="shared" si="203"/>
        <v>0</v>
      </c>
      <c r="W2564">
        <f t="shared" si="204"/>
        <v>1</v>
      </c>
      <c r="X2564">
        <v>1</v>
      </c>
      <c r="Y2564" s="2">
        <v>45768</v>
      </c>
      <c r="Z2564" s="3" t="s">
        <v>70</v>
      </c>
      <c r="AA2564" t="s">
        <v>39</v>
      </c>
      <c r="AB2564" t="s">
        <v>40</v>
      </c>
      <c r="AC2564" t="s">
        <v>40</v>
      </c>
      <c r="AD2564" t="s">
        <v>391</v>
      </c>
    </row>
    <row r="2565" spans="2:30">
      <c r="B2565">
        <v>0</v>
      </c>
      <c r="C2565">
        <v>1020</v>
      </c>
      <c r="D2565" t="s">
        <v>388</v>
      </c>
      <c r="E2565">
        <v>14013977</v>
      </c>
      <c r="F2565" t="s">
        <v>2653</v>
      </c>
      <c r="G2565" t="s">
        <v>43</v>
      </c>
      <c r="H2565" t="s">
        <v>44</v>
      </c>
      <c r="I2565" t="s">
        <v>390</v>
      </c>
      <c r="J2565" t="s">
        <v>45</v>
      </c>
      <c r="K2565" t="s">
        <v>35</v>
      </c>
      <c r="L2565" t="s">
        <v>175</v>
      </c>
      <c r="M2565" t="s">
        <v>117</v>
      </c>
      <c r="N2565">
        <v>0</v>
      </c>
      <c r="O2565">
        <v>0</v>
      </c>
      <c r="P2565">
        <v>1</v>
      </c>
      <c r="Q2565">
        <v>1</v>
      </c>
      <c r="R2565" s="4">
        <v>8043.75</v>
      </c>
      <c r="S2565" t="str">
        <f t="shared" si="200"/>
        <v>PY: Media Crit.</v>
      </c>
      <c r="T2565">
        <f t="shared" si="201"/>
        <v>0</v>
      </c>
      <c r="U2565">
        <f t="shared" si="202"/>
        <v>1</v>
      </c>
      <c r="V2565">
        <f t="shared" si="203"/>
        <v>0</v>
      </c>
      <c r="W2565">
        <f t="shared" si="204"/>
        <v>1</v>
      </c>
      <c r="X2565">
        <v>1</v>
      </c>
      <c r="Y2565" s="2">
        <v>45768</v>
      </c>
      <c r="Z2565" s="3" t="s">
        <v>118</v>
      </c>
      <c r="AA2565" t="s">
        <v>39</v>
      </c>
      <c r="AB2565" t="s">
        <v>76</v>
      </c>
      <c r="AC2565" s="5" t="s">
        <v>77</v>
      </c>
      <c r="AD2565" t="s">
        <v>391</v>
      </c>
    </row>
    <row r="2566" spans="2:30">
      <c r="B2566">
        <v>0</v>
      </c>
      <c r="C2566">
        <v>1020</v>
      </c>
      <c r="D2566" t="s">
        <v>384</v>
      </c>
      <c r="E2566">
        <v>14015171</v>
      </c>
      <c r="F2566" t="s">
        <v>2654</v>
      </c>
      <c r="G2566" t="s">
        <v>31</v>
      </c>
      <c r="H2566" t="s">
        <v>32</v>
      </c>
      <c r="I2566" t="s">
        <v>386</v>
      </c>
      <c r="J2566" t="s">
        <v>45</v>
      </c>
      <c r="K2566" t="s">
        <v>35</v>
      </c>
      <c r="L2566" t="s">
        <v>175</v>
      </c>
      <c r="M2566" t="s">
        <v>37</v>
      </c>
      <c r="N2566">
        <v>0</v>
      </c>
      <c r="O2566">
        <v>0</v>
      </c>
      <c r="P2566">
        <v>0</v>
      </c>
      <c r="Q2566">
        <v>4</v>
      </c>
      <c r="R2566">
        <v>0</v>
      </c>
      <c r="S2566" t="str">
        <f t="shared" si="200"/>
        <v>PX: Baja Crit.</v>
      </c>
      <c r="T2566">
        <f t="shared" si="201"/>
        <v>0</v>
      </c>
      <c r="U2566">
        <f t="shared" si="202"/>
        <v>0</v>
      </c>
      <c r="V2566">
        <f t="shared" si="203"/>
        <v>0</v>
      </c>
      <c r="W2566">
        <f t="shared" si="204"/>
        <v>1</v>
      </c>
      <c r="X2566">
        <v>1</v>
      </c>
      <c r="Y2566" s="2">
        <v>45768</v>
      </c>
      <c r="Z2566" s="3" t="s">
        <v>38</v>
      </c>
      <c r="AA2566" t="s">
        <v>39</v>
      </c>
      <c r="AB2566" t="s">
        <v>40</v>
      </c>
      <c r="AC2566" t="s">
        <v>40</v>
      </c>
      <c r="AD2566" t="s">
        <v>387</v>
      </c>
    </row>
    <row r="2567" spans="2:30">
      <c r="B2567">
        <v>0</v>
      </c>
      <c r="C2567">
        <v>1020</v>
      </c>
      <c r="D2567" t="s">
        <v>388</v>
      </c>
      <c r="E2567">
        <v>14016327</v>
      </c>
      <c r="F2567" t="s">
        <v>2655</v>
      </c>
      <c r="G2567" t="s">
        <v>43</v>
      </c>
      <c r="H2567" t="s">
        <v>32</v>
      </c>
      <c r="I2567" t="s">
        <v>390</v>
      </c>
      <c r="J2567" t="s">
        <v>45</v>
      </c>
      <c r="K2567" t="s">
        <v>35</v>
      </c>
      <c r="L2567" t="s">
        <v>175</v>
      </c>
      <c r="M2567" t="s">
        <v>117</v>
      </c>
      <c r="N2567">
        <v>0</v>
      </c>
      <c r="O2567">
        <v>0</v>
      </c>
      <c r="P2567">
        <v>1</v>
      </c>
      <c r="Q2567">
        <v>1</v>
      </c>
      <c r="R2567">
        <v>0</v>
      </c>
      <c r="S2567" t="str">
        <f t="shared" si="200"/>
        <v>PY: Media Crit.</v>
      </c>
      <c r="T2567">
        <f t="shared" si="201"/>
        <v>0</v>
      </c>
      <c r="U2567">
        <f t="shared" si="202"/>
        <v>1</v>
      </c>
      <c r="V2567">
        <f t="shared" si="203"/>
        <v>0</v>
      </c>
      <c r="W2567">
        <f t="shared" si="204"/>
        <v>1</v>
      </c>
      <c r="X2567">
        <v>1</v>
      </c>
      <c r="Y2567" s="2">
        <v>45768</v>
      </c>
      <c r="Z2567" s="3" t="s">
        <v>118</v>
      </c>
      <c r="AA2567" t="s">
        <v>39</v>
      </c>
      <c r="AB2567" t="s">
        <v>40</v>
      </c>
      <c r="AC2567" t="s">
        <v>40</v>
      </c>
      <c r="AD2567" t="s">
        <v>391</v>
      </c>
    </row>
    <row r="2568" spans="2:30">
      <c r="B2568">
        <v>0</v>
      </c>
      <c r="C2568">
        <v>1020</v>
      </c>
      <c r="D2568" t="s">
        <v>388</v>
      </c>
      <c r="E2568">
        <v>14016328</v>
      </c>
      <c r="F2568" t="s">
        <v>2656</v>
      </c>
      <c r="G2568" t="s">
        <v>43</v>
      </c>
      <c r="H2568" t="s">
        <v>32</v>
      </c>
      <c r="I2568" t="s">
        <v>390</v>
      </c>
      <c r="J2568" t="s">
        <v>45</v>
      </c>
      <c r="K2568" t="s">
        <v>35</v>
      </c>
      <c r="L2568" t="s">
        <v>175</v>
      </c>
      <c r="M2568" t="s">
        <v>117</v>
      </c>
      <c r="N2568">
        <v>0</v>
      </c>
      <c r="O2568">
        <v>0</v>
      </c>
      <c r="P2568">
        <v>1</v>
      </c>
      <c r="Q2568">
        <v>1</v>
      </c>
      <c r="R2568">
        <v>0</v>
      </c>
      <c r="S2568" t="str">
        <f t="shared" si="200"/>
        <v>PY: Media Crit.</v>
      </c>
      <c r="T2568">
        <f t="shared" si="201"/>
        <v>0</v>
      </c>
      <c r="U2568">
        <f t="shared" si="202"/>
        <v>1</v>
      </c>
      <c r="V2568">
        <f t="shared" si="203"/>
        <v>0</v>
      </c>
      <c r="W2568">
        <f t="shared" si="204"/>
        <v>1</v>
      </c>
      <c r="X2568">
        <v>1</v>
      </c>
      <c r="Y2568" s="2">
        <v>45768</v>
      </c>
      <c r="Z2568" s="3" t="s">
        <v>118</v>
      </c>
      <c r="AA2568" t="s">
        <v>39</v>
      </c>
      <c r="AB2568" t="s">
        <v>40</v>
      </c>
      <c r="AC2568" t="s">
        <v>40</v>
      </c>
      <c r="AD2568" t="s">
        <v>391</v>
      </c>
    </row>
    <row r="2569" spans="2:30">
      <c r="B2569">
        <v>0</v>
      </c>
      <c r="C2569">
        <v>1020</v>
      </c>
      <c r="D2569" t="s">
        <v>181</v>
      </c>
      <c r="E2569">
        <v>14028374</v>
      </c>
      <c r="F2569" t="s">
        <v>2657</v>
      </c>
      <c r="G2569" t="s">
        <v>43</v>
      </c>
      <c r="H2569" t="s">
        <v>44</v>
      </c>
      <c r="I2569" t="s">
        <v>183</v>
      </c>
      <c r="J2569" t="s">
        <v>45</v>
      </c>
      <c r="K2569" t="s">
        <v>35</v>
      </c>
      <c r="L2569" t="s">
        <v>36</v>
      </c>
      <c r="M2569" t="s">
        <v>117</v>
      </c>
      <c r="N2569">
        <v>60</v>
      </c>
      <c r="O2569">
        <v>41</v>
      </c>
      <c r="P2569">
        <v>10</v>
      </c>
      <c r="Q2569">
        <v>59</v>
      </c>
      <c r="R2569">
        <v>0</v>
      </c>
      <c r="S2569" t="str">
        <f t="shared" si="200"/>
        <v>PY: Media Crit.</v>
      </c>
      <c r="T2569">
        <f t="shared" si="201"/>
        <v>0</v>
      </c>
      <c r="U2569">
        <f t="shared" si="202"/>
        <v>0</v>
      </c>
      <c r="V2569">
        <f t="shared" si="203"/>
        <v>1</v>
      </c>
      <c r="W2569">
        <f t="shared" si="204"/>
        <v>0</v>
      </c>
      <c r="X2569">
        <v>1</v>
      </c>
      <c r="Y2569" s="2">
        <v>45768</v>
      </c>
      <c r="Z2569" s="3" t="s">
        <v>118</v>
      </c>
      <c r="AA2569" t="s">
        <v>39</v>
      </c>
      <c r="AB2569" t="s">
        <v>40</v>
      </c>
      <c r="AC2569" t="s">
        <v>40</v>
      </c>
      <c r="AD2569" t="s">
        <v>184</v>
      </c>
    </row>
    <row r="2570" spans="2:30">
      <c r="B2570">
        <v>0</v>
      </c>
      <c r="C2570">
        <v>1020</v>
      </c>
      <c r="D2570" t="s">
        <v>388</v>
      </c>
      <c r="E2570">
        <v>14031523</v>
      </c>
      <c r="F2570" t="s">
        <v>2658</v>
      </c>
      <c r="G2570" t="s">
        <v>52</v>
      </c>
      <c r="H2570" t="s">
        <v>32</v>
      </c>
      <c r="I2570" t="s">
        <v>390</v>
      </c>
      <c r="J2570" t="s">
        <v>45</v>
      </c>
      <c r="K2570" t="s">
        <v>35</v>
      </c>
      <c r="L2570" t="s">
        <v>175</v>
      </c>
      <c r="M2570" t="s">
        <v>69</v>
      </c>
      <c r="N2570">
        <v>0</v>
      </c>
      <c r="O2570">
        <v>0</v>
      </c>
      <c r="P2570">
        <v>1</v>
      </c>
      <c r="Q2570">
        <v>1</v>
      </c>
      <c r="R2570">
        <v>0</v>
      </c>
      <c r="S2570" t="str">
        <f t="shared" si="200"/>
        <v>PZ: Alta Crit.</v>
      </c>
      <c r="T2570">
        <f t="shared" si="201"/>
        <v>0</v>
      </c>
      <c r="U2570">
        <f t="shared" si="202"/>
        <v>1</v>
      </c>
      <c r="V2570">
        <f t="shared" si="203"/>
        <v>0</v>
      </c>
      <c r="W2570">
        <f t="shared" si="204"/>
        <v>1</v>
      </c>
      <c r="X2570">
        <v>1</v>
      </c>
      <c r="Y2570" s="2">
        <v>45768</v>
      </c>
      <c r="Z2570" s="3" t="s">
        <v>70</v>
      </c>
      <c r="AA2570" t="s">
        <v>39</v>
      </c>
      <c r="AB2570" t="s">
        <v>40</v>
      </c>
      <c r="AC2570" t="s">
        <v>40</v>
      </c>
      <c r="AD2570" t="s">
        <v>391</v>
      </c>
    </row>
    <row r="2571" spans="2:30">
      <c r="B2571">
        <v>0</v>
      </c>
      <c r="C2571">
        <v>1020</v>
      </c>
      <c r="D2571" t="s">
        <v>388</v>
      </c>
      <c r="E2571">
        <v>14031592</v>
      </c>
      <c r="F2571" t="s">
        <v>2659</v>
      </c>
      <c r="G2571" t="s">
        <v>52</v>
      </c>
      <c r="H2571" t="s">
        <v>60</v>
      </c>
      <c r="I2571" t="s">
        <v>390</v>
      </c>
      <c r="J2571" t="s">
        <v>45</v>
      </c>
      <c r="K2571" t="s">
        <v>35</v>
      </c>
      <c r="L2571" t="s">
        <v>175</v>
      </c>
      <c r="M2571" t="s">
        <v>69</v>
      </c>
      <c r="N2571">
        <v>0</v>
      </c>
      <c r="O2571">
        <v>0</v>
      </c>
      <c r="P2571">
        <v>1</v>
      </c>
      <c r="Q2571">
        <v>1</v>
      </c>
      <c r="R2571">
        <v>0</v>
      </c>
      <c r="S2571" t="str">
        <f t="shared" si="200"/>
        <v>PZ: Alta Crit.</v>
      </c>
      <c r="T2571">
        <f t="shared" si="201"/>
        <v>0</v>
      </c>
      <c r="U2571">
        <f t="shared" si="202"/>
        <v>1</v>
      </c>
      <c r="V2571">
        <f t="shared" si="203"/>
        <v>0</v>
      </c>
      <c r="W2571">
        <f t="shared" si="204"/>
        <v>1</v>
      </c>
      <c r="X2571">
        <v>1</v>
      </c>
      <c r="Y2571" s="2">
        <v>45768</v>
      </c>
      <c r="Z2571" s="3" t="s">
        <v>70</v>
      </c>
      <c r="AA2571" t="s">
        <v>39</v>
      </c>
      <c r="AB2571" t="s">
        <v>40</v>
      </c>
      <c r="AC2571" t="s">
        <v>40</v>
      </c>
      <c r="AD2571" t="s">
        <v>391</v>
      </c>
    </row>
    <row r="2572" spans="2:30">
      <c r="B2572">
        <v>0</v>
      </c>
      <c r="C2572">
        <v>1020</v>
      </c>
      <c r="D2572" t="s">
        <v>181</v>
      </c>
      <c r="E2572">
        <v>14037289</v>
      </c>
      <c r="F2572" t="s">
        <v>2660</v>
      </c>
      <c r="G2572" t="s">
        <v>52</v>
      </c>
      <c r="H2572" t="s">
        <v>32</v>
      </c>
      <c r="I2572" t="s">
        <v>183</v>
      </c>
      <c r="J2572" t="s">
        <v>45</v>
      </c>
      <c r="K2572" t="s">
        <v>35</v>
      </c>
      <c r="L2572" t="s">
        <v>36</v>
      </c>
      <c r="M2572" t="s">
        <v>46</v>
      </c>
      <c r="N2572">
        <v>2</v>
      </c>
      <c r="O2572">
        <v>2</v>
      </c>
      <c r="P2572">
        <v>1</v>
      </c>
      <c r="Q2572">
        <v>2</v>
      </c>
      <c r="R2572">
        <v>626.52</v>
      </c>
      <c r="S2572" t="str">
        <f t="shared" si="200"/>
        <v>PZ: Alta Crit.</v>
      </c>
      <c r="T2572">
        <f t="shared" si="201"/>
        <v>0</v>
      </c>
      <c r="U2572">
        <f t="shared" si="202"/>
        <v>0</v>
      </c>
      <c r="V2572">
        <f t="shared" si="203"/>
        <v>1</v>
      </c>
      <c r="W2572">
        <f t="shared" si="204"/>
        <v>0</v>
      </c>
      <c r="X2572">
        <v>1</v>
      </c>
      <c r="Y2572" s="2">
        <v>45768</v>
      </c>
      <c r="Z2572" s="3" t="s">
        <v>47</v>
      </c>
      <c r="AA2572" t="s">
        <v>39</v>
      </c>
      <c r="AB2572" t="s">
        <v>40</v>
      </c>
      <c r="AC2572" t="s">
        <v>40</v>
      </c>
      <c r="AD2572" t="s">
        <v>184</v>
      </c>
    </row>
    <row r="2573" spans="2:30">
      <c r="B2573">
        <v>0</v>
      </c>
      <c r="C2573">
        <v>1020</v>
      </c>
      <c r="D2573" t="s">
        <v>181</v>
      </c>
      <c r="E2573">
        <v>14037296</v>
      </c>
      <c r="F2573" t="s">
        <v>2661</v>
      </c>
      <c r="G2573" t="s">
        <v>52</v>
      </c>
      <c r="H2573" t="s">
        <v>32</v>
      </c>
      <c r="I2573" t="s">
        <v>183</v>
      </c>
      <c r="J2573" t="s">
        <v>45</v>
      </c>
      <c r="K2573" t="s">
        <v>35</v>
      </c>
      <c r="L2573" t="s">
        <v>36</v>
      </c>
      <c r="M2573" t="s">
        <v>46</v>
      </c>
      <c r="N2573">
        <v>2</v>
      </c>
      <c r="O2573">
        <v>2</v>
      </c>
      <c r="P2573">
        <v>1</v>
      </c>
      <c r="Q2573">
        <v>4</v>
      </c>
      <c r="R2573">
        <v>791</v>
      </c>
      <c r="S2573" t="str">
        <f t="shared" si="200"/>
        <v>PZ: Alta Crit.</v>
      </c>
      <c r="T2573">
        <f t="shared" si="201"/>
        <v>0</v>
      </c>
      <c r="U2573">
        <f t="shared" si="202"/>
        <v>0</v>
      </c>
      <c r="V2573">
        <f t="shared" si="203"/>
        <v>0</v>
      </c>
      <c r="W2573">
        <f t="shared" si="204"/>
        <v>1</v>
      </c>
      <c r="X2573">
        <v>1</v>
      </c>
      <c r="Y2573" s="2">
        <v>45768</v>
      </c>
      <c r="Z2573" s="3" t="s">
        <v>47</v>
      </c>
      <c r="AA2573" t="s">
        <v>39</v>
      </c>
      <c r="AB2573" t="s">
        <v>40</v>
      </c>
      <c r="AC2573" t="s">
        <v>40</v>
      </c>
      <c r="AD2573" t="s">
        <v>184</v>
      </c>
    </row>
    <row r="2574" spans="2:30">
      <c r="B2574">
        <v>0</v>
      </c>
      <c r="C2574">
        <v>1020</v>
      </c>
      <c r="D2574" t="s">
        <v>181</v>
      </c>
      <c r="E2574">
        <v>14043767</v>
      </c>
      <c r="F2574" t="s">
        <v>2662</v>
      </c>
      <c r="G2574" t="s">
        <v>43</v>
      </c>
      <c r="H2574" t="s">
        <v>44</v>
      </c>
      <c r="I2574" t="s">
        <v>183</v>
      </c>
      <c r="J2574" t="s">
        <v>45</v>
      </c>
      <c r="K2574" t="s">
        <v>35</v>
      </c>
      <c r="L2574" t="s">
        <v>36</v>
      </c>
      <c r="M2574" t="s">
        <v>117</v>
      </c>
      <c r="N2574">
        <v>2</v>
      </c>
      <c r="O2574">
        <v>2</v>
      </c>
      <c r="P2574">
        <v>1</v>
      </c>
      <c r="Q2574">
        <v>2</v>
      </c>
      <c r="R2574">
        <v>0</v>
      </c>
      <c r="S2574" t="str">
        <f t="shared" si="200"/>
        <v>PY: Media Crit.</v>
      </c>
      <c r="T2574">
        <f t="shared" si="201"/>
        <v>0</v>
      </c>
      <c r="U2574">
        <f t="shared" si="202"/>
        <v>0</v>
      </c>
      <c r="V2574">
        <f t="shared" si="203"/>
        <v>1</v>
      </c>
      <c r="W2574">
        <f t="shared" si="204"/>
        <v>0</v>
      </c>
      <c r="X2574">
        <v>1</v>
      </c>
      <c r="Y2574" s="2">
        <v>45768</v>
      </c>
      <c r="Z2574" s="3" t="s">
        <v>118</v>
      </c>
      <c r="AA2574" t="s">
        <v>39</v>
      </c>
      <c r="AB2574" t="s">
        <v>40</v>
      </c>
      <c r="AC2574" t="s">
        <v>40</v>
      </c>
      <c r="AD2574" t="s">
        <v>184</v>
      </c>
    </row>
    <row r="2575" spans="2:30">
      <c r="B2575">
        <v>0</v>
      </c>
      <c r="C2575">
        <v>1020</v>
      </c>
      <c r="D2575" t="s">
        <v>181</v>
      </c>
      <c r="E2575">
        <v>14047981</v>
      </c>
      <c r="F2575" t="s">
        <v>2663</v>
      </c>
      <c r="G2575" t="s">
        <v>52</v>
      </c>
      <c r="H2575" t="s">
        <v>32</v>
      </c>
      <c r="I2575" t="s">
        <v>183</v>
      </c>
      <c r="J2575" t="s">
        <v>45</v>
      </c>
      <c r="K2575" t="s">
        <v>35</v>
      </c>
      <c r="L2575" t="s">
        <v>36</v>
      </c>
      <c r="M2575" t="s">
        <v>117</v>
      </c>
      <c r="N2575">
        <v>2</v>
      </c>
      <c r="O2575">
        <v>1</v>
      </c>
      <c r="P2575">
        <v>1</v>
      </c>
      <c r="Q2575">
        <v>0</v>
      </c>
      <c r="R2575">
        <v>0</v>
      </c>
      <c r="S2575" t="str">
        <f t="shared" si="200"/>
        <v>PZ: Alta Crit.</v>
      </c>
      <c r="T2575">
        <f t="shared" si="201"/>
        <v>1</v>
      </c>
      <c r="U2575">
        <f t="shared" si="202"/>
        <v>0</v>
      </c>
      <c r="V2575">
        <f t="shared" si="203"/>
        <v>0</v>
      </c>
      <c r="W2575">
        <f t="shared" si="204"/>
        <v>0</v>
      </c>
      <c r="X2575">
        <v>1</v>
      </c>
      <c r="Y2575" s="2">
        <v>45768</v>
      </c>
      <c r="Z2575" s="3" t="s">
        <v>118</v>
      </c>
      <c r="AA2575" t="s">
        <v>39</v>
      </c>
      <c r="AB2575" t="s">
        <v>49</v>
      </c>
      <c r="AC2575" s="5" t="s">
        <v>50</v>
      </c>
      <c r="AD2575" t="s">
        <v>184</v>
      </c>
    </row>
    <row r="2576" spans="2:30">
      <c r="B2576">
        <v>0</v>
      </c>
      <c r="C2576">
        <v>1020</v>
      </c>
      <c r="D2576" t="s">
        <v>693</v>
      </c>
      <c r="E2576">
        <v>14056536</v>
      </c>
      <c r="F2576" t="s">
        <v>2664</v>
      </c>
      <c r="G2576" t="s">
        <v>43</v>
      </c>
      <c r="H2576" t="s">
        <v>32</v>
      </c>
      <c r="I2576" t="s">
        <v>695</v>
      </c>
      <c r="J2576" t="s">
        <v>45</v>
      </c>
      <c r="K2576" t="s">
        <v>35</v>
      </c>
      <c r="L2576" t="s">
        <v>175</v>
      </c>
      <c r="M2576" t="s">
        <v>117</v>
      </c>
      <c r="N2576">
        <v>0</v>
      </c>
      <c r="O2576">
        <v>0</v>
      </c>
      <c r="P2576">
        <v>0</v>
      </c>
      <c r="Q2576">
        <v>1</v>
      </c>
      <c r="R2576">
        <v>0</v>
      </c>
      <c r="S2576" t="str">
        <f t="shared" si="200"/>
        <v>PY: Media Crit.</v>
      </c>
      <c r="T2576">
        <f t="shared" si="201"/>
        <v>0</v>
      </c>
      <c r="U2576">
        <f t="shared" si="202"/>
        <v>0</v>
      </c>
      <c r="V2576">
        <f t="shared" si="203"/>
        <v>0</v>
      </c>
      <c r="W2576">
        <f t="shared" si="204"/>
        <v>1</v>
      </c>
      <c r="X2576">
        <v>1</v>
      </c>
      <c r="Y2576" s="2">
        <v>45768</v>
      </c>
      <c r="Z2576" s="3" t="s">
        <v>118</v>
      </c>
      <c r="AA2576" t="s">
        <v>39</v>
      </c>
      <c r="AB2576" t="s">
        <v>40</v>
      </c>
      <c r="AC2576" t="s">
        <v>40</v>
      </c>
      <c r="AD2576" t="s">
        <v>696</v>
      </c>
    </row>
    <row r="2577" spans="2:30">
      <c r="B2577">
        <v>0</v>
      </c>
      <c r="C2577">
        <v>1020</v>
      </c>
      <c r="D2577" t="s">
        <v>693</v>
      </c>
      <c r="E2577">
        <v>14056538</v>
      </c>
      <c r="F2577" t="s">
        <v>2665</v>
      </c>
      <c r="G2577" t="s">
        <v>43</v>
      </c>
      <c r="H2577" t="s">
        <v>32</v>
      </c>
      <c r="I2577" t="s">
        <v>695</v>
      </c>
      <c r="J2577" t="s">
        <v>45</v>
      </c>
      <c r="K2577" t="s">
        <v>35</v>
      </c>
      <c r="L2577" t="s">
        <v>175</v>
      </c>
      <c r="M2577" t="s">
        <v>117</v>
      </c>
      <c r="N2577">
        <v>0</v>
      </c>
      <c r="O2577">
        <v>0</v>
      </c>
      <c r="P2577">
        <v>0</v>
      </c>
      <c r="Q2577">
        <v>1</v>
      </c>
      <c r="R2577">
        <v>0</v>
      </c>
      <c r="S2577" t="str">
        <f t="shared" si="200"/>
        <v>PY: Media Crit.</v>
      </c>
      <c r="T2577">
        <f t="shared" si="201"/>
        <v>0</v>
      </c>
      <c r="U2577">
        <f t="shared" si="202"/>
        <v>0</v>
      </c>
      <c r="V2577">
        <f t="shared" si="203"/>
        <v>0</v>
      </c>
      <c r="W2577">
        <f t="shared" si="204"/>
        <v>1</v>
      </c>
      <c r="X2577">
        <v>1</v>
      </c>
      <c r="Y2577" s="2">
        <v>45768</v>
      </c>
      <c r="Z2577" s="3" t="s">
        <v>118</v>
      </c>
      <c r="AA2577" t="s">
        <v>39</v>
      </c>
      <c r="AB2577" t="s">
        <v>40</v>
      </c>
      <c r="AC2577" t="s">
        <v>40</v>
      </c>
      <c r="AD2577" t="s">
        <v>696</v>
      </c>
    </row>
    <row r="2578" spans="2:30">
      <c r="B2578">
        <v>0</v>
      </c>
      <c r="C2578">
        <v>1020</v>
      </c>
      <c r="D2578" t="s">
        <v>693</v>
      </c>
      <c r="E2578">
        <v>14056539</v>
      </c>
      <c r="F2578" t="s">
        <v>2666</v>
      </c>
      <c r="G2578" t="s">
        <v>43</v>
      </c>
      <c r="H2578" t="s">
        <v>32</v>
      </c>
      <c r="I2578" t="s">
        <v>695</v>
      </c>
      <c r="J2578" t="s">
        <v>45</v>
      </c>
      <c r="K2578" t="s">
        <v>35</v>
      </c>
      <c r="L2578" t="s">
        <v>175</v>
      </c>
      <c r="M2578" t="s">
        <v>117</v>
      </c>
      <c r="N2578">
        <v>0</v>
      </c>
      <c r="O2578">
        <v>0</v>
      </c>
      <c r="P2578">
        <v>0</v>
      </c>
      <c r="Q2578">
        <v>1</v>
      </c>
      <c r="R2578">
        <v>0</v>
      </c>
      <c r="S2578" t="str">
        <f t="shared" si="200"/>
        <v>PY: Media Crit.</v>
      </c>
      <c r="T2578">
        <f t="shared" si="201"/>
        <v>0</v>
      </c>
      <c r="U2578">
        <f t="shared" si="202"/>
        <v>0</v>
      </c>
      <c r="V2578">
        <f t="shared" si="203"/>
        <v>0</v>
      </c>
      <c r="W2578">
        <f t="shared" si="204"/>
        <v>1</v>
      </c>
      <c r="X2578">
        <v>1</v>
      </c>
      <c r="Y2578" s="2">
        <v>45768</v>
      </c>
      <c r="Z2578" s="3" t="s">
        <v>118</v>
      </c>
      <c r="AA2578" t="s">
        <v>39</v>
      </c>
      <c r="AB2578" t="s">
        <v>40</v>
      </c>
      <c r="AC2578" t="s">
        <v>40</v>
      </c>
      <c r="AD2578" t="s">
        <v>696</v>
      </c>
    </row>
    <row r="2579" spans="2:30">
      <c r="B2579">
        <v>0</v>
      </c>
      <c r="C2579">
        <v>1020</v>
      </c>
      <c r="D2579" t="s">
        <v>181</v>
      </c>
      <c r="E2579">
        <v>14056664</v>
      </c>
      <c r="F2579" t="s">
        <v>2667</v>
      </c>
      <c r="G2579" t="s">
        <v>43</v>
      </c>
      <c r="H2579" t="s">
        <v>32</v>
      </c>
      <c r="I2579" t="s">
        <v>183</v>
      </c>
      <c r="J2579" t="s">
        <v>45</v>
      </c>
      <c r="K2579" t="s">
        <v>252</v>
      </c>
      <c r="L2579" t="s">
        <v>36</v>
      </c>
      <c r="M2579" t="s">
        <v>69</v>
      </c>
      <c r="N2579">
        <v>20</v>
      </c>
      <c r="O2579">
        <v>20</v>
      </c>
      <c r="P2579">
        <v>20</v>
      </c>
      <c r="Q2579">
        <v>20</v>
      </c>
      <c r="R2579">
        <v>0</v>
      </c>
      <c r="S2579" t="str">
        <f t="shared" si="200"/>
        <v>PY: Media Crit.</v>
      </c>
      <c r="T2579">
        <f t="shared" si="201"/>
        <v>0</v>
      </c>
      <c r="U2579">
        <f t="shared" si="202"/>
        <v>1</v>
      </c>
      <c r="V2579">
        <f t="shared" si="203"/>
        <v>0</v>
      </c>
      <c r="W2579">
        <f t="shared" si="204"/>
        <v>0</v>
      </c>
      <c r="X2579">
        <v>1</v>
      </c>
      <c r="Y2579" s="2">
        <v>45768</v>
      </c>
      <c r="Z2579" s="3" t="s">
        <v>70</v>
      </c>
      <c r="AA2579" t="s">
        <v>39</v>
      </c>
      <c r="AB2579" t="s">
        <v>40</v>
      </c>
      <c r="AC2579" t="s">
        <v>40</v>
      </c>
      <c r="AD2579" t="s">
        <v>184</v>
      </c>
    </row>
    <row r="2580" spans="2:30">
      <c r="B2580">
        <v>0</v>
      </c>
      <c r="C2580">
        <v>1020</v>
      </c>
      <c r="D2580" t="s">
        <v>388</v>
      </c>
      <c r="E2580">
        <v>14059901</v>
      </c>
      <c r="F2580" t="s">
        <v>2668</v>
      </c>
      <c r="G2580" t="s">
        <v>43</v>
      </c>
      <c r="H2580" t="s">
        <v>60</v>
      </c>
      <c r="I2580" t="s">
        <v>390</v>
      </c>
      <c r="J2580" t="s">
        <v>45</v>
      </c>
      <c r="K2580" t="s">
        <v>35</v>
      </c>
      <c r="L2580" t="s">
        <v>175</v>
      </c>
      <c r="M2580" t="s">
        <v>88</v>
      </c>
      <c r="N2580">
        <v>0</v>
      </c>
      <c r="O2580">
        <v>0</v>
      </c>
      <c r="P2580">
        <v>1</v>
      </c>
      <c r="Q2580">
        <v>0</v>
      </c>
      <c r="R2580">
        <v>0</v>
      </c>
      <c r="S2580" t="str">
        <f t="shared" si="200"/>
        <v>PY: Media Crit.</v>
      </c>
      <c r="T2580">
        <f t="shared" si="201"/>
        <v>1</v>
      </c>
      <c r="U2580">
        <f t="shared" si="202"/>
        <v>0</v>
      </c>
      <c r="V2580">
        <f t="shared" si="203"/>
        <v>0</v>
      </c>
      <c r="W2580">
        <f t="shared" si="204"/>
        <v>0</v>
      </c>
      <c r="X2580">
        <v>1</v>
      </c>
      <c r="Y2580" s="2">
        <v>45768</v>
      </c>
      <c r="Z2580" s="3" t="s">
        <v>89</v>
      </c>
      <c r="AA2580" t="s">
        <v>39</v>
      </c>
      <c r="AB2580" t="s">
        <v>76</v>
      </c>
      <c r="AC2580" s="5" t="s">
        <v>77</v>
      </c>
      <c r="AD2580" t="s">
        <v>391</v>
      </c>
    </row>
    <row r="2581" spans="2:30">
      <c r="B2581">
        <v>0</v>
      </c>
      <c r="C2581">
        <v>1020</v>
      </c>
      <c r="D2581" t="s">
        <v>181</v>
      </c>
      <c r="E2581">
        <v>14060099</v>
      </c>
      <c r="F2581" t="s">
        <v>2669</v>
      </c>
      <c r="G2581" t="s">
        <v>43</v>
      </c>
      <c r="H2581" t="s">
        <v>60</v>
      </c>
      <c r="I2581" t="s">
        <v>183</v>
      </c>
      <c r="J2581" t="s">
        <v>45</v>
      </c>
      <c r="K2581" t="s">
        <v>252</v>
      </c>
      <c r="L2581" t="s">
        <v>36</v>
      </c>
      <c r="M2581" t="s">
        <v>46</v>
      </c>
      <c r="N2581">
        <v>2</v>
      </c>
      <c r="O2581">
        <v>2</v>
      </c>
      <c r="P2581">
        <v>1</v>
      </c>
      <c r="Q2581">
        <v>2</v>
      </c>
      <c r="R2581">
        <v>0</v>
      </c>
      <c r="S2581" t="str">
        <f t="shared" si="200"/>
        <v>PY: Media Crit.</v>
      </c>
      <c r="T2581">
        <f t="shared" si="201"/>
        <v>0</v>
      </c>
      <c r="U2581">
        <f t="shared" si="202"/>
        <v>0</v>
      </c>
      <c r="V2581">
        <f t="shared" si="203"/>
        <v>1</v>
      </c>
      <c r="W2581">
        <f t="shared" si="204"/>
        <v>0</v>
      </c>
      <c r="X2581">
        <v>1</v>
      </c>
      <c r="Y2581" s="2">
        <v>45768</v>
      </c>
      <c r="Z2581" s="3" t="s">
        <v>47</v>
      </c>
      <c r="AA2581" t="s">
        <v>39</v>
      </c>
      <c r="AB2581" t="s">
        <v>40</v>
      </c>
      <c r="AC2581" t="s">
        <v>40</v>
      </c>
      <c r="AD2581" t="s">
        <v>184</v>
      </c>
    </row>
    <row r="2582" spans="2:30">
      <c r="B2582">
        <v>0</v>
      </c>
      <c r="C2582">
        <v>1020</v>
      </c>
      <c r="D2582" t="s">
        <v>181</v>
      </c>
      <c r="E2582">
        <v>14062074</v>
      </c>
      <c r="F2582" t="s">
        <v>2670</v>
      </c>
      <c r="G2582" t="s">
        <v>43</v>
      </c>
      <c r="H2582" t="s">
        <v>60</v>
      </c>
      <c r="I2582" t="s">
        <v>183</v>
      </c>
      <c r="J2582" t="s">
        <v>45</v>
      </c>
      <c r="K2582" t="s">
        <v>35</v>
      </c>
      <c r="L2582" t="s">
        <v>36</v>
      </c>
      <c r="M2582" t="s">
        <v>69</v>
      </c>
      <c r="N2582">
        <v>2</v>
      </c>
      <c r="O2582">
        <v>2</v>
      </c>
      <c r="P2582">
        <v>0</v>
      </c>
      <c r="Q2582">
        <v>2</v>
      </c>
      <c r="R2582" s="4">
        <v>1324.65</v>
      </c>
      <c r="S2582" t="str">
        <f t="shared" si="200"/>
        <v>PY: Media Crit.</v>
      </c>
      <c r="T2582">
        <f t="shared" si="201"/>
        <v>0</v>
      </c>
      <c r="U2582">
        <f t="shared" si="202"/>
        <v>0</v>
      </c>
      <c r="V2582">
        <f t="shared" si="203"/>
        <v>1</v>
      </c>
      <c r="W2582">
        <f t="shared" si="204"/>
        <v>0</v>
      </c>
      <c r="X2582">
        <v>1</v>
      </c>
      <c r="Y2582" s="2">
        <v>45768</v>
      </c>
      <c r="Z2582" s="3" t="s">
        <v>70</v>
      </c>
      <c r="AA2582" t="s">
        <v>39</v>
      </c>
      <c r="AB2582" t="s">
        <v>40</v>
      </c>
      <c r="AC2582" t="s">
        <v>40</v>
      </c>
      <c r="AD2582" t="s">
        <v>184</v>
      </c>
    </row>
    <row r="2583" spans="2:30">
      <c r="B2583">
        <v>0</v>
      </c>
      <c r="C2583">
        <v>1020</v>
      </c>
      <c r="D2583" t="s">
        <v>693</v>
      </c>
      <c r="E2583">
        <v>14062850</v>
      </c>
      <c r="F2583" t="s">
        <v>2671</v>
      </c>
      <c r="G2583" t="s">
        <v>43</v>
      </c>
      <c r="H2583" t="s">
        <v>32</v>
      </c>
      <c r="I2583" t="s">
        <v>695</v>
      </c>
      <c r="J2583" t="s">
        <v>45</v>
      </c>
      <c r="K2583" t="s">
        <v>35</v>
      </c>
      <c r="L2583" t="s">
        <v>175</v>
      </c>
      <c r="M2583" t="s">
        <v>46</v>
      </c>
      <c r="N2583">
        <v>0</v>
      </c>
      <c r="O2583">
        <v>0</v>
      </c>
      <c r="P2583">
        <v>0</v>
      </c>
      <c r="Q2583">
        <v>2</v>
      </c>
      <c r="R2583">
        <v>0</v>
      </c>
      <c r="S2583" t="str">
        <f t="shared" si="200"/>
        <v>PY: Media Crit.</v>
      </c>
      <c r="T2583">
        <f t="shared" si="201"/>
        <v>0</v>
      </c>
      <c r="U2583">
        <f t="shared" si="202"/>
        <v>0</v>
      </c>
      <c r="V2583">
        <f t="shared" si="203"/>
        <v>0</v>
      </c>
      <c r="W2583">
        <f t="shared" si="204"/>
        <v>1</v>
      </c>
      <c r="X2583">
        <v>1</v>
      </c>
      <c r="Y2583" s="2">
        <v>45768</v>
      </c>
      <c r="Z2583" s="3" t="s">
        <v>47</v>
      </c>
      <c r="AA2583" t="s">
        <v>39</v>
      </c>
      <c r="AB2583" t="s">
        <v>40</v>
      </c>
      <c r="AC2583" t="s">
        <v>40</v>
      </c>
      <c r="AD2583" t="s">
        <v>696</v>
      </c>
    </row>
    <row r="2584" spans="2:30">
      <c r="B2584">
        <v>0</v>
      </c>
      <c r="C2584">
        <v>1020</v>
      </c>
      <c r="D2584" t="s">
        <v>693</v>
      </c>
      <c r="E2584">
        <v>14064463</v>
      </c>
      <c r="F2584" t="s">
        <v>2672</v>
      </c>
      <c r="G2584" t="s">
        <v>43</v>
      </c>
      <c r="H2584" t="s">
        <v>60</v>
      </c>
      <c r="I2584" t="s">
        <v>695</v>
      </c>
      <c r="J2584" t="s">
        <v>45</v>
      </c>
      <c r="K2584" t="s">
        <v>35</v>
      </c>
      <c r="L2584" t="s">
        <v>175</v>
      </c>
      <c r="M2584" t="s">
        <v>46</v>
      </c>
      <c r="N2584">
        <v>0</v>
      </c>
      <c r="O2584">
        <v>0</v>
      </c>
      <c r="P2584">
        <v>0</v>
      </c>
      <c r="Q2584">
        <v>1</v>
      </c>
      <c r="R2584">
        <v>0</v>
      </c>
      <c r="S2584" t="str">
        <f t="shared" si="200"/>
        <v>PY: Media Crit.</v>
      </c>
      <c r="T2584">
        <f t="shared" si="201"/>
        <v>0</v>
      </c>
      <c r="U2584">
        <f t="shared" si="202"/>
        <v>0</v>
      </c>
      <c r="V2584">
        <f t="shared" si="203"/>
        <v>0</v>
      </c>
      <c r="W2584">
        <f t="shared" si="204"/>
        <v>1</v>
      </c>
      <c r="X2584">
        <v>1</v>
      </c>
      <c r="Y2584" s="2">
        <v>45768</v>
      </c>
      <c r="Z2584" s="3" t="s">
        <v>47</v>
      </c>
      <c r="AA2584" t="s">
        <v>39</v>
      </c>
      <c r="AB2584" t="s">
        <v>40</v>
      </c>
      <c r="AC2584" t="s">
        <v>40</v>
      </c>
      <c r="AD2584" t="s">
        <v>696</v>
      </c>
    </row>
    <row r="2585" spans="2:30">
      <c r="B2585">
        <v>0</v>
      </c>
      <c r="C2585">
        <v>1020</v>
      </c>
      <c r="D2585" t="s">
        <v>388</v>
      </c>
      <c r="E2585">
        <v>14064488</v>
      </c>
      <c r="F2585" t="s">
        <v>2673</v>
      </c>
      <c r="G2585" t="s">
        <v>43</v>
      </c>
      <c r="H2585" t="s">
        <v>60</v>
      </c>
      <c r="I2585" t="s">
        <v>390</v>
      </c>
      <c r="J2585" t="s">
        <v>45</v>
      </c>
      <c r="K2585" t="s">
        <v>35</v>
      </c>
      <c r="L2585" t="s">
        <v>175</v>
      </c>
      <c r="M2585" t="s">
        <v>46</v>
      </c>
      <c r="N2585">
        <v>0</v>
      </c>
      <c r="O2585">
        <v>0</v>
      </c>
      <c r="P2585">
        <v>1</v>
      </c>
      <c r="Q2585">
        <v>1</v>
      </c>
      <c r="R2585" s="4">
        <v>19883.39</v>
      </c>
      <c r="S2585" t="str">
        <f t="shared" si="200"/>
        <v>PY: Media Crit.</v>
      </c>
      <c r="T2585">
        <f t="shared" si="201"/>
        <v>0</v>
      </c>
      <c r="U2585">
        <f t="shared" si="202"/>
        <v>1</v>
      </c>
      <c r="V2585">
        <f t="shared" si="203"/>
        <v>0</v>
      </c>
      <c r="W2585">
        <f t="shared" si="204"/>
        <v>1</v>
      </c>
      <c r="X2585">
        <v>1</v>
      </c>
      <c r="Y2585" s="2">
        <v>45768</v>
      </c>
      <c r="Z2585" s="3" t="s">
        <v>47</v>
      </c>
      <c r="AA2585" t="s">
        <v>39</v>
      </c>
      <c r="AB2585" t="s">
        <v>40</v>
      </c>
      <c r="AC2585" t="s">
        <v>40</v>
      </c>
      <c r="AD2585" t="s">
        <v>391</v>
      </c>
    </row>
    <row r="2586" spans="2:30">
      <c r="B2586">
        <v>0</v>
      </c>
      <c r="C2586">
        <v>1020</v>
      </c>
      <c r="D2586" t="s">
        <v>388</v>
      </c>
      <c r="E2586">
        <v>14064763</v>
      </c>
      <c r="F2586" t="s">
        <v>2674</v>
      </c>
      <c r="G2586" t="s">
        <v>43</v>
      </c>
      <c r="H2586" t="s">
        <v>32</v>
      </c>
      <c r="I2586" t="s">
        <v>390</v>
      </c>
      <c r="J2586" t="s">
        <v>45</v>
      </c>
      <c r="K2586" t="s">
        <v>35</v>
      </c>
      <c r="L2586" t="s">
        <v>175</v>
      </c>
      <c r="M2586" t="s">
        <v>69</v>
      </c>
      <c r="N2586">
        <v>0</v>
      </c>
      <c r="O2586">
        <v>0</v>
      </c>
      <c r="P2586">
        <v>2</v>
      </c>
      <c r="Q2586">
        <v>2</v>
      </c>
      <c r="R2586" s="4">
        <v>10049.969999999999</v>
      </c>
      <c r="S2586" t="str">
        <f t="shared" si="200"/>
        <v>PY: Media Crit.</v>
      </c>
      <c r="T2586">
        <f t="shared" si="201"/>
        <v>0</v>
      </c>
      <c r="U2586">
        <f t="shared" si="202"/>
        <v>1</v>
      </c>
      <c r="V2586">
        <f t="shared" si="203"/>
        <v>0</v>
      </c>
      <c r="W2586">
        <f t="shared" si="204"/>
        <v>1</v>
      </c>
      <c r="X2586">
        <v>1</v>
      </c>
      <c r="Y2586" s="2">
        <v>45768</v>
      </c>
      <c r="Z2586" s="3" t="s">
        <v>70</v>
      </c>
      <c r="AA2586" t="s">
        <v>39</v>
      </c>
      <c r="AB2586" t="s">
        <v>40</v>
      </c>
      <c r="AC2586" t="s">
        <v>40</v>
      </c>
      <c r="AD2586" t="s">
        <v>391</v>
      </c>
    </row>
    <row r="2587" spans="2:30">
      <c r="B2587">
        <v>0</v>
      </c>
      <c r="C2587">
        <v>1020</v>
      </c>
      <c r="D2587" t="s">
        <v>388</v>
      </c>
      <c r="E2587">
        <v>14064765</v>
      </c>
      <c r="F2587" t="s">
        <v>2675</v>
      </c>
      <c r="G2587" t="s">
        <v>43</v>
      </c>
      <c r="H2587" t="s">
        <v>32</v>
      </c>
      <c r="I2587" t="s">
        <v>390</v>
      </c>
      <c r="J2587" t="s">
        <v>45</v>
      </c>
      <c r="K2587" t="s">
        <v>35</v>
      </c>
      <c r="L2587" t="s">
        <v>175</v>
      </c>
      <c r="M2587" t="s">
        <v>69</v>
      </c>
      <c r="N2587">
        <v>0</v>
      </c>
      <c r="O2587">
        <v>0</v>
      </c>
      <c r="P2587">
        <v>12</v>
      </c>
      <c r="Q2587">
        <v>12</v>
      </c>
      <c r="R2587" s="4">
        <v>3012.24</v>
      </c>
      <c r="S2587" t="str">
        <f t="shared" si="200"/>
        <v>PY: Media Crit.</v>
      </c>
      <c r="T2587">
        <f t="shared" si="201"/>
        <v>0</v>
      </c>
      <c r="U2587">
        <f t="shared" si="202"/>
        <v>1</v>
      </c>
      <c r="V2587">
        <f t="shared" si="203"/>
        <v>0</v>
      </c>
      <c r="W2587">
        <f t="shared" si="204"/>
        <v>1</v>
      </c>
      <c r="X2587">
        <v>1</v>
      </c>
      <c r="Y2587" s="2">
        <v>45768</v>
      </c>
      <c r="Z2587" s="3" t="s">
        <v>70</v>
      </c>
      <c r="AA2587" t="s">
        <v>39</v>
      </c>
      <c r="AB2587" t="s">
        <v>49</v>
      </c>
      <c r="AC2587" s="5" t="s">
        <v>50</v>
      </c>
      <c r="AD2587" t="s">
        <v>391</v>
      </c>
    </row>
    <row r="2588" spans="2:30">
      <c r="B2588">
        <v>0</v>
      </c>
      <c r="C2588">
        <v>1020</v>
      </c>
      <c r="D2588" t="s">
        <v>181</v>
      </c>
      <c r="E2588">
        <v>14065156</v>
      </c>
      <c r="F2588" t="s">
        <v>2676</v>
      </c>
      <c r="G2588" t="s">
        <v>43</v>
      </c>
      <c r="H2588" t="s">
        <v>60</v>
      </c>
      <c r="I2588" t="s">
        <v>183</v>
      </c>
      <c r="J2588" t="s">
        <v>45</v>
      </c>
      <c r="K2588" t="s">
        <v>35</v>
      </c>
      <c r="L2588" t="s">
        <v>36</v>
      </c>
      <c r="M2588" t="s">
        <v>117</v>
      </c>
      <c r="N2588">
        <v>12</v>
      </c>
      <c r="O2588">
        <v>10</v>
      </c>
      <c r="P2588">
        <v>0</v>
      </c>
      <c r="Q2588">
        <v>24</v>
      </c>
      <c r="R2588" s="4">
        <v>9900</v>
      </c>
      <c r="S2588" t="str">
        <f t="shared" si="200"/>
        <v>PY: Media Crit.</v>
      </c>
      <c r="T2588">
        <f t="shared" si="201"/>
        <v>0</v>
      </c>
      <c r="U2588">
        <f t="shared" si="202"/>
        <v>0</v>
      </c>
      <c r="V2588">
        <f t="shared" si="203"/>
        <v>0</v>
      </c>
      <c r="W2588">
        <f t="shared" si="204"/>
        <v>1</v>
      </c>
      <c r="X2588">
        <v>1</v>
      </c>
      <c r="Y2588" s="2">
        <v>45768</v>
      </c>
      <c r="Z2588" s="3" t="s">
        <v>118</v>
      </c>
      <c r="AA2588" t="s">
        <v>39</v>
      </c>
      <c r="AB2588" t="s">
        <v>40</v>
      </c>
      <c r="AC2588" t="s">
        <v>40</v>
      </c>
      <c r="AD2588" t="s">
        <v>184</v>
      </c>
    </row>
    <row r="2589" spans="2:30">
      <c r="B2589">
        <v>0</v>
      </c>
      <c r="C2589">
        <v>1020</v>
      </c>
      <c r="D2589" t="s">
        <v>181</v>
      </c>
      <c r="E2589">
        <v>14065216</v>
      </c>
      <c r="F2589" t="s">
        <v>2677</v>
      </c>
      <c r="G2589" t="s">
        <v>31</v>
      </c>
      <c r="H2589" t="s">
        <v>32</v>
      </c>
      <c r="I2589" t="s">
        <v>183</v>
      </c>
      <c r="J2589" t="s">
        <v>45</v>
      </c>
      <c r="K2589" t="s">
        <v>35</v>
      </c>
      <c r="L2589" t="s">
        <v>36</v>
      </c>
      <c r="M2589" t="s">
        <v>69</v>
      </c>
      <c r="N2589">
        <v>8</v>
      </c>
      <c r="O2589">
        <v>6</v>
      </c>
      <c r="P2589">
        <v>0</v>
      </c>
      <c r="Q2589">
        <v>8</v>
      </c>
      <c r="R2589">
        <v>0</v>
      </c>
      <c r="S2589" t="str">
        <f t="shared" si="200"/>
        <v>PX: Baja Crit.</v>
      </c>
      <c r="T2589">
        <f t="shared" si="201"/>
        <v>0</v>
      </c>
      <c r="U2589">
        <f t="shared" si="202"/>
        <v>0</v>
      </c>
      <c r="V2589">
        <f t="shared" si="203"/>
        <v>1</v>
      </c>
      <c r="W2589">
        <f t="shared" si="204"/>
        <v>0</v>
      </c>
      <c r="X2589">
        <v>1</v>
      </c>
      <c r="Y2589" s="2">
        <v>45768</v>
      </c>
      <c r="Z2589" s="3" t="s">
        <v>70</v>
      </c>
      <c r="AA2589" t="s">
        <v>39</v>
      </c>
      <c r="AB2589" t="s">
        <v>40</v>
      </c>
      <c r="AC2589" t="s">
        <v>40</v>
      </c>
      <c r="AD2589" t="s">
        <v>184</v>
      </c>
    </row>
    <row r="2590" spans="2:30">
      <c r="B2590">
        <v>0</v>
      </c>
      <c r="C2590">
        <v>1020</v>
      </c>
      <c r="D2590" t="s">
        <v>388</v>
      </c>
      <c r="E2590">
        <v>14066130</v>
      </c>
      <c r="F2590" t="s">
        <v>2678</v>
      </c>
      <c r="G2590" t="s">
        <v>31</v>
      </c>
      <c r="H2590" t="s">
        <v>44</v>
      </c>
      <c r="I2590" t="s">
        <v>390</v>
      </c>
      <c r="J2590" t="s">
        <v>45</v>
      </c>
      <c r="K2590" t="s">
        <v>35</v>
      </c>
      <c r="L2590" t="s">
        <v>175</v>
      </c>
      <c r="M2590" t="s">
        <v>37</v>
      </c>
      <c r="N2590">
        <v>0</v>
      </c>
      <c r="O2590">
        <v>0</v>
      </c>
      <c r="P2590">
        <v>3</v>
      </c>
      <c r="Q2590">
        <v>3</v>
      </c>
      <c r="R2590" s="4">
        <v>10176.27</v>
      </c>
      <c r="S2590" t="str">
        <f t="shared" si="200"/>
        <v>PX: Baja Crit.</v>
      </c>
      <c r="T2590">
        <f t="shared" si="201"/>
        <v>0</v>
      </c>
      <c r="U2590">
        <f t="shared" si="202"/>
        <v>1</v>
      </c>
      <c r="V2590">
        <f t="shared" si="203"/>
        <v>0</v>
      </c>
      <c r="W2590">
        <f t="shared" si="204"/>
        <v>1</v>
      </c>
      <c r="X2590">
        <v>1</v>
      </c>
      <c r="Y2590" s="2">
        <v>45768</v>
      </c>
      <c r="Z2590" s="3" t="s">
        <v>38</v>
      </c>
      <c r="AA2590" t="s">
        <v>39</v>
      </c>
      <c r="AB2590" t="s">
        <v>40</v>
      </c>
      <c r="AC2590" t="s">
        <v>40</v>
      </c>
      <c r="AD2590" t="s">
        <v>391</v>
      </c>
    </row>
    <row r="2591" spans="2:30">
      <c r="B2591">
        <v>0</v>
      </c>
      <c r="C2591">
        <v>1020</v>
      </c>
      <c r="D2591" t="s">
        <v>388</v>
      </c>
      <c r="E2591">
        <v>14066348</v>
      </c>
      <c r="F2591" t="s">
        <v>2679</v>
      </c>
      <c r="G2591" t="s">
        <v>52</v>
      </c>
      <c r="H2591" t="s">
        <v>44</v>
      </c>
      <c r="I2591" t="s">
        <v>390</v>
      </c>
      <c r="J2591" t="s">
        <v>45</v>
      </c>
      <c r="K2591" t="s">
        <v>35</v>
      </c>
      <c r="L2591" t="s">
        <v>175</v>
      </c>
      <c r="M2591" t="s">
        <v>46</v>
      </c>
      <c r="N2591">
        <v>0</v>
      </c>
      <c r="O2591">
        <v>0</v>
      </c>
      <c r="P2591">
        <v>2</v>
      </c>
      <c r="Q2591">
        <v>2</v>
      </c>
      <c r="R2591">
        <v>0</v>
      </c>
      <c r="S2591" t="str">
        <f t="shared" si="200"/>
        <v>PZ: Alta Crit.</v>
      </c>
      <c r="T2591">
        <f t="shared" si="201"/>
        <v>0</v>
      </c>
      <c r="U2591">
        <f t="shared" si="202"/>
        <v>1</v>
      </c>
      <c r="V2591">
        <f t="shared" si="203"/>
        <v>0</v>
      </c>
      <c r="W2591">
        <f t="shared" si="204"/>
        <v>1</v>
      </c>
      <c r="X2591">
        <v>1</v>
      </c>
      <c r="Y2591" s="2">
        <v>45768</v>
      </c>
      <c r="Z2591" s="3" t="s">
        <v>47</v>
      </c>
      <c r="AA2591" t="s">
        <v>39</v>
      </c>
      <c r="AB2591" t="s">
        <v>40</v>
      </c>
      <c r="AC2591" t="s">
        <v>40</v>
      </c>
      <c r="AD2591" t="s">
        <v>391</v>
      </c>
    </row>
    <row r="2592" spans="2:30">
      <c r="B2592">
        <v>0</v>
      </c>
      <c r="C2592">
        <v>1020</v>
      </c>
      <c r="D2592" t="s">
        <v>388</v>
      </c>
      <c r="E2592">
        <v>14067166</v>
      </c>
      <c r="F2592" t="s">
        <v>2680</v>
      </c>
      <c r="G2592" t="s">
        <v>43</v>
      </c>
      <c r="H2592" t="s">
        <v>60</v>
      </c>
      <c r="I2592" t="s">
        <v>390</v>
      </c>
      <c r="J2592" t="s">
        <v>45</v>
      </c>
      <c r="K2592" t="s">
        <v>35</v>
      </c>
      <c r="L2592" t="s">
        <v>175</v>
      </c>
      <c r="M2592" t="s">
        <v>69</v>
      </c>
      <c r="N2592">
        <v>0</v>
      </c>
      <c r="O2592">
        <v>0</v>
      </c>
      <c r="P2592">
        <v>1</v>
      </c>
      <c r="Q2592">
        <v>1</v>
      </c>
      <c r="R2592" s="4">
        <v>21481.03</v>
      </c>
      <c r="S2592" t="str">
        <f t="shared" si="200"/>
        <v>PY: Media Crit.</v>
      </c>
      <c r="T2592">
        <f t="shared" si="201"/>
        <v>0</v>
      </c>
      <c r="U2592">
        <f t="shared" si="202"/>
        <v>1</v>
      </c>
      <c r="V2592">
        <f t="shared" si="203"/>
        <v>0</v>
      </c>
      <c r="W2592">
        <f t="shared" si="204"/>
        <v>1</v>
      </c>
      <c r="X2592">
        <v>1</v>
      </c>
      <c r="Y2592" s="2">
        <v>45768</v>
      </c>
      <c r="Z2592" s="3" t="s">
        <v>70</v>
      </c>
      <c r="AA2592" t="s">
        <v>39</v>
      </c>
      <c r="AB2592" t="s">
        <v>40</v>
      </c>
      <c r="AC2592" t="s">
        <v>40</v>
      </c>
      <c r="AD2592" t="s">
        <v>391</v>
      </c>
    </row>
    <row r="2593" spans="2:30">
      <c r="B2593">
        <v>0</v>
      </c>
      <c r="C2593">
        <v>1020</v>
      </c>
      <c r="D2593" t="s">
        <v>388</v>
      </c>
      <c r="E2593">
        <v>14067175</v>
      </c>
      <c r="F2593" t="s">
        <v>2681</v>
      </c>
      <c r="G2593" t="s">
        <v>43</v>
      </c>
      <c r="H2593" t="s">
        <v>60</v>
      </c>
      <c r="I2593" t="s">
        <v>390</v>
      </c>
      <c r="J2593" t="s">
        <v>45</v>
      </c>
      <c r="K2593" t="s">
        <v>35</v>
      </c>
      <c r="L2593" t="s">
        <v>175</v>
      </c>
      <c r="M2593" t="s">
        <v>69</v>
      </c>
      <c r="N2593">
        <v>0</v>
      </c>
      <c r="O2593">
        <v>0</v>
      </c>
      <c r="P2593">
        <v>1</v>
      </c>
      <c r="Q2593">
        <v>1</v>
      </c>
      <c r="R2593" s="4">
        <v>19641.509999999998</v>
      </c>
      <c r="S2593" t="str">
        <f t="shared" si="200"/>
        <v>PY: Media Crit.</v>
      </c>
      <c r="T2593">
        <f t="shared" si="201"/>
        <v>0</v>
      </c>
      <c r="U2593">
        <f t="shared" si="202"/>
        <v>1</v>
      </c>
      <c r="V2593">
        <f t="shared" si="203"/>
        <v>0</v>
      </c>
      <c r="W2593">
        <f t="shared" si="204"/>
        <v>1</v>
      </c>
      <c r="X2593">
        <v>1</v>
      </c>
      <c r="Y2593" s="2">
        <v>45768</v>
      </c>
      <c r="Z2593" s="3" t="s">
        <v>70</v>
      </c>
      <c r="AA2593" t="s">
        <v>39</v>
      </c>
      <c r="AB2593" t="s">
        <v>40</v>
      </c>
      <c r="AC2593" t="s">
        <v>40</v>
      </c>
      <c r="AD2593" t="s">
        <v>391</v>
      </c>
    </row>
    <row r="2594" spans="2:30">
      <c r="B2594">
        <v>0</v>
      </c>
      <c r="C2594">
        <v>1020</v>
      </c>
      <c r="D2594" t="s">
        <v>384</v>
      </c>
      <c r="E2594">
        <v>14070019</v>
      </c>
      <c r="F2594" t="s">
        <v>2682</v>
      </c>
      <c r="G2594" t="s">
        <v>43</v>
      </c>
      <c r="H2594" t="s">
        <v>60</v>
      </c>
      <c r="I2594" t="s">
        <v>386</v>
      </c>
      <c r="J2594" t="s">
        <v>45</v>
      </c>
      <c r="K2594" t="s">
        <v>260</v>
      </c>
      <c r="L2594" t="s">
        <v>175</v>
      </c>
      <c r="M2594" t="s">
        <v>37</v>
      </c>
      <c r="N2594">
        <v>0</v>
      </c>
      <c r="O2594">
        <v>0</v>
      </c>
      <c r="P2594">
        <v>0</v>
      </c>
      <c r="Q2594">
        <v>6</v>
      </c>
      <c r="R2594">
        <v>0</v>
      </c>
      <c r="S2594" t="str">
        <f t="shared" si="200"/>
        <v>PY: Media Crit.</v>
      </c>
      <c r="T2594">
        <f t="shared" si="201"/>
        <v>0</v>
      </c>
      <c r="U2594">
        <f t="shared" si="202"/>
        <v>0</v>
      </c>
      <c r="V2594">
        <f t="shared" si="203"/>
        <v>0</v>
      </c>
      <c r="W2594">
        <f t="shared" si="204"/>
        <v>1</v>
      </c>
      <c r="X2594">
        <v>1</v>
      </c>
      <c r="Y2594" s="2">
        <v>45768</v>
      </c>
      <c r="Z2594" s="3" t="s">
        <v>38</v>
      </c>
      <c r="AA2594" t="s">
        <v>39</v>
      </c>
      <c r="AB2594" t="s">
        <v>40</v>
      </c>
      <c r="AC2594" t="s">
        <v>40</v>
      </c>
      <c r="AD2594" t="s">
        <v>387</v>
      </c>
    </row>
    <row r="2595" spans="2:30">
      <c r="B2595">
        <v>0</v>
      </c>
      <c r="C2595">
        <v>1020</v>
      </c>
      <c r="D2595" t="s">
        <v>181</v>
      </c>
      <c r="E2595">
        <v>14070145</v>
      </c>
      <c r="F2595" t="s">
        <v>2683</v>
      </c>
      <c r="G2595" t="s">
        <v>52</v>
      </c>
      <c r="H2595" t="s">
        <v>44</v>
      </c>
      <c r="I2595" t="s">
        <v>183</v>
      </c>
      <c r="J2595" t="s">
        <v>45</v>
      </c>
      <c r="K2595" t="s">
        <v>35</v>
      </c>
      <c r="L2595" t="s">
        <v>36</v>
      </c>
      <c r="M2595" t="s">
        <v>46</v>
      </c>
      <c r="N2595">
        <v>2</v>
      </c>
      <c r="O2595">
        <v>1</v>
      </c>
      <c r="P2595">
        <v>0</v>
      </c>
      <c r="Q2595">
        <v>2</v>
      </c>
      <c r="R2595">
        <v>0</v>
      </c>
      <c r="S2595" t="str">
        <f t="shared" si="200"/>
        <v>PZ: Alta Crit.</v>
      </c>
      <c r="T2595">
        <f t="shared" si="201"/>
        <v>0</v>
      </c>
      <c r="U2595">
        <f t="shared" si="202"/>
        <v>0</v>
      </c>
      <c r="V2595">
        <f t="shared" si="203"/>
        <v>1</v>
      </c>
      <c r="W2595">
        <f t="shared" si="204"/>
        <v>0</v>
      </c>
      <c r="X2595">
        <v>1</v>
      </c>
      <c r="Y2595" s="2">
        <v>45768</v>
      </c>
      <c r="Z2595" s="3" t="s">
        <v>47</v>
      </c>
      <c r="AA2595" t="s">
        <v>39</v>
      </c>
      <c r="AB2595" t="s">
        <v>40</v>
      </c>
      <c r="AC2595" t="s">
        <v>40</v>
      </c>
      <c r="AD2595" t="s">
        <v>184</v>
      </c>
    </row>
    <row r="2596" spans="2:30">
      <c r="B2596">
        <v>0</v>
      </c>
      <c r="C2596">
        <v>1020</v>
      </c>
      <c r="D2596" t="s">
        <v>181</v>
      </c>
      <c r="E2596">
        <v>14071183</v>
      </c>
      <c r="F2596" t="s">
        <v>2684</v>
      </c>
      <c r="G2596" t="s">
        <v>43</v>
      </c>
      <c r="H2596" t="s">
        <v>60</v>
      </c>
      <c r="I2596" t="s">
        <v>183</v>
      </c>
      <c r="J2596" t="s">
        <v>45</v>
      </c>
      <c r="K2596" t="s">
        <v>35</v>
      </c>
      <c r="L2596" t="s">
        <v>36</v>
      </c>
      <c r="M2596" t="s">
        <v>37</v>
      </c>
      <c r="N2596">
        <v>3</v>
      </c>
      <c r="O2596">
        <v>1</v>
      </c>
      <c r="P2596">
        <v>0</v>
      </c>
      <c r="Q2596">
        <v>3</v>
      </c>
      <c r="R2596">
        <v>0</v>
      </c>
      <c r="S2596" t="str">
        <f t="shared" si="200"/>
        <v>PY: Media Crit.</v>
      </c>
      <c r="T2596">
        <f t="shared" si="201"/>
        <v>0</v>
      </c>
      <c r="U2596">
        <f t="shared" si="202"/>
        <v>0</v>
      </c>
      <c r="V2596">
        <f t="shared" si="203"/>
        <v>1</v>
      </c>
      <c r="W2596">
        <f t="shared" si="204"/>
        <v>0</v>
      </c>
      <c r="X2596">
        <v>1</v>
      </c>
      <c r="Y2596" s="2">
        <v>45768</v>
      </c>
      <c r="Z2596" s="3" t="s">
        <v>38</v>
      </c>
      <c r="AA2596" t="s">
        <v>39</v>
      </c>
      <c r="AB2596" t="s">
        <v>40</v>
      </c>
      <c r="AC2596" t="s">
        <v>40</v>
      </c>
      <c r="AD2596" t="s">
        <v>184</v>
      </c>
    </row>
    <row r="2597" spans="2:30">
      <c r="B2597">
        <v>0</v>
      </c>
      <c r="C2597">
        <v>1020</v>
      </c>
      <c r="D2597" t="s">
        <v>181</v>
      </c>
      <c r="E2597">
        <v>14072875</v>
      </c>
      <c r="F2597" t="s">
        <v>2685</v>
      </c>
      <c r="G2597" t="s">
        <v>43</v>
      </c>
      <c r="H2597" t="s">
        <v>60</v>
      </c>
      <c r="I2597" t="s">
        <v>183</v>
      </c>
      <c r="J2597" t="s">
        <v>45</v>
      </c>
      <c r="K2597" t="s">
        <v>35</v>
      </c>
      <c r="L2597" t="s">
        <v>36</v>
      </c>
      <c r="M2597" t="s">
        <v>117</v>
      </c>
      <c r="N2597">
        <v>8</v>
      </c>
      <c r="O2597">
        <v>6</v>
      </c>
      <c r="P2597">
        <v>0</v>
      </c>
      <c r="Q2597">
        <v>8</v>
      </c>
      <c r="R2597" s="4">
        <v>1048.32</v>
      </c>
      <c r="S2597" t="str">
        <f t="shared" si="200"/>
        <v>PY: Media Crit.</v>
      </c>
      <c r="T2597">
        <f t="shared" si="201"/>
        <v>0</v>
      </c>
      <c r="U2597">
        <f t="shared" si="202"/>
        <v>0</v>
      </c>
      <c r="V2597">
        <f t="shared" si="203"/>
        <v>1</v>
      </c>
      <c r="W2597">
        <f t="shared" si="204"/>
        <v>0</v>
      </c>
      <c r="X2597">
        <v>1</v>
      </c>
      <c r="Y2597" s="2">
        <v>45768</v>
      </c>
      <c r="Z2597" s="3" t="s">
        <v>118</v>
      </c>
      <c r="AA2597" t="s">
        <v>39</v>
      </c>
      <c r="AB2597" t="s">
        <v>40</v>
      </c>
      <c r="AC2597" t="s">
        <v>40</v>
      </c>
      <c r="AD2597" t="s">
        <v>184</v>
      </c>
    </row>
    <row r="2598" spans="2:30">
      <c r="B2598">
        <v>0</v>
      </c>
      <c r="C2598">
        <v>1020</v>
      </c>
      <c r="D2598" t="s">
        <v>181</v>
      </c>
      <c r="E2598">
        <v>14073446</v>
      </c>
      <c r="F2598" t="s">
        <v>2686</v>
      </c>
      <c r="G2598" t="s">
        <v>52</v>
      </c>
      <c r="H2598" t="s">
        <v>32</v>
      </c>
      <c r="I2598" t="s">
        <v>183</v>
      </c>
      <c r="J2598" t="s">
        <v>45</v>
      </c>
      <c r="K2598" t="s">
        <v>35</v>
      </c>
      <c r="L2598" t="s">
        <v>36</v>
      </c>
      <c r="M2598" t="s">
        <v>46</v>
      </c>
      <c r="N2598">
        <v>1</v>
      </c>
      <c r="O2598">
        <v>1</v>
      </c>
      <c r="P2598">
        <v>1</v>
      </c>
      <c r="Q2598">
        <v>1</v>
      </c>
      <c r="R2598">
        <v>0</v>
      </c>
      <c r="S2598" t="str">
        <f t="shared" si="200"/>
        <v>PZ: Alta Crit.</v>
      </c>
      <c r="T2598">
        <f t="shared" si="201"/>
        <v>0</v>
      </c>
      <c r="U2598">
        <f t="shared" si="202"/>
        <v>1</v>
      </c>
      <c r="V2598">
        <f t="shared" si="203"/>
        <v>0</v>
      </c>
      <c r="W2598">
        <f t="shared" si="204"/>
        <v>0</v>
      </c>
      <c r="X2598">
        <v>1</v>
      </c>
      <c r="Y2598" s="2">
        <v>45768</v>
      </c>
      <c r="Z2598" s="3" t="s">
        <v>47</v>
      </c>
      <c r="AA2598" t="s">
        <v>39</v>
      </c>
      <c r="AB2598" t="s">
        <v>40</v>
      </c>
      <c r="AC2598" t="s">
        <v>40</v>
      </c>
      <c r="AD2598" t="s">
        <v>184</v>
      </c>
    </row>
    <row r="2599" spans="2:30">
      <c r="B2599">
        <v>0</v>
      </c>
      <c r="C2599">
        <v>1020</v>
      </c>
      <c r="D2599" t="s">
        <v>181</v>
      </c>
      <c r="E2599">
        <v>14073451</v>
      </c>
      <c r="F2599" t="s">
        <v>2687</v>
      </c>
      <c r="G2599" t="s">
        <v>52</v>
      </c>
      <c r="H2599" t="s">
        <v>32</v>
      </c>
      <c r="I2599" t="s">
        <v>183</v>
      </c>
      <c r="J2599" t="s">
        <v>45</v>
      </c>
      <c r="K2599" t="s">
        <v>35</v>
      </c>
      <c r="L2599" t="s">
        <v>36</v>
      </c>
      <c r="M2599" t="s">
        <v>46</v>
      </c>
      <c r="N2599">
        <v>1</v>
      </c>
      <c r="O2599">
        <v>1</v>
      </c>
      <c r="P2599">
        <v>1</v>
      </c>
      <c r="Q2599">
        <v>1</v>
      </c>
      <c r="R2599">
        <v>0</v>
      </c>
      <c r="S2599" t="str">
        <f t="shared" si="200"/>
        <v>PZ: Alta Crit.</v>
      </c>
      <c r="T2599">
        <f t="shared" si="201"/>
        <v>0</v>
      </c>
      <c r="U2599">
        <f t="shared" si="202"/>
        <v>1</v>
      </c>
      <c r="V2599">
        <f t="shared" si="203"/>
        <v>0</v>
      </c>
      <c r="W2599">
        <f t="shared" si="204"/>
        <v>0</v>
      </c>
      <c r="X2599">
        <v>1</v>
      </c>
      <c r="Y2599" s="2">
        <v>45768</v>
      </c>
      <c r="Z2599" s="3" t="s">
        <v>47</v>
      </c>
      <c r="AA2599" t="s">
        <v>39</v>
      </c>
      <c r="AB2599" t="s">
        <v>40</v>
      </c>
      <c r="AC2599" t="s">
        <v>40</v>
      </c>
      <c r="AD2599" t="s">
        <v>184</v>
      </c>
    </row>
    <row r="2600" spans="2:30">
      <c r="B2600">
        <v>0</v>
      </c>
      <c r="C2600">
        <v>1020</v>
      </c>
      <c r="D2600" t="s">
        <v>181</v>
      </c>
      <c r="E2600">
        <v>14074261</v>
      </c>
      <c r="F2600" t="s">
        <v>2688</v>
      </c>
      <c r="G2600" t="s">
        <v>43</v>
      </c>
      <c r="H2600" t="s">
        <v>60</v>
      </c>
      <c r="I2600" t="s">
        <v>183</v>
      </c>
      <c r="J2600" t="s">
        <v>45</v>
      </c>
      <c r="K2600" t="s">
        <v>35</v>
      </c>
      <c r="L2600" t="s">
        <v>36</v>
      </c>
      <c r="M2600" t="s">
        <v>117</v>
      </c>
      <c r="N2600">
        <v>10</v>
      </c>
      <c r="O2600">
        <v>6</v>
      </c>
      <c r="P2600">
        <v>0</v>
      </c>
      <c r="Q2600">
        <v>10</v>
      </c>
      <c r="R2600" s="4">
        <v>1647.36</v>
      </c>
      <c r="S2600" t="str">
        <f t="shared" si="200"/>
        <v>PY: Media Crit.</v>
      </c>
      <c r="T2600">
        <f t="shared" si="201"/>
        <v>0</v>
      </c>
      <c r="U2600">
        <f t="shared" si="202"/>
        <v>0</v>
      </c>
      <c r="V2600">
        <f t="shared" si="203"/>
        <v>1</v>
      </c>
      <c r="W2600">
        <f t="shared" si="204"/>
        <v>0</v>
      </c>
      <c r="X2600">
        <v>1</v>
      </c>
      <c r="Y2600" s="2">
        <v>45768</v>
      </c>
      <c r="Z2600" s="3" t="s">
        <v>118</v>
      </c>
      <c r="AA2600" t="s">
        <v>39</v>
      </c>
      <c r="AB2600" t="s">
        <v>40</v>
      </c>
      <c r="AC2600" t="s">
        <v>40</v>
      </c>
      <c r="AD2600" t="s">
        <v>184</v>
      </c>
    </row>
    <row r="2601" spans="2:30">
      <c r="B2601">
        <v>0</v>
      </c>
      <c r="C2601">
        <v>1020</v>
      </c>
      <c r="D2601" t="s">
        <v>181</v>
      </c>
      <c r="E2601">
        <v>14074265</v>
      </c>
      <c r="F2601" t="s">
        <v>2689</v>
      </c>
      <c r="G2601" t="s">
        <v>43</v>
      </c>
      <c r="H2601" t="s">
        <v>60</v>
      </c>
      <c r="I2601" t="s">
        <v>183</v>
      </c>
      <c r="J2601" t="s">
        <v>45</v>
      </c>
      <c r="K2601" t="s">
        <v>35</v>
      </c>
      <c r="L2601" t="s">
        <v>36</v>
      </c>
      <c r="M2601" t="s">
        <v>117</v>
      </c>
      <c r="N2601">
        <v>10</v>
      </c>
      <c r="O2601">
        <v>6</v>
      </c>
      <c r="P2601">
        <v>0</v>
      </c>
      <c r="Q2601">
        <v>10</v>
      </c>
      <c r="R2601" s="4">
        <v>1762.5</v>
      </c>
      <c r="S2601" t="str">
        <f t="shared" si="200"/>
        <v>PY: Media Crit.</v>
      </c>
      <c r="T2601">
        <f t="shared" si="201"/>
        <v>0</v>
      </c>
      <c r="U2601">
        <f t="shared" si="202"/>
        <v>0</v>
      </c>
      <c r="V2601">
        <f t="shared" si="203"/>
        <v>1</v>
      </c>
      <c r="W2601">
        <f t="shared" si="204"/>
        <v>0</v>
      </c>
      <c r="X2601">
        <v>1</v>
      </c>
      <c r="Y2601" s="2">
        <v>45768</v>
      </c>
      <c r="Z2601" s="3" t="s">
        <v>118</v>
      </c>
      <c r="AA2601" t="s">
        <v>39</v>
      </c>
      <c r="AB2601" t="s">
        <v>40</v>
      </c>
      <c r="AC2601" t="s">
        <v>40</v>
      </c>
      <c r="AD2601" t="s">
        <v>184</v>
      </c>
    </row>
    <row r="2602" spans="2:30">
      <c r="B2602">
        <v>0</v>
      </c>
      <c r="C2602">
        <v>1020</v>
      </c>
      <c r="D2602" t="s">
        <v>388</v>
      </c>
      <c r="E2602">
        <v>14080763</v>
      </c>
      <c r="F2602" t="s">
        <v>2690</v>
      </c>
      <c r="G2602" t="s">
        <v>52</v>
      </c>
      <c r="H2602" t="s">
        <v>32</v>
      </c>
      <c r="I2602" t="s">
        <v>390</v>
      </c>
      <c r="J2602" t="s">
        <v>45</v>
      </c>
      <c r="K2602" t="s">
        <v>35</v>
      </c>
      <c r="L2602" t="s">
        <v>175</v>
      </c>
      <c r="M2602" t="s">
        <v>46</v>
      </c>
      <c r="N2602">
        <v>0</v>
      </c>
      <c r="O2602">
        <v>0</v>
      </c>
      <c r="P2602">
        <v>1</v>
      </c>
      <c r="Q2602">
        <v>1</v>
      </c>
      <c r="R2602">
        <v>0</v>
      </c>
      <c r="S2602" t="str">
        <f t="shared" si="200"/>
        <v>PZ: Alta Crit.</v>
      </c>
      <c r="T2602">
        <f t="shared" si="201"/>
        <v>0</v>
      </c>
      <c r="U2602">
        <f t="shared" si="202"/>
        <v>1</v>
      </c>
      <c r="V2602">
        <f t="shared" si="203"/>
        <v>0</v>
      </c>
      <c r="W2602">
        <f t="shared" si="204"/>
        <v>1</v>
      </c>
      <c r="X2602">
        <v>1</v>
      </c>
      <c r="Y2602" s="2">
        <v>45768</v>
      </c>
      <c r="Z2602" s="3" t="s">
        <v>47</v>
      </c>
      <c r="AA2602" t="s">
        <v>39</v>
      </c>
      <c r="AB2602" t="s">
        <v>40</v>
      </c>
      <c r="AC2602" t="s">
        <v>40</v>
      </c>
      <c r="AD2602" t="s">
        <v>391</v>
      </c>
    </row>
    <row r="2603" spans="2:30">
      <c r="B2603">
        <v>0</v>
      </c>
      <c r="C2603">
        <v>1020</v>
      </c>
      <c r="D2603" t="s">
        <v>693</v>
      </c>
      <c r="E2603">
        <v>14081450</v>
      </c>
      <c r="F2603" t="s">
        <v>2691</v>
      </c>
      <c r="G2603" t="s">
        <v>52</v>
      </c>
      <c r="H2603" t="s">
        <v>32</v>
      </c>
      <c r="I2603" t="s">
        <v>695</v>
      </c>
      <c r="J2603" t="s">
        <v>45</v>
      </c>
      <c r="K2603" t="s">
        <v>35</v>
      </c>
      <c r="L2603" t="s">
        <v>175</v>
      </c>
      <c r="M2603" t="s">
        <v>46</v>
      </c>
      <c r="N2603">
        <v>0</v>
      </c>
      <c r="O2603">
        <v>0</v>
      </c>
      <c r="P2603">
        <v>0</v>
      </c>
      <c r="Q2603">
        <v>2</v>
      </c>
      <c r="R2603">
        <v>0</v>
      </c>
      <c r="S2603" t="str">
        <f t="shared" si="200"/>
        <v>PZ: Alta Crit.</v>
      </c>
      <c r="T2603">
        <f t="shared" si="201"/>
        <v>0</v>
      </c>
      <c r="U2603">
        <f t="shared" si="202"/>
        <v>0</v>
      </c>
      <c r="V2603">
        <f t="shared" si="203"/>
        <v>0</v>
      </c>
      <c r="W2603">
        <f t="shared" si="204"/>
        <v>1</v>
      </c>
      <c r="X2603">
        <v>1</v>
      </c>
      <c r="Y2603" s="2">
        <v>45768</v>
      </c>
      <c r="Z2603" s="3" t="s">
        <v>47</v>
      </c>
      <c r="AA2603" t="s">
        <v>39</v>
      </c>
      <c r="AB2603" t="s">
        <v>40</v>
      </c>
      <c r="AC2603" t="s">
        <v>40</v>
      </c>
      <c r="AD2603" t="s">
        <v>696</v>
      </c>
    </row>
    <row r="2604" spans="2:30">
      <c r="B2604">
        <v>0</v>
      </c>
      <c r="C2604">
        <v>1020</v>
      </c>
      <c r="D2604" t="s">
        <v>181</v>
      </c>
      <c r="E2604">
        <v>14082900</v>
      </c>
      <c r="F2604" t="s">
        <v>2692</v>
      </c>
      <c r="G2604" t="s">
        <v>31</v>
      </c>
      <c r="H2604" t="s">
        <v>44</v>
      </c>
      <c r="I2604" t="s">
        <v>183</v>
      </c>
      <c r="J2604" t="s">
        <v>45</v>
      </c>
      <c r="K2604" t="s">
        <v>35</v>
      </c>
      <c r="L2604" t="s">
        <v>36</v>
      </c>
      <c r="M2604" t="s">
        <v>69</v>
      </c>
      <c r="N2604">
        <v>1</v>
      </c>
      <c r="O2604">
        <v>1</v>
      </c>
      <c r="P2604">
        <v>0</v>
      </c>
      <c r="Q2604">
        <v>1</v>
      </c>
      <c r="R2604">
        <v>0</v>
      </c>
      <c r="S2604" t="str">
        <f t="shared" si="200"/>
        <v>PX: Baja Crit.</v>
      </c>
      <c r="T2604">
        <f t="shared" si="201"/>
        <v>0</v>
      </c>
      <c r="U2604">
        <f t="shared" si="202"/>
        <v>0</v>
      </c>
      <c r="V2604">
        <f t="shared" si="203"/>
        <v>1</v>
      </c>
      <c r="W2604">
        <f t="shared" si="204"/>
        <v>0</v>
      </c>
      <c r="X2604">
        <v>1</v>
      </c>
      <c r="Y2604" s="2">
        <v>45768</v>
      </c>
      <c r="Z2604" s="3" t="s">
        <v>70</v>
      </c>
      <c r="AA2604" t="s">
        <v>39</v>
      </c>
      <c r="AB2604" t="s">
        <v>40</v>
      </c>
      <c r="AC2604" t="s">
        <v>40</v>
      </c>
      <c r="AD2604" t="s">
        <v>184</v>
      </c>
    </row>
    <row r="2605" spans="2:30">
      <c r="B2605">
        <v>0</v>
      </c>
      <c r="C2605">
        <v>1020</v>
      </c>
      <c r="D2605" t="s">
        <v>693</v>
      </c>
      <c r="E2605">
        <v>14084364</v>
      </c>
      <c r="F2605" t="s">
        <v>2693</v>
      </c>
      <c r="G2605" t="s">
        <v>52</v>
      </c>
      <c r="H2605" t="s">
        <v>32</v>
      </c>
      <c r="I2605" t="s">
        <v>695</v>
      </c>
      <c r="J2605" t="s">
        <v>45</v>
      </c>
      <c r="K2605" t="s">
        <v>35</v>
      </c>
      <c r="L2605" t="s">
        <v>175</v>
      </c>
      <c r="M2605" t="s">
        <v>69</v>
      </c>
      <c r="N2605">
        <v>0</v>
      </c>
      <c r="O2605">
        <v>0</v>
      </c>
      <c r="P2605">
        <v>1</v>
      </c>
      <c r="Q2605">
        <v>1</v>
      </c>
      <c r="R2605">
        <v>0</v>
      </c>
      <c r="S2605" t="str">
        <f t="shared" si="200"/>
        <v>PZ: Alta Crit.</v>
      </c>
      <c r="T2605">
        <f t="shared" si="201"/>
        <v>0</v>
      </c>
      <c r="U2605">
        <f t="shared" si="202"/>
        <v>1</v>
      </c>
      <c r="V2605">
        <f t="shared" si="203"/>
        <v>0</v>
      </c>
      <c r="W2605">
        <f t="shared" si="204"/>
        <v>1</v>
      </c>
      <c r="X2605">
        <v>1</v>
      </c>
      <c r="Y2605" s="2">
        <v>45768</v>
      </c>
      <c r="Z2605" s="3" t="s">
        <v>70</v>
      </c>
      <c r="AA2605" t="s">
        <v>39</v>
      </c>
      <c r="AB2605" t="s">
        <v>40</v>
      </c>
      <c r="AC2605" t="s">
        <v>40</v>
      </c>
      <c r="AD2605" t="s">
        <v>696</v>
      </c>
    </row>
    <row r="2606" spans="2:30">
      <c r="B2606">
        <v>0</v>
      </c>
      <c r="C2606">
        <v>1020</v>
      </c>
      <c r="D2606" t="s">
        <v>693</v>
      </c>
      <c r="E2606">
        <v>14084366</v>
      </c>
      <c r="F2606" t="s">
        <v>2694</v>
      </c>
      <c r="G2606" t="s">
        <v>52</v>
      </c>
      <c r="H2606" t="s">
        <v>32</v>
      </c>
      <c r="I2606" t="s">
        <v>695</v>
      </c>
      <c r="J2606" t="s">
        <v>45</v>
      </c>
      <c r="K2606" t="s">
        <v>35</v>
      </c>
      <c r="L2606" t="s">
        <v>175</v>
      </c>
      <c r="M2606" t="s">
        <v>46</v>
      </c>
      <c r="N2606">
        <v>0</v>
      </c>
      <c r="O2606">
        <v>0</v>
      </c>
      <c r="P2606">
        <v>1</v>
      </c>
      <c r="Q2606">
        <v>1</v>
      </c>
      <c r="R2606">
        <v>0</v>
      </c>
      <c r="S2606" t="str">
        <f t="shared" si="200"/>
        <v>PZ: Alta Crit.</v>
      </c>
      <c r="T2606">
        <f t="shared" si="201"/>
        <v>0</v>
      </c>
      <c r="U2606">
        <f t="shared" si="202"/>
        <v>1</v>
      </c>
      <c r="V2606">
        <f t="shared" si="203"/>
        <v>0</v>
      </c>
      <c r="W2606">
        <f t="shared" si="204"/>
        <v>1</v>
      </c>
      <c r="X2606">
        <v>1</v>
      </c>
      <c r="Y2606" s="2">
        <v>45768</v>
      </c>
      <c r="Z2606" s="3" t="s">
        <v>47</v>
      </c>
      <c r="AA2606" t="s">
        <v>39</v>
      </c>
      <c r="AB2606" t="s">
        <v>40</v>
      </c>
      <c r="AC2606" t="s">
        <v>40</v>
      </c>
      <c r="AD2606" t="s">
        <v>696</v>
      </c>
    </row>
    <row r="2607" spans="2:30">
      <c r="B2607">
        <v>0</v>
      </c>
      <c r="C2607">
        <v>1020</v>
      </c>
      <c r="D2607" t="s">
        <v>693</v>
      </c>
      <c r="E2607">
        <v>14084379</v>
      </c>
      <c r="F2607" t="s">
        <v>2695</v>
      </c>
      <c r="G2607" t="s">
        <v>52</v>
      </c>
      <c r="H2607" t="s">
        <v>32</v>
      </c>
      <c r="I2607" t="s">
        <v>695</v>
      </c>
      <c r="J2607" t="s">
        <v>45</v>
      </c>
      <c r="K2607" t="s">
        <v>35</v>
      </c>
      <c r="L2607" t="s">
        <v>175</v>
      </c>
      <c r="M2607" t="s">
        <v>37</v>
      </c>
      <c r="N2607">
        <v>0</v>
      </c>
      <c r="O2607">
        <v>0</v>
      </c>
      <c r="P2607">
        <v>0</v>
      </c>
      <c r="Q2607">
        <v>1</v>
      </c>
      <c r="R2607">
        <v>0</v>
      </c>
      <c r="S2607" t="str">
        <f t="shared" si="200"/>
        <v>PZ: Alta Crit.</v>
      </c>
      <c r="T2607">
        <f t="shared" si="201"/>
        <v>0</v>
      </c>
      <c r="U2607">
        <f t="shared" si="202"/>
        <v>0</v>
      </c>
      <c r="V2607">
        <f t="shared" si="203"/>
        <v>0</v>
      </c>
      <c r="W2607">
        <f t="shared" si="204"/>
        <v>1</v>
      </c>
      <c r="X2607">
        <v>1</v>
      </c>
      <c r="Y2607" s="2">
        <v>45768</v>
      </c>
      <c r="Z2607" s="3" t="s">
        <v>38</v>
      </c>
      <c r="AA2607" t="s">
        <v>39</v>
      </c>
      <c r="AB2607" t="s">
        <v>40</v>
      </c>
      <c r="AC2607" t="s">
        <v>40</v>
      </c>
      <c r="AD2607" t="s">
        <v>696</v>
      </c>
    </row>
    <row r="2608" spans="2:30">
      <c r="B2608">
        <v>0</v>
      </c>
      <c r="C2608">
        <v>1020</v>
      </c>
      <c r="D2608" t="s">
        <v>693</v>
      </c>
      <c r="E2608">
        <v>14084420</v>
      </c>
      <c r="F2608" t="s">
        <v>2696</v>
      </c>
      <c r="G2608" t="s">
        <v>52</v>
      </c>
      <c r="H2608" t="s">
        <v>32</v>
      </c>
      <c r="I2608" t="s">
        <v>695</v>
      </c>
      <c r="J2608" t="s">
        <v>45</v>
      </c>
      <c r="K2608" t="s">
        <v>35</v>
      </c>
      <c r="L2608" t="s">
        <v>175</v>
      </c>
      <c r="M2608" t="s">
        <v>69</v>
      </c>
      <c r="N2608">
        <v>0</v>
      </c>
      <c r="O2608">
        <v>0</v>
      </c>
      <c r="P2608">
        <v>1</v>
      </c>
      <c r="Q2608">
        <v>1</v>
      </c>
      <c r="R2608">
        <v>0</v>
      </c>
      <c r="S2608" t="str">
        <f t="shared" si="200"/>
        <v>PZ: Alta Crit.</v>
      </c>
      <c r="T2608">
        <f t="shared" si="201"/>
        <v>0</v>
      </c>
      <c r="U2608">
        <f t="shared" si="202"/>
        <v>1</v>
      </c>
      <c r="V2608">
        <f t="shared" si="203"/>
        <v>0</v>
      </c>
      <c r="W2608">
        <f t="shared" si="204"/>
        <v>1</v>
      </c>
      <c r="X2608">
        <v>1</v>
      </c>
      <c r="Y2608" s="2">
        <v>45768</v>
      </c>
      <c r="Z2608" s="3" t="s">
        <v>70</v>
      </c>
      <c r="AA2608" t="s">
        <v>39</v>
      </c>
      <c r="AB2608" t="s">
        <v>40</v>
      </c>
      <c r="AC2608" t="s">
        <v>40</v>
      </c>
      <c r="AD2608" t="s">
        <v>696</v>
      </c>
    </row>
    <row r="2609" spans="2:30">
      <c r="B2609">
        <v>0</v>
      </c>
      <c r="C2609">
        <v>1020</v>
      </c>
      <c r="D2609" t="s">
        <v>693</v>
      </c>
      <c r="E2609">
        <v>14084432</v>
      </c>
      <c r="F2609" t="s">
        <v>2697</v>
      </c>
      <c r="G2609" t="s">
        <v>52</v>
      </c>
      <c r="H2609" t="s">
        <v>32</v>
      </c>
      <c r="I2609" t="s">
        <v>695</v>
      </c>
      <c r="J2609" t="s">
        <v>45</v>
      </c>
      <c r="K2609" t="s">
        <v>35</v>
      </c>
      <c r="L2609" t="s">
        <v>175</v>
      </c>
      <c r="M2609" t="s">
        <v>69</v>
      </c>
      <c r="N2609">
        <v>0</v>
      </c>
      <c r="O2609">
        <v>0</v>
      </c>
      <c r="P2609">
        <v>0</v>
      </c>
      <c r="Q2609">
        <v>1</v>
      </c>
      <c r="R2609">
        <v>0</v>
      </c>
      <c r="S2609" t="str">
        <f t="shared" si="200"/>
        <v>PZ: Alta Crit.</v>
      </c>
      <c r="T2609">
        <f t="shared" si="201"/>
        <v>0</v>
      </c>
      <c r="U2609">
        <f t="shared" si="202"/>
        <v>0</v>
      </c>
      <c r="V2609">
        <f t="shared" si="203"/>
        <v>0</v>
      </c>
      <c r="W2609">
        <f t="shared" si="204"/>
        <v>1</v>
      </c>
      <c r="X2609">
        <v>1</v>
      </c>
      <c r="Y2609" s="2">
        <v>45768</v>
      </c>
      <c r="Z2609" s="3" t="s">
        <v>70</v>
      </c>
      <c r="AA2609" t="s">
        <v>39</v>
      </c>
      <c r="AB2609" t="s">
        <v>40</v>
      </c>
      <c r="AC2609" t="s">
        <v>40</v>
      </c>
      <c r="AD2609" t="s">
        <v>696</v>
      </c>
    </row>
    <row r="2610" spans="2:30">
      <c r="B2610">
        <v>0</v>
      </c>
      <c r="C2610">
        <v>1020</v>
      </c>
      <c r="D2610" t="s">
        <v>693</v>
      </c>
      <c r="E2610">
        <v>14084434</v>
      </c>
      <c r="F2610" t="s">
        <v>2698</v>
      </c>
      <c r="G2610" t="s">
        <v>52</v>
      </c>
      <c r="H2610" t="s">
        <v>32</v>
      </c>
      <c r="I2610" t="s">
        <v>695</v>
      </c>
      <c r="J2610" t="s">
        <v>45</v>
      </c>
      <c r="K2610" t="s">
        <v>35</v>
      </c>
      <c r="L2610" t="s">
        <v>175</v>
      </c>
      <c r="M2610" t="s">
        <v>69</v>
      </c>
      <c r="N2610">
        <v>0</v>
      </c>
      <c r="O2610">
        <v>0</v>
      </c>
      <c r="P2610">
        <v>0</v>
      </c>
      <c r="Q2610">
        <v>1</v>
      </c>
      <c r="R2610">
        <v>0</v>
      </c>
      <c r="S2610" t="str">
        <f t="shared" si="200"/>
        <v>PZ: Alta Crit.</v>
      </c>
      <c r="T2610">
        <f t="shared" si="201"/>
        <v>0</v>
      </c>
      <c r="U2610">
        <f t="shared" si="202"/>
        <v>0</v>
      </c>
      <c r="V2610">
        <f t="shared" si="203"/>
        <v>0</v>
      </c>
      <c r="W2610">
        <f t="shared" si="204"/>
        <v>1</v>
      </c>
      <c r="X2610">
        <v>1</v>
      </c>
      <c r="Y2610" s="2">
        <v>45768</v>
      </c>
      <c r="Z2610" s="3" t="s">
        <v>70</v>
      </c>
      <c r="AA2610" t="s">
        <v>39</v>
      </c>
      <c r="AB2610" t="s">
        <v>40</v>
      </c>
      <c r="AC2610" t="s">
        <v>40</v>
      </c>
      <c r="AD2610" t="s">
        <v>696</v>
      </c>
    </row>
    <row r="2611" spans="2:30">
      <c r="B2611">
        <v>0</v>
      </c>
      <c r="C2611">
        <v>1020</v>
      </c>
      <c r="D2611" t="s">
        <v>693</v>
      </c>
      <c r="E2611">
        <v>14084651</v>
      </c>
      <c r="F2611" t="s">
        <v>2699</v>
      </c>
      <c r="G2611" t="s">
        <v>52</v>
      </c>
      <c r="H2611" t="s">
        <v>32</v>
      </c>
      <c r="I2611" t="s">
        <v>695</v>
      </c>
      <c r="J2611" t="s">
        <v>45</v>
      </c>
      <c r="K2611" t="s">
        <v>252</v>
      </c>
      <c r="L2611" t="s">
        <v>175</v>
      </c>
      <c r="M2611" t="s">
        <v>69</v>
      </c>
      <c r="N2611">
        <v>0</v>
      </c>
      <c r="O2611">
        <v>0</v>
      </c>
      <c r="P2611">
        <v>0</v>
      </c>
      <c r="Q2611">
        <v>18</v>
      </c>
      <c r="R2611">
        <v>0</v>
      </c>
      <c r="S2611" t="str">
        <f t="shared" si="200"/>
        <v>PZ: Alta Crit.</v>
      </c>
      <c r="T2611">
        <f t="shared" si="201"/>
        <v>0</v>
      </c>
      <c r="U2611">
        <f t="shared" si="202"/>
        <v>0</v>
      </c>
      <c r="V2611">
        <f t="shared" si="203"/>
        <v>0</v>
      </c>
      <c r="W2611">
        <f t="shared" si="204"/>
        <v>1</v>
      </c>
      <c r="X2611">
        <v>1</v>
      </c>
      <c r="Y2611" s="2">
        <v>45768</v>
      </c>
      <c r="Z2611" s="3" t="s">
        <v>70</v>
      </c>
      <c r="AA2611" t="s">
        <v>39</v>
      </c>
      <c r="AB2611" t="s">
        <v>40</v>
      </c>
      <c r="AC2611" t="s">
        <v>40</v>
      </c>
      <c r="AD2611" t="s">
        <v>696</v>
      </c>
    </row>
    <row r="2612" spans="2:30">
      <c r="B2612">
        <v>0</v>
      </c>
      <c r="C2612">
        <v>1020</v>
      </c>
      <c r="D2612" t="s">
        <v>388</v>
      </c>
      <c r="E2612">
        <v>14086544</v>
      </c>
      <c r="F2612" t="s">
        <v>2700</v>
      </c>
      <c r="G2612" t="s">
        <v>43</v>
      </c>
      <c r="H2612" t="s">
        <v>32</v>
      </c>
      <c r="I2612" t="s">
        <v>390</v>
      </c>
      <c r="J2612" t="s">
        <v>45</v>
      </c>
      <c r="K2612" t="s">
        <v>35</v>
      </c>
      <c r="L2612" t="s">
        <v>175</v>
      </c>
      <c r="M2612" t="s">
        <v>117</v>
      </c>
      <c r="N2612">
        <v>0</v>
      </c>
      <c r="O2612">
        <v>0</v>
      </c>
      <c r="P2612">
        <v>1</v>
      </c>
      <c r="Q2612">
        <v>1</v>
      </c>
      <c r="R2612">
        <v>0</v>
      </c>
      <c r="S2612" t="str">
        <f t="shared" si="200"/>
        <v>PY: Media Crit.</v>
      </c>
      <c r="T2612">
        <f t="shared" si="201"/>
        <v>0</v>
      </c>
      <c r="U2612">
        <f t="shared" si="202"/>
        <v>1</v>
      </c>
      <c r="V2612">
        <f t="shared" si="203"/>
        <v>0</v>
      </c>
      <c r="W2612">
        <f t="shared" si="204"/>
        <v>1</v>
      </c>
      <c r="X2612">
        <v>1</v>
      </c>
      <c r="Y2612" s="2">
        <v>45768</v>
      </c>
      <c r="Z2612" s="3" t="s">
        <v>118</v>
      </c>
      <c r="AA2612" t="s">
        <v>39</v>
      </c>
      <c r="AB2612" t="s">
        <v>40</v>
      </c>
      <c r="AC2612" t="s">
        <v>40</v>
      </c>
      <c r="AD2612" t="s">
        <v>391</v>
      </c>
    </row>
    <row r="2613" spans="2:30">
      <c r="B2613">
        <v>0</v>
      </c>
      <c r="C2613">
        <v>1020</v>
      </c>
      <c r="D2613" t="s">
        <v>388</v>
      </c>
      <c r="E2613">
        <v>14086545</v>
      </c>
      <c r="F2613" t="s">
        <v>2701</v>
      </c>
      <c r="G2613" t="s">
        <v>43</v>
      </c>
      <c r="H2613" t="s">
        <v>32</v>
      </c>
      <c r="I2613" t="s">
        <v>390</v>
      </c>
      <c r="J2613" t="s">
        <v>45</v>
      </c>
      <c r="K2613" t="s">
        <v>35</v>
      </c>
      <c r="L2613" t="s">
        <v>175</v>
      </c>
      <c r="M2613" t="s">
        <v>117</v>
      </c>
      <c r="N2613">
        <v>0</v>
      </c>
      <c r="O2613">
        <v>0</v>
      </c>
      <c r="P2613">
        <v>2</v>
      </c>
      <c r="Q2613">
        <v>2</v>
      </c>
      <c r="R2613">
        <v>0</v>
      </c>
      <c r="S2613" t="str">
        <f t="shared" si="200"/>
        <v>PY: Media Crit.</v>
      </c>
      <c r="T2613">
        <f t="shared" si="201"/>
        <v>0</v>
      </c>
      <c r="U2613">
        <f t="shared" si="202"/>
        <v>1</v>
      </c>
      <c r="V2613">
        <f t="shared" si="203"/>
        <v>0</v>
      </c>
      <c r="W2613">
        <f t="shared" si="204"/>
        <v>1</v>
      </c>
      <c r="X2613">
        <v>1</v>
      </c>
      <c r="Y2613" s="2">
        <v>45768</v>
      </c>
      <c r="Z2613" s="3" t="s">
        <v>118</v>
      </c>
      <c r="AA2613" t="s">
        <v>39</v>
      </c>
      <c r="AB2613" t="s">
        <v>40</v>
      </c>
      <c r="AC2613" t="s">
        <v>40</v>
      </c>
      <c r="AD2613" t="s">
        <v>391</v>
      </c>
    </row>
    <row r="2614" spans="2:30">
      <c r="B2614">
        <v>0</v>
      </c>
      <c r="C2614">
        <v>1020</v>
      </c>
      <c r="D2614" t="s">
        <v>388</v>
      </c>
      <c r="E2614">
        <v>14086546</v>
      </c>
      <c r="F2614" t="s">
        <v>2702</v>
      </c>
      <c r="G2614" t="s">
        <v>43</v>
      </c>
      <c r="H2614" t="s">
        <v>32</v>
      </c>
      <c r="I2614" t="s">
        <v>390</v>
      </c>
      <c r="J2614" t="s">
        <v>45</v>
      </c>
      <c r="K2614" t="s">
        <v>35</v>
      </c>
      <c r="L2614" t="s">
        <v>175</v>
      </c>
      <c r="M2614" t="s">
        <v>117</v>
      </c>
      <c r="N2614">
        <v>0</v>
      </c>
      <c r="O2614">
        <v>0</v>
      </c>
      <c r="P2614">
        <v>2</v>
      </c>
      <c r="Q2614">
        <v>2</v>
      </c>
      <c r="R2614">
        <v>0</v>
      </c>
      <c r="S2614" t="str">
        <f t="shared" si="200"/>
        <v>PY: Media Crit.</v>
      </c>
      <c r="T2614">
        <f t="shared" si="201"/>
        <v>0</v>
      </c>
      <c r="U2614">
        <f t="shared" si="202"/>
        <v>1</v>
      </c>
      <c r="V2614">
        <f t="shared" si="203"/>
        <v>0</v>
      </c>
      <c r="W2614">
        <f t="shared" si="204"/>
        <v>1</v>
      </c>
      <c r="X2614">
        <v>1</v>
      </c>
      <c r="Y2614" s="2">
        <v>45768</v>
      </c>
      <c r="Z2614" s="3" t="s">
        <v>118</v>
      </c>
      <c r="AA2614" t="s">
        <v>39</v>
      </c>
      <c r="AB2614" t="s">
        <v>40</v>
      </c>
      <c r="AC2614" t="s">
        <v>40</v>
      </c>
      <c r="AD2614" t="s">
        <v>391</v>
      </c>
    </row>
    <row r="2615" spans="2:30">
      <c r="B2615">
        <v>0</v>
      </c>
      <c r="C2615">
        <v>1020</v>
      </c>
      <c r="D2615" t="s">
        <v>388</v>
      </c>
      <c r="E2615">
        <v>14086547</v>
      </c>
      <c r="F2615" t="s">
        <v>2703</v>
      </c>
      <c r="G2615" t="s">
        <v>43</v>
      </c>
      <c r="H2615" t="s">
        <v>32</v>
      </c>
      <c r="I2615" t="s">
        <v>390</v>
      </c>
      <c r="J2615" t="s">
        <v>45</v>
      </c>
      <c r="K2615" t="s">
        <v>35</v>
      </c>
      <c r="L2615" t="s">
        <v>175</v>
      </c>
      <c r="M2615" t="s">
        <v>117</v>
      </c>
      <c r="N2615">
        <v>0</v>
      </c>
      <c r="O2615">
        <v>0</v>
      </c>
      <c r="P2615">
        <v>2</v>
      </c>
      <c r="Q2615">
        <v>2</v>
      </c>
      <c r="R2615">
        <v>0</v>
      </c>
      <c r="S2615" t="str">
        <f t="shared" si="200"/>
        <v>PY: Media Crit.</v>
      </c>
      <c r="T2615">
        <f t="shared" si="201"/>
        <v>0</v>
      </c>
      <c r="U2615">
        <f t="shared" si="202"/>
        <v>1</v>
      </c>
      <c r="V2615">
        <f t="shared" si="203"/>
        <v>0</v>
      </c>
      <c r="W2615">
        <f t="shared" si="204"/>
        <v>1</v>
      </c>
      <c r="X2615">
        <v>1</v>
      </c>
      <c r="Y2615" s="2">
        <v>45768</v>
      </c>
      <c r="Z2615" s="3" t="s">
        <v>118</v>
      </c>
      <c r="AA2615" t="s">
        <v>39</v>
      </c>
      <c r="AB2615" t="s">
        <v>40</v>
      </c>
      <c r="AC2615" t="s">
        <v>40</v>
      </c>
      <c r="AD2615" t="s">
        <v>391</v>
      </c>
    </row>
    <row r="2616" spans="2:30">
      <c r="B2616">
        <v>0</v>
      </c>
      <c r="C2616">
        <v>1020</v>
      </c>
      <c r="D2616" t="s">
        <v>388</v>
      </c>
      <c r="E2616">
        <v>14086960</v>
      </c>
      <c r="F2616" t="s">
        <v>2702</v>
      </c>
      <c r="G2616" t="s">
        <v>43</v>
      </c>
      <c r="H2616" t="s">
        <v>32</v>
      </c>
      <c r="I2616" t="s">
        <v>390</v>
      </c>
      <c r="J2616" t="s">
        <v>45</v>
      </c>
      <c r="K2616" t="s">
        <v>35</v>
      </c>
      <c r="L2616" t="s">
        <v>175</v>
      </c>
      <c r="M2616" t="s">
        <v>117</v>
      </c>
      <c r="N2616">
        <v>0</v>
      </c>
      <c r="O2616">
        <v>0</v>
      </c>
      <c r="P2616">
        <v>2</v>
      </c>
      <c r="Q2616">
        <v>2</v>
      </c>
      <c r="R2616">
        <v>0</v>
      </c>
      <c r="S2616" t="str">
        <f t="shared" si="200"/>
        <v>PY: Media Crit.</v>
      </c>
      <c r="T2616">
        <f t="shared" si="201"/>
        <v>0</v>
      </c>
      <c r="U2616">
        <f t="shared" si="202"/>
        <v>1</v>
      </c>
      <c r="V2616">
        <f t="shared" si="203"/>
        <v>0</v>
      </c>
      <c r="W2616">
        <f t="shared" si="204"/>
        <v>1</v>
      </c>
      <c r="X2616">
        <v>1</v>
      </c>
      <c r="Y2616" s="2">
        <v>45768</v>
      </c>
      <c r="Z2616" s="3" t="s">
        <v>118</v>
      </c>
      <c r="AA2616" t="s">
        <v>39</v>
      </c>
      <c r="AB2616" t="s">
        <v>40</v>
      </c>
      <c r="AC2616" t="s">
        <v>40</v>
      </c>
      <c r="AD2616" t="s">
        <v>391</v>
      </c>
    </row>
    <row r="2617" spans="2:30">
      <c r="B2617">
        <v>0</v>
      </c>
      <c r="C2617">
        <v>1020</v>
      </c>
      <c r="D2617" t="s">
        <v>388</v>
      </c>
      <c r="E2617">
        <v>14086962</v>
      </c>
      <c r="F2617" t="s">
        <v>2703</v>
      </c>
      <c r="G2617" t="s">
        <v>43</v>
      </c>
      <c r="H2617" t="s">
        <v>32</v>
      </c>
      <c r="I2617" t="s">
        <v>390</v>
      </c>
      <c r="J2617" t="s">
        <v>45</v>
      </c>
      <c r="K2617" t="s">
        <v>35</v>
      </c>
      <c r="L2617" t="s">
        <v>175</v>
      </c>
      <c r="M2617" t="s">
        <v>117</v>
      </c>
      <c r="N2617">
        <v>0</v>
      </c>
      <c r="O2617">
        <v>0</v>
      </c>
      <c r="P2617">
        <v>2</v>
      </c>
      <c r="Q2617">
        <v>2</v>
      </c>
      <c r="R2617">
        <v>0</v>
      </c>
      <c r="S2617" t="str">
        <f t="shared" si="200"/>
        <v>PY: Media Crit.</v>
      </c>
      <c r="T2617">
        <f t="shared" si="201"/>
        <v>0</v>
      </c>
      <c r="U2617">
        <f t="shared" si="202"/>
        <v>1</v>
      </c>
      <c r="V2617">
        <f t="shared" si="203"/>
        <v>0</v>
      </c>
      <c r="W2617">
        <f t="shared" si="204"/>
        <v>1</v>
      </c>
      <c r="X2617">
        <v>1</v>
      </c>
      <c r="Y2617" s="2">
        <v>45768</v>
      </c>
      <c r="Z2617" s="3" t="s">
        <v>118</v>
      </c>
      <c r="AA2617" t="s">
        <v>39</v>
      </c>
      <c r="AB2617" t="s">
        <v>40</v>
      </c>
      <c r="AC2617" t="s">
        <v>40</v>
      </c>
      <c r="AD2617" t="s">
        <v>391</v>
      </c>
    </row>
    <row r="2618" spans="2:30">
      <c r="B2618">
        <v>0</v>
      </c>
      <c r="C2618">
        <v>1020</v>
      </c>
      <c r="D2618" t="s">
        <v>388</v>
      </c>
      <c r="E2618">
        <v>14086969</v>
      </c>
      <c r="F2618" t="s">
        <v>2704</v>
      </c>
      <c r="G2618" t="s">
        <v>43</v>
      </c>
      <c r="H2618" t="s">
        <v>32</v>
      </c>
      <c r="I2618" t="s">
        <v>390</v>
      </c>
      <c r="J2618" t="s">
        <v>45</v>
      </c>
      <c r="K2618" t="s">
        <v>35</v>
      </c>
      <c r="L2618" t="s">
        <v>175</v>
      </c>
      <c r="M2618" t="s">
        <v>117</v>
      </c>
      <c r="N2618">
        <v>0</v>
      </c>
      <c r="O2618">
        <v>0</v>
      </c>
      <c r="P2618">
        <v>1</v>
      </c>
      <c r="Q2618">
        <v>1</v>
      </c>
      <c r="R2618">
        <v>0</v>
      </c>
      <c r="S2618" t="str">
        <f t="shared" si="200"/>
        <v>PY: Media Crit.</v>
      </c>
      <c r="T2618">
        <f t="shared" si="201"/>
        <v>0</v>
      </c>
      <c r="U2618">
        <f t="shared" si="202"/>
        <v>1</v>
      </c>
      <c r="V2618">
        <f t="shared" si="203"/>
        <v>0</v>
      </c>
      <c r="W2618">
        <f t="shared" si="204"/>
        <v>1</v>
      </c>
      <c r="X2618">
        <v>1</v>
      </c>
      <c r="Y2618" s="2">
        <v>45768</v>
      </c>
      <c r="Z2618" s="3" t="s">
        <v>118</v>
      </c>
      <c r="AA2618" t="s">
        <v>39</v>
      </c>
      <c r="AB2618" t="s">
        <v>40</v>
      </c>
      <c r="AC2618" t="s">
        <v>40</v>
      </c>
      <c r="AD2618" t="s">
        <v>391</v>
      </c>
    </row>
    <row r="2619" spans="2:30">
      <c r="B2619">
        <v>0</v>
      </c>
      <c r="C2619">
        <v>1020</v>
      </c>
      <c r="D2619" t="s">
        <v>388</v>
      </c>
      <c r="E2619">
        <v>14087005</v>
      </c>
      <c r="F2619" t="s">
        <v>2705</v>
      </c>
      <c r="G2619" t="s">
        <v>52</v>
      </c>
      <c r="H2619" t="s">
        <v>44</v>
      </c>
      <c r="I2619" t="s">
        <v>390</v>
      </c>
      <c r="J2619" t="s">
        <v>45</v>
      </c>
      <c r="K2619" t="s">
        <v>35</v>
      </c>
      <c r="L2619" t="s">
        <v>175</v>
      </c>
      <c r="M2619" t="s">
        <v>37</v>
      </c>
      <c r="N2619">
        <v>0</v>
      </c>
      <c r="O2619">
        <v>0</v>
      </c>
      <c r="P2619">
        <v>1</v>
      </c>
      <c r="Q2619">
        <v>1</v>
      </c>
      <c r="R2619">
        <v>0</v>
      </c>
      <c r="S2619" t="str">
        <f t="shared" si="200"/>
        <v>PZ: Alta Crit.</v>
      </c>
      <c r="T2619">
        <f t="shared" si="201"/>
        <v>0</v>
      </c>
      <c r="U2619">
        <f t="shared" si="202"/>
        <v>1</v>
      </c>
      <c r="V2619">
        <f t="shared" si="203"/>
        <v>0</v>
      </c>
      <c r="W2619">
        <f t="shared" si="204"/>
        <v>1</v>
      </c>
      <c r="X2619">
        <v>1</v>
      </c>
      <c r="Y2619" s="2">
        <v>45768</v>
      </c>
      <c r="Z2619" s="3" t="s">
        <v>38</v>
      </c>
      <c r="AA2619" t="s">
        <v>39</v>
      </c>
      <c r="AB2619" t="s">
        <v>40</v>
      </c>
      <c r="AC2619" t="s">
        <v>40</v>
      </c>
      <c r="AD2619" t="s">
        <v>391</v>
      </c>
    </row>
    <row r="2620" spans="2:30">
      <c r="B2620">
        <v>0</v>
      </c>
      <c r="C2620">
        <v>1020</v>
      </c>
      <c r="D2620" t="s">
        <v>693</v>
      </c>
      <c r="E2620">
        <v>14087737</v>
      </c>
      <c r="F2620" t="s">
        <v>2706</v>
      </c>
      <c r="G2620" t="s">
        <v>43</v>
      </c>
      <c r="H2620" t="s">
        <v>32</v>
      </c>
      <c r="I2620" t="s">
        <v>695</v>
      </c>
      <c r="J2620" t="s">
        <v>45</v>
      </c>
      <c r="K2620" t="s">
        <v>35</v>
      </c>
      <c r="L2620" t="s">
        <v>175</v>
      </c>
      <c r="M2620" t="s">
        <v>37</v>
      </c>
      <c r="N2620">
        <v>0</v>
      </c>
      <c r="O2620">
        <v>0</v>
      </c>
      <c r="P2620">
        <v>0</v>
      </c>
      <c r="Q2620">
        <v>2</v>
      </c>
      <c r="R2620">
        <v>0</v>
      </c>
      <c r="S2620" t="str">
        <f t="shared" si="200"/>
        <v>PY: Media Crit.</v>
      </c>
      <c r="T2620">
        <f t="shared" si="201"/>
        <v>0</v>
      </c>
      <c r="U2620">
        <f t="shared" si="202"/>
        <v>0</v>
      </c>
      <c r="V2620">
        <f t="shared" si="203"/>
        <v>0</v>
      </c>
      <c r="W2620">
        <f t="shared" si="204"/>
        <v>1</v>
      </c>
      <c r="X2620">
        <v>1</v>
      </c>
      <c r="Y2620" s="2">
        <v>45768</v>
      </c>
      <c r="Z2620" s="3" t="s">
        <v>38</v>
      </c>
      <c r="AA2620" t="s">
        <v>39</v>
      </c>
      <c r="AB2620" t="s">
        <v>40</v>
      </c>
      <c r="AC2620" t="s">
        <v>40</v>
      </c>
      <c r="AD2620" t="s">
        <v>696</v>
      </c>
    </row>
    <row r="2621" spans="2:30">
      <c r="B2621">
        <v>0</v>
      </c>
      <c r="C2621">
        <v>1020</v>
      </c>
      <c r="D2621" t="s">
        <v>388</v>
      </c>
      <c r="E2621">
        <v>14089295</v>
      </c>
      <c r="F2621" t="s">
        <v>2707</v>
      </c>
      <c r="G2621" t="s">
        <v>52</v>
      </c>
      <c r="H2621" t="s">
        <v>32</v>
      </c>
      <c r="I2621" t="s">
        <v>390</v>
      </c>
      <c r="J2621" t="s">
        <v>45</v>
      </c>
      <c r="K2621" t="s">
        <v>35</v>
      </c>
      <c r="L2621" t="s">
        <v>175</v>
      </c>
      <c r="M2621" t="s">
        <v>69</v>
      </c>
      <c r="N2621">
        <v>0</v>
      </c>
      <c r="O2621">
        <v>0</v>
      </c>
      <c r="P2621">
        <v>1</v>
      </c>
      <c r="Q2621">
        <v>1</v>
      </c>
      <c r="R2621">
        <v>0</v>
      </c>
      <c r="S2621" t="str">
        <f t="shared" si="200"/>
        <v>PZ: Alta Crit.</v>
      </c>
      <c r="T2621">
        <f t="shared" si="201"/>
        <v>0</v>
      </c>
      <c r="U2621">
        <f t="shared" si="202"/>
        <v>1</v>
      </c>
      <c r="V2621">
        <f t="shared" si="203"/>
        <v>0</v>
      </c>
      <c r="W2621">
        <f t="shared" si="204"/>
        <v>1</v>
      </c>
      <c r="X2621">
        <v>1</v>
      </c>
      <c r="Y2621" s="2">
        <v>45768</v>
      </c>
      <c r="Z2621" s="3" t="s">
        <v>70</v>
      </c>
      <c r="AA2621" t="s">
        <v>39</v>
      </c>
      <c r="AB2621" t="s">
        <v>40</v>
      </c>
      <c r="AC2621" t="s">
        <v>40</v>
      </c>
      <c r="AD2621" t="s">
        <v>391</v>
      </c>
    </row>
    <row r="2622" spans="2:30">
      <c r="B2622">
        <v>0</v>
      </c>
      <c r="C2622">
        <v>1020</v>
      </c>
      <c r="D2622" t="s">
        <v>384</v>
      </c>
      <c r="E2622">
        <v>14091670</v>
      </c>
      <c r="F2622" t="s">
        <v>2708</v>
      </c>
      <c r="G2622" t="s">
        <v>52</v>
      </c>
      <c r="H2622" t="s">
        <v>44</v>
      </c>
      <c r="I2622" t="s">
        <v>386</v>
      </c>
      <c r="J2622" t="s">
        <v>45</v>
      </c>
      <c r="K2622" t="s">
        <v>419</v>
      </c>
      <c r="L2622" t="s">
        <v>175</v>
      </c>
      <c r="M2622" t="s">
        <v>88</v>
      </c>
      <c r="N2622">
        <v>0</v>
      </c>
      <c r="O2622">
        <v>0</v>
      </c>
      <c r="P2622">
        <v>0</v>
      </c>
      <c r="Q2622">
        <v>34</v>
      </c>
      <c r="R2622">
        <v>0</v>
      </c>
      <c r="S2622" t="str">
        <f t="shared" si="200"/>
        <v>PZ: Alta Crit.</v>
      </c>
      <c r="T2622">
        <f t="shared" si="201"/>
        <v>0</v>
      </c>
      <c r="U2622">
        <f t="shared" si="202"/>
        <v>0</v>
      </c>
      <c r="V2622">
        <f t="shared" si="203"/>
        <v>0</v>
      </c>
      <c r="W2622">
        <f t="shared" si="204"/>
        <v>1</v>
      </c>
      <c r="X2622">
        <v>1</v>
      </c>
      <c r="Y2622" s="2">
        <v>45768</v>
      </c>
      <c r="Z2622" s="3" t="s">
        <v>89</v>
      </c>
      <c r="AA2622" t="s">
        <v>39</v>
      </c>
      <c r="AB2622" t="s">
        <v>40</v>
      </c>
      <c r="AC2622" t="s">
        <v>40</v>
      </c>
      <c r="AD2622" t="s">
        <v>387</v>
      </c>
    </row>
    <row r="2623" spans="2:30">
      <c r="B2623">
        <v>0</v>
      </c>
      <c r="C2623">
        <v>1020</v>
      </c>
      <c r="D2623" t="s">
        <v>693</v>
      </c>
      <c r="E2623">
        <v>14092590</v>
      </c>
      <c r="F2623" t="s">
        <v>2709</v>
      </c>
      <c r="G2623" t="s">
        <v>52</v>
      </c>
      <c r="H2623" t="s">
        <v>32</v>
      </c>
      <c r="I2623" t="s">
        <v>695</v>
      </c>
      <c r="J2623" t="s">
        <v>45</v>
      </c>
      <c r="K2623" t="s">
        <v>35</v>
      </c>
      <c r="L2623" t="s">
        <v>175</v>
      </c>
      <c r="M2623" t="s">
        <v>117</v>
      </c>
      <c r="N2623">
        <v>0</v>
      </c>
      <c r="O2623">
        <v>0</v>
      </c>
      <c r="P2623">
        <v>0</v>
      </c>
      <c r="Q2623">
        <v>2</v>
      </c>
      <c r="R2623">
        <v>0</v>
      </c>
      <c r="S2623" t="str">
        <f t="shared" si="200"/>
        <v>PZ: Alta Crit.</v>
      </c>
      <c r="T2623">
        <f t="shared" si="201"/>
        <v>0</v>
      </c>
      <c r="U2623">
        <f t="shared" si="202"/>
        <v>0</v>
      </c>
      <c r="V2623">
        <f t="shared" si="203"/>
        <v>0</v>
      </c>
      <c r="W2623">
        <f t="shared" si="204"/>
        <v>1</v>
      </c>
      <c r="X2623">
        <v>1</v>
      </c>
      <c r="Y2623" s="2">
        <v>45768</v>
      </c>
      <c r="Z2623" s="3" t="s">
        <v>118</v>
      </c>
      <c r="AA2623" t="s">
        <v>39</v>
      </c>
      <c r="AB2623" t="s">
        <v>40</v>
      </c>
      <c r="AC2623" t="s">
        <v>40</v>
      </c>
      <c r="AD2623" t="s">
        <v>696</v>
      </c>
    </row>
    <row r="2624" spans="2:30">
      <c r="B2624">
        <v>0</v>
      </c>
      <c r="C2624">
        <v>1020</v>
      </c>
      <c r="D2624" t="s">
        <v>384</v>
      </c>
      <c r="E2624">
        <v>14092599</v>
      </c>
      <c r="F2624" t="s">
        <v>2710</v>
      </c>
      <c r="G2624" t="s">
        <v>52</v>
      </c>
      <c r="H2624" t="s">
        <v>32</v>
      </c>
      <c r="I2624" t="s">
        <v>386</v>
      </c>
      <c r="J2624" t="s">
        <v>45</v>
      </c>
      <c r="K2624" t="s">
        <v>35</v>
      </c>
      <c r="L2624" t="s">
        <v>175</v>
      </c>
      <c r="M2624" t="s">
        <v>117</v>
      </c>
      <c r="N2624">
        <v>0</v>
      </c>
      <c r="O2624">
        <v>0</v>
      </c>
      <c r="P2624">
        <v>0</v>
      </c>
      <c r="Q2624" s="8">
        <v>23000</v>
      </c>
      <c r="R2624">
        <v>0</v>
      </c>
      <c r="S2624" t="str">
        <f t="shared" si="200"/>
        <v>PZ: Alta Crit.</v>
      </c>
      <c r="T2624">
        <f t="shared" si="201"/>
        <v>0</v>
      </c>
      <c r="U2624">
        <f t="shared" si="202"/>
        <v>0</v>
      </c>
      <c r="V2624">
        <f t="shared" si="203"/>
        <v>0</v>
      </c>
      <c r="W2624">
        <f t="shared" si="204"/>
        <v>1</v>
      </c>
      <c r="X2624">
        <v>1</v>
      </c>
      <c r="Y2624" s="2">
        <v>45768</v>
      </c>
      <c r="Z2624" s="3" t="s">
        <v>118</v>
      </c>
      <c r="AA2624" t="s">
        <v>39</v>
      </c>
      <c r="AB2624" t="s">
        <v>40</v>
      </c>
      <c r="AC2624" t="s">
        <v>40</v>
      </c>
      <c r="AD2624" t="s">
        <v>387</v>
      </c>
    </row>
    <row r="2625" spans="2:30">
      <c r="B2625">
        <v>0</v>
      </c>
      <c r="C2625">
        <v>1020</v>
      </c>
      <c r="D2625" t="s">
        <v>384</v>
      </c>
      <c r="E2625">
        <v>14097401</v>
      </c>
      <c r="F2625" t="s">
        <v>2711</v>
      </c>
      <c r="G2625" t="s">
        <v>43</v>
      </c>
      <c r="H2625" t="s">
        <v>32</v>
      </c>
      <c r="I2625" t="s">
        <v>386</v>
      </c>
      <c r="J2625" t="s">
        <v>45</v>
      </c>
      <c r="K2625" t="s">
        <v>35</v>
      </c>
      <c r="L2625" t="s">
        <v>175</v>
      </c>
      <c r="M2625" t="s">
        <v>69</v>
      </c>
      <c r="N2625">
        <v>0</v>
      </c>
      <c r="O2625">
        <v>0</v>
      </c>
      <c r="P2625">
        <v>0</v>
      </c>
      <c r="Q2625">
        <v>1</v>
      </c>
      <c r="R2625">
        <v>0</v>
      </c>
      <c r="S2625" t="str">
        <f t="shared" si="200"/>
        <v>PY: Media Crit.</v>
      </c>
      <c r="T2625">
        <f t="shared" si="201"/>
        <v>0</v>
      </c>
      <c r="U2625">
        <f t="shared" si="202"/>
        <v>0</v>
      </c>
      <c r="V2625">
        <f t="shared" si="203"/>
        <v>0</v>
      </c>
      <c r="W2625">
        <f t="shared" si="204"/>
        <v>1</v>
      </c>
      <c r="X2625">
        <v>1</v>
      </c>
      <c r="Y2625" s="2">
        <v>45768</v>
      </c>
      <c r="Z2625" s="3" t="s">
        <v>70</v>
      </c>
      <c r="AA2625" t="s">
        <v>39</v>
      </c>
      <c r="AB2625" t="s">
        <v>40</v>
      </c>
      <c r="AC2625" t="s">
        <v>40</v>
      </c>
      <c r="AD2625" t="s">
        <v>387</v>
      </c>
    </row>
    <row r="2626" spans="2:30">
      <c r="B2626">
        <v>0</v>
      </c>
      <c r="C2626">
        <v>1020</v>
      </c>
      <c r="D2626" t="s">
        <v>693</v>
      </c>
      <c r="E2626">
        <v>14097402</v>
      </c>
      <c r="F2626" t="s">
        <v>2712</v>
      </c>
      <c r="G2626" t="s">
        <v>43</v>
      </c>
      <c r="H2626" t="s">
        <v>32</v>
      </c>
      <c r="I2626" t="s">
        <v>695</v>
      </c>
      <c r="J2626" t="s">
        <v>45</v>
      </c>
      <c r="K2626" t="s">
        <v>35</v>
      </c>
      <c r="L2626" t="s">
        <v>175</v>
      </c>
      <c r="M2626" t="s">
        <v>69</v>
      </c>
      <c r="N2626">
        <v>0</v>
      </c>
      <c r="O2626">
        <v>0</v>
      </c>
      <c r="P2626">
        <v>0</v>
      </c>
      <c r="Q2626">
        <v>1</v>
      </c>
      <c r="R2626">
        <v>0</v>
      </c>
      <c r="S2626" t="str">
        <f t="shared" ref="S2626:S2689" si="205">+IF(G2626="PZ", "PZ: Alta Crit.",IF(G2626="PY","PY: Media Crit.", "PX: Baja Crit."))</f>
        <v>PY: Media Crit.</v>
      </c>
      <c r="T2626">
        <f t="shared" ref="T2626:T2689" si="206">+IF(Q2626=0,1,0)</f>
        <v>0</v>
      </c>
      <c r="U2626">
        <f t="shared" ref="U2626:U2689" si="207">+IF(AND(Q2626&lt;=P2626,Q2626&gt;0),1,0)</f>
        <v>0</v>
      </c>
      <c r="V2626">
        <f t="shared" ref="V2626:V2689" si="208">+IF(AND(Q2626&gt;P2626,Q2626&lt;=N2626),1,0)</f>
        <v>0</v>
      </c>
      <c r="W2626">
        <f t="shared" ref="W2626:W2689" si="209">+IF(Q2626&gt;N2626,1,0)</f>
        <v>1</v>
      </c>
      <c r="X2626">
        <v>1</v>
      </c>
      <c r="Y2626" s="2">
        <v>45768</v>
      </c>
      <c r="Z2626" s="3" t="s">
        <v>70</v>
      </c>
      <c r="AA2626" t="s">
        <v>39</v>
      </c>
      <c r="AB2626" t="s">
        <v>40</v>
      </c>
      <c r="AC2626" t="s">
        <v>40</v>
      </c>
      <c r="AD2626" t="s">
        <v>696</v>
      </c>
    </row>
    <row r="2627" spans="2:30">
      <c r="B2627">
        <v>0</v>
      </c>
      <c r="C2627">
        <v>1020</v>
      </c>
      <c r="D2627" t="s">
        <v>693</v>
      </c>
      <c r="E2627">
        <v>14097841</v>
      </c>
      <c r="F2627" t="s">
        <v>2713</v>
      </c>
      <c r="G2627" t="s">
        <v>43</v>
      </c>
      <c r="H2627" t="s">
        <v>32</v>
      </c>
      <c r="I2627" t="s">
        <v>695</v>
      </c>
      <c r="J2627" t="s">
        <v>45</v>
      </c>
      <c r="K2627" t="s">
        <v>35</v>
      </c>
      <c r="L2627" t="s">
        <v>175</v>
      </c>
      <c r="M2627" t="s">
        <v>117</v>
      </c>
      <c r="N2627">
        <v>0</v>
      </c>
      <c r="O2627">
        <v>0</v>
      </c>
      <c r="P2627">
        <v>0</v>
      </c>
      <c r="Q2627">
        <v>5</v>
      </c>
      <c r="R2627">
        <v>0</v>
      </c>
      <c r="S2627" t="str">
        <f t="shared" si="205"/>
        <v>PY: Media Crit.</v>
      </c>
      <c r="T2627">
        <f t="shared" si="206"/>
        <v>0</v>
      </c>
      <c r="U2627">
        <f t="shared" si="207"/>
        <v>0</v>
      </c>
      <c r="V2627">
        <f t="shared" si="208"/>
        <v>0</v>
      </c>
      <c r="W2627">
        <f t="shared" si="209"/>
        <v>1</v>
      </c>
      <c r="X2627">
        <v>1</v>
      </c>
      <c r="Y2627" s="2">
        <v>45768</v>
      </c>
      <c r="Z2627" s="3" t="s">
        <v>118</v>
      </c>
      <c r="AA2627" t="s">
        <v>39</v>
      </c>
      <c r="AB2627" t="s">
        <v>40</v>
      </c>
      <c r="AC2627" t="s">
        <v>40</v>
      </c>
      <c r="AD2627" t="s">
        <v>696</v>
      </c>
    </row>
    <row r="2628" spans="2:30">
      <c r="B2628">
        <v>0</v>
      </c>
      <c r="C2628">
        <v>1020</v>
      </c>
      <c r="D2628" t="s">
        <v>693</v>
      </c>
      <c r="E2628">
        <v>14100459</v>
      </c>
      <c r="F2628" t="s">
        <v>2714</v>
      </c>
      <c r="G2628" t="s">
        <v>43</v>
      </c>
      <c r="H2628" t="s">
        <v>32</v>
      </c>
      <c r="I2628" t="s">
        <v>695</v>
      </c>
      <c r="J2628" t="s">
        <v>45</v>
      </c>
      <c r="K2628" t="s">
        <v>35</v>
      </c>
      <c r="L2628" t="s">
        <v>175</v>
      </c>
      <c r="M2628" t="s">
        <v>117</v>
      </c>
      <c r="N2628">
        <v>0</v>
      </c>
      <c r="O2628">
        <v>0</v>
      </c>
      <c r="P2628">
        <v>0</v>
      </c>
      <c r="Q2628">
        <v>0</v>
      </c>
      <c r="R2628">
        <v>0</v>
      </c>
      <c r="S2628" t="str">
        <f t="shared" si="205"/>
        <v>PY: Media Crit.</v>
      </c>
      <c r="T2628">
        <f t="shared" si="206"/>
        <v>1</v>
      </c>
      <c r="U2628">
        <f t="shared" si="207"/>
        <v>0</v>
      </c>
      <c r="V2628">
        <f t="shared" si="208"/>
        <v>0</v>
      </c>
      <c r="W2628">
        <f t="shared" si="209"/>
        <v>0</v>
      </c>
      <c r="X2628">
        <v>1</v>
      </c>
      <c r="Y2628" s="2">
        <v>45768</v>
      </c>
      <c r="Z2628" s="3" t="s">
        <v>118</v>
      </c>
      <c r="AA2628" t="s">
        <v>39</v>
      </c>
      <c r="AB2628" t="s">
        <v>40</v>
      </c>
      <c r="AC2628" t="s">
        <v>40</v>
      </c>
      <c r="AD2628" t="s">
        <v>696</v>
      </c>
    </row>
    <row r="2629" spans="2:30">
      <c r="B2629">
        <v>0</v>
      </c>
      <c r="C2629">
        <v>1020</v>
      </c>
      <c r="D2629" t="s">
        <v>693</v>
      </c>
      <c r="E2629">
        <v>14100461</v>
      </c>
      <c r="F2629" t="s">
        <v>2715</v>
      </c>
      <c r="G2629" t="s">
        <v>43</v>
      </c>
      <c r="H2629" t="s">
        <v>32</v>
      </c>
      <c r="I2629" t="s">
        <v>695</v>
      </c>
      <c r="J2629" t="s">
        <v>45</v>
      </c>
      <c r="K2629" t="s">
        <v>35</v>
      </c>
      <c r="L2629" t="s">
        <v>175</v>
      </c>
      <c r="M2629" t="s">
        <v>117</v>
      </c>
      <c r="N2629">
        <v>0</v>
      </c>
      <c r="O2629">
        <v>0</v>
      </c>
      <c r="P2629">
        <v>0</v>
      </c>
      <c r="Q2629">
        <v>0</v>
      </c>
      <c r="R2629">
        <v>0</v>
      </c>
      <c r="S2629" t="str">
        <f t="shared" si="205"/>
        <v>PY: Media Crit.</v>
      </c>
      <c r="T2629">
        <f t="shared" si="206"/>
        <v>1</v>
      </c>
      <c r="U2629">
        <f t="shared" si="207"/>
        <v>0</v>
      </c>
      <c r="V2629">
        <f t="shared" si="208"/>
        <v>0</v>
      </c>
      <c r="W2629">
        <f t="shared" si="209"/>
        <v>0</v>
      </c>
      <c r="X2629">
        <v>1</v>
      </c>
      <c r="Y2629" s="2">
        <v>45768</v>
      </c>
      <c r="Z2629" s="3" t="s">
        <v>118</v>
      </c>
      <c r="AA2629" t="s">
        <v>39</v>
      </c>
      <c r="AB2629" t="s">
        <v>40</v>
      </c>
      <c r="AC2629" t="s">
        <v>40</v>
      </c>
      <c r="AD2629" t="s">
        <v>696</v>
      </c>
    </row>
    <row r="2630" spans="2:30">
      <c r="B2630">
        <v>0</v>
      </c>
      <c r="C2630">
        <v>1020</v>
      </c>
      <c r="D2630" t="s">
        <v>388</v>
      </c>
      <c r="E2630">
        <v>14102395</v>
      </c>
      <c r="F2630" t="s">
        <v>2716</v>
      </c>
      <c r="G2630" t="s">
        <v>52</v>
      </c>
      <c r="H2630" t="s">
        <v>44</v>
      </c>
      <c r="I2630" t="s">
        <v>390</v>
      </c>
      <c r="J2630" t="s">
        <v>45</v>
      </c>
      <c r="K2630" t="s">
        <v>35</v>
      </c>
      <c r="L2630" t="s">
        <v>175</v>
      </c>
      <c r="M2630" t="s">
        <v>117</v>
      </c>
      <c r="N2630">
        <v>0</v>
      </c>
      <c r="O2630">
        <v>0</v>
      </c>
      <c r="P2630">
        <v>1</v>
      </c>
      <c r="Q2630">
        <v>0</v>
      </c>
      <c r="R2630">
        <v>0</v>
      </c>
      <c r="S2630" t="str">
        <f t="shared" si="205"/>
        <v>PZ: Alta Crit.</v>
      </c>
      <c r="T2630">
        <f t="shared" si="206"/>
        <v>1</v>
      </c>
      <c r="U2630">
        <f t="shared" si="207"/>
        <v>0</v>
      </c>
      <c r="V2630">
        <f t="shared" si="208"/>
        <v>0</v>
      </c>
      <c r="W2630">
        <f t="shared" si="209"/>
        <v>0</v>
      </c>
      <c r="X2630">
        <v>1</v>
      </c>
      <c r="Y2630" s="2">
        <v>45768</v>
      </c>
      <c r="Z2630" s="3" t="s">
        <v>118</v>
      </c>
      <c r="AA2630" t="s">
        <v>39</v>
      </c>
      <c r="AB2630" t="s">
        <v>40</v>
      </c>
      <c r="AC2630" t="s">
        <v>40</v>
      </c>
      <c r="AD2630" t="s">
        <v>391</v>
      </c>
    </row>
    <row r="2631" spans="2:30">
      <c r="B2631">
        <v>0</v>
      </c>
      <c r="C2631">
        <v>1020</v>
      </c>
      <c r="D2631" t="s">
        <v>388</v>
      </c>
      <c r="E2631">
        <v>14102568</v>
      </c>
      <c r="F2631" t="s">
        <v>2717</v>
      </c>
      <c r="G2631" t="s">
        <v>43</v>
      </c>
      <c r="H2631" t="s">
        <v>44</v>
      </c>
      <c r="I2631" t="s">
        <v>390</v>
      </c>
      <c r="J2631" t="s">
        <v>45</v>
      </c>
      <c r="K2631" t="s">
        <v>252</v>
      </c>
      <c r="L2631" t="s">
        <v>175</v>
      </c>
      <c r="M2631" t="s">
        <v>69</v>
      </c>
      <c r="N2631">
        <v>0</v>
      </c>
      <c r="O2631">
        <v>0</v>
      </c>
      <c r="P2631">
        <v>1</v>
      </c>
      <c r="Q2631">
        <v>0</v>
      </c>
      <c r="R2631">
        <v>0</v>
      </c>
      <c r="S2631" t="str">
        <f t="shared" si="205"/>
        <v>PY: Media Crit.</v>
      </c>
      <c r="T2631">
        <f t="shared" si="206"/>
        <v>1</v>
      </c>
      <c r="U2631">
        <f t="shared" si="207"/>
        <v>0</v>
      </c>
      <c r="V2631">
        <f t="shared" si="208"/>
        <v>0</v>
      </c>
      <c r="W2631">
        <f t="shared" si="209"/>
        <v>0</v>
      </c>
      <c r="X2631">
        <v>1</v>
      </c>
      <c r="Y2631" s="2">
        <v>45768</v>
      </c>
      <c r="Z2631" s="3" t="s">
        <v>70</v>
      </c>
      <c r="AA2631" t="s">
        <v>39</v>
      </c>
      <c r="AB2631" t="s">
        <v>49</v>
      </c>
      <c r="AC2631" s="5" t="s">
        <v>50</v>
      </c>
      <c r="AD2631" t="s">
        <v>391</v>
      </c>
    </row>
    <row r="2632" spans="2:30">
      <c r="B2632">
        <v>0</v>
      </c>
      <c r="C2632">
        <v>1020</v>
      </c>
      <c r="D2632" t="s">
        <v>388</v>
      </c>
      <c r="E2632">
        <v>14102569</v>
      </c>
      <c r="F2632" t="s">
        <v>2718</v>
      </c>
      <c r="G2632" t="s">
        <v>43</v>
      </c>
      <c r="H2632" t="s">
        <v>44</v>
      </c>
      <c r="I2632" t="s">
        <v>390</v>
      </c>
      <c r="J2632" t="s">
        <v>45</v>
      </c>
      <c r="K2632" t="s">
        <v>252</v>
      </c>
      <c r="L2632" t="s">
        <v>175</v>
      </c>
      <c r="M2632" t="s">
        <v>69</v>
      </c>
      <c r="N2632">
        <v>0</v>
      </c>
      <c r="O2632">
        <v>0</v>
      </c>
      <c r="P2632">
        <v>1</v>
      </c>
      <c r="Q2632">
        <v>0</v>
      </c>
      <c r="R2632">
        <v>0</v>
      </c>
      <c r="S2632" t="str">
        <f t="shared" si="205"/>
        <v>PY: Media Crit.</v>
      </c>
      <c r="T2632">
        <f t="shared" si="206"/>
        <v>1</v>
      </c>
      <c r="U2632">
        <f t="shared" si="207"/>
        <v>0</v>
      </c>
      <c r="V2632">
        <f t="shared" si="208"/>
        <v>0</v>
      </c>
      <c r="W2632">
        <f t="shared" si="209"/>
        <v>0</v>
      </c>
      <c r="X2632">
        <v>1</v>
      </c>
      <c r="Y2632" s="2">
        <v>45768</v>
      </c>
      <c r="Z2632" s="3" t="s">
        <v>70</v>
      </c>
      <c r="AA2632" t="s">
        <v>39</v>
      </c>
      <c r="AB2632" t="s">
        <v>49</v>
      </c>
      <c r="AC2632" s="5" t="s">
        <v>50</v>
      </c>
      <c r="AD2632" t="s">
        <v>391</v>
      </c>
    </row>
    <row r="2633" spans="2:30">
      <c r="B2633">
        <v>0</v>
      </c>
      <c r="C2633">
        <v>1020</v>
      </c>
      <c r="D2633" t="s">
        <v>388</v>
      </c>
      <c r="E2633">
        <v>14102679</v>
      </c>
      <c r="F2633" t="s">
        <v>2719</v>
      </c>
      <c r="G2633" t="s">
        <v>52</v>
      </c>
      <c r="H2633" t="s">
        <v>44</v>
      </c>
      <c r="I2633" t="s">
        <v>390</v>
      </c>
      <c r="J2633" t="s">
        <v>45</v>
      </c>
      <c r="K2633" t="s">
        <v>252</v>
      </c>
      <c r="L2633" t="s">
        <v>175</v>
      </c>
      <c r="M2633" t="s">
        <v>69</v>
      </c>
      <c r="N2633">
        <v>0</v>
      </c>
      <c r="O2633">
        <v>0</v>
      </c>
      <c r="P2633">
        <v>1</v>
      </c>
      <c r="Q2633">
        <v>0</v>
      </c>
      <c r="R2633">
        <v>0</v>
      </c>
      <c r="S2633" t="str">
        <f t="shared" si="205"/>
        <v>PZ: Alta Crit.</v>
      </c>
      <c r="T2633">
        <f t="shared" si="206"/>
        <v>1</v>
      </c>
      <c r="U2633">
        <f t="shared" si="207"/>
        <v>0</v>
      </c>
      <c r="V2633">
        <f t="shared" si="208"/>
        <v>0</v>
      </c>
      <c r="W2633">
        <f t="shared" si="209"/>
        <v>0</v>
      </c>
      <c r="X2633">
        <v>1</v>
      </c>
      <c r="Y2633" s="2">
        <v>45768</v>
      </c>
      <c r="Z2633" s="3" t="s">
        <v>70</v>
      </c>
      <c r="AA2633" t="s">
        <v>39</v>
      </c>
      <c r="AB2633" t="s">
        <v>49</v>
      </c>
      <c r="AC2633" s="5" t="s">
        <v>50</v>
      </c>
      <c r="AD2633" t="s">
        <v>391</v>
      </c>
    </row>
    <row r="2634" spans="2:30">
      <c r="B2634">
        <v>0</v>
      </c>
      <c r="C2634">
        <v>1020</v>
      </c>
      <c r="D2634" t="s">
        <v>388</v>
      </c>
      <c r="E2634">
        <v>14102680</v>
      </c>
      <c r="F2634" t="s">
        <v>2720</v>
      </c>
      <c r="G2634" t="s">
        <v>43</v>
      </c>
      <c r="H2634" t="s">
        <v>44</v>
      </c>
      <c r="I2634" t="s">
        <v>390</v>
      </c>
      <c r="J2634" t="s">
        <v>45</v>
      </c>
      <c r="K2634" t="s">
        <v>252</v>
      </c>
      <c r="L2634" t="s">
        <v>175</v>
      </c>
      <c r="M2634" t="s">
        <v>69</v>
      </c>
      <c r="N2634">
        <v>0</v>
      </c>
      <c r="O2634">
        <v>0</v>
      </c>
      <c r="P2634">
        <v>1</v>
      </c>
      <c r="Q2634">
        <v>0</v>
      </c>
      <c r="R2634">
        <v>0</v>
      </c>
      <c r="S2634" t="str">
        <f t="shared" si="205"/>
        <v>PY: Media Crit.</v>
      </c>
      <c r="T2634">
        <f t="shared" si="206"/>
        <v>1</v>
      </c>
      <c r="U2634">
        <f t="shared" si="207"/>
        <v>0</v>
      </c>
      <c r="V2634">
        <f t="shared" si="208"/>
        <v>0</v>
      </c>
      <c r="W2634">
        <f t="shared" si="209"/>
        <v>0</v>
      </c>
      <c r="X2634">
        <v>1</v>
      </c>
      <c r="Y2634" s="2">
        <v>45768</v>
      </c>
      <c r="Z2634" s="3" t="s">
        <v>70</v>
      </c>
      <c r="AA2634" t="s">
        <v>39</v>
      </c>
      <c r="AB2634" t="s">
        <v>49</v>
      </c>
      <c r="AC2634" s="5" t="s">
        <v>50</v>
      </c>
      <c r="AD2634" t="s">
        <v>391</v>
      </c>
    </row>
    <row r="2635" spans="2:30">
      <c r="B2635">
        <v>0</v>
      </c>
      <c r="C2635">
        <v>1020</v>
      </c>
      <c r="D2635" t="s">
        <v>388</v>
      </c>
      <c r="E2635">
        <v>14106346</v>
      </c>
      <c r="F2635" t="s">
        <v>2721</v>
      </c>
      <c r="G2635" t="s">
        <v>31</v>
      </c>
      <c r="H2635" t="s">
        <v>44</v>
      </c>
      <c r="I2635" t="s">
        <v>390</v>
      </c>
      <c r="J2635" t="s">
        <v>45</v>
      </c>
      <c r="K2635" t="s">
        <v>252</v>
      </c>
      <c r="L2635" t="s">
        <v>175</v>
      </c>
      <c r="M2635" t="s">
        <v>37</v>
      </c>
      <c r="N2635">
        <v>0</v>
      </c>
      <c r="O2635">
        <v>0</v>
      </c>
      <c r="P2635">
        <v>75</v>
      </c>
      <c r="Q2635">
        <v>75</v>
      </c>
      <c r="R2635">
        <v>753.85</v>
      </c>
      <c r="S2635" t="str">
        <f t="shared" si="205"/>
        <v>PX: Baja Crit.</v>
      </c>
      <c r="T2635">
        <f t="shared" si="206"/>
        <v>0</v>
      </c>
      <c r="U2635">
        <f t="shared" si="207"/>
        <v>1</v>
      </c>
      <c r="V2635">
        <f t="shared" si="208"/>
        <v>0</v>
      </c>
      <c r="W2635">
        <f t="shared" si="209"/>
        <v>1</v>
      </c>
      <c r="X2635">
        <v>1</v>
      </c>
      <c r="Y2635" s="2">
        <v>45768</v>
      </c>
      <c r="Z2635" s="3" t="s">
        <v>38</v>
      </c>
      <c r="AA2635" t="s">
        <v>39</v>
      </c>
      <c r="AB2635" t="s">
        <v>40</v>
      </c>
      <c r="AC2635" t="s">
        <v>40</v>
      </c>
      <c r="AD2635" t="s">
        <v>391</v>
      </c>
    </row>
    <row r="2636" spans="2:30">
      <c r="B2636">
        <v>0</v>
      </c>
      <c r="C2636">
        <v>1020</v>
      </c>
      <c r="D2636" t="s">
        <v>384</v>
      </c>
      <c r="E2636">
        <v>14106708</v>
      </c>
      <c r="F2636" t="s">
        <v>2722</v>
      </c>
      <c r="G2636" t="s">
        <v>43</v>
      </c>
      <c r="H2636" t="s">
        <v>32</v>
      </c>
      <c r="I2636" t="s">
        <v>386</v>
      </c>
      <c r="J2636" t="s">
        <v>45</v>
      </c>
      <c r="K2636" t="s">
        <v>35</v>
      </c>
      <c r="L2636" t="s">
        <v>175</v>
      </c>
      <c r="M2636" t="s">
        <v>69</v>
      </c>
      <c r="N2636">
        <v>0</v>
      </c>
      <c r="O2636">
        <v>0</v>
      </c>
      <c r="P2636">
        <v>0</v>
      </c>
      <c r="Q2636">
        <v>1</v>
      </c>
      <c r="R2636">
        <v>0</v>
      </c>
      <c r="S2636" t="str">
        <f t="shared" si="205"/>
        <v>PY: Media Crit.</v>
      </c>
      <c r="T2636">
        <f t="shared" si="206"/>
        <v>0</v>
      </c>
      <c r="U2636">
        <f t="shared" si="207"/>
        <v>0</v>
      </c>
      <c r="V2636">
        <f t="shared" si="208"/>
        <v>0</v>
      </c>
      <c r="W2636">
        <f t="shared" si="209"/>
        <v>1</v>
      </c>
      <c r="X2636">
        <v>1</v>
      </c>
      <c r="Y2636" s="2">
        <v>45768</v>
      </c>
      <c r="Z2636" s="3" t="s">
        <v>70</v>
      </c>
      <c r="AA2636" t="s">
        <v>39</v>
      </c>
      <c r="AB2636" t="s">
        <v>40</v>
      </c>
      <c r="AC2636" t="s">
        <v>40</v>
      </c>
      <c r="AD2636" t="s">
        <v>387</v>
      </c>
    </row>
    <row r="2637" spans="2:30">
      <c r="B2637">
        <v>0</v>
      </c>
      <c r="C2637">
        <v>1020</v>
      </c>
      <c r="D2637" t="s">
        <v>693</v>
      </c>
      <c r="E2637">
        <v>14106783</v>
      </c>
      <c r="F2637" t="s">
        <v>2723</v>
      </c>
      <c r="G2637" t="s">
        <v>43</v>
      </c>
      <c r="H2637" t="s">
        <v>32</v>
      </c>
      <c r="I2637" t="s">
        <v>695</v>
      </c>
      <c r="J2637" t="s">
        <v>45</v>
      </c>
      <c r="K2637" t="s">
        <v>35</v>
      </c>
      <c r="L2637" t="s">
        <v>175</v>
      </c>
      <c r="M2637" t="s">
        <v>117</v>
      </c>
      <c r="N2637">
        <v>0</v>
      </c>
      <c r="O2637">
        <v>0</v>
      </c>
      <c r="P2637">
        <v>0</v>
      </c>
      <c r="Q2637">
        <v>2</v>
      </c>
      <c r="R2637">
        <v>0</v>
      </c>
      <c r="S2637" t="str">
        <f t="shared" si="205"/>
        <v>PY: Media Crit.</v>
      </c>
      <c r="T2637">
        <f t="shared" si="206"/>
        <v>0</v>
      </c>
      <c r="U2637">
        <f t="shared" si="207"/>
        <v>0</v>
      </c>
      <c r="V2637">
        <f t="shared" si="208"/>
        <v>0</v>
      </c>
      <c r="W2637">
        <f t="shared" si="209"/>
        <v>1</v>
      </c>
      <c r="X2637">
        <v>1</v>
      </c>
      <c r="Y2637" s="2">
        <v>45768</v>
      </c>
      <c r="Z2637" s="3" t="s">
        <v>118</v>
      </c>
      <c r="AA2637" t="s">
        <v>39</v>
      </c>
      <c r="AB2637" t="s">
        <v>40</v>
      </c>
      <c r="AC2637" t="s">
        <v>40</v>
      </c>
      <c r="AD2637" t="s">
        <v>696</v>
      </c>
    </row>
    <row r="2638" spans="2:30">
      <c r="B2638">
        <v>0</v>
      </c>
      <c r="C2638">
        <v>1020</v>
      </c>
      <c r="D2638" t="s">
        <v>181</v>
      </c>
      <c r="E2638">
        <v>14107008</v>
      </c>
      <c r="F2638" t="s">
        <v>2724</v>
      </c>
      <c r="G2638" t="s">
        <v>31</v>
      </c>
      <c r="H2638" t="s">
        <v>44</v>
      </c>
      <c r="I2638" t="s">
        <v>183</v>
      </c>
      <c r="J2638" t="s">
        <v>45</v>
      </c>
      <c r="K2638" t="s">
        <v>35</v>
      </c>
      <c r="L2638" t="s">
        <v>36</v>
      </c>
      <c r="M2638" t="s">
        <v>117</v>
      </c>
      <c r="N2638">
        <v>1</v>
      </c>
      <c r="O2638">
        <v>1</v>
      </c>
      <c r="P2638">
        <v>0</v>
      </c>
      <c r="Q2638">
        <v>1</v>
      </c>
      <c r="R2638">
        <v>0</v>
      </c>
      <c r="S2638" t="str">
        <f t="shared" si="205"/>
        <v>PX: Baja Crit.</v>
      </c>
      <c r="T2638">
        <f t="shared" si="206"/>
        <v>0</v>
      </c>
      <c r="U2638">
        <f t="shared" si="207"/>
        <v>0</v>
      </c>
      <c r="V2638">
        <f t="shared" si="208"/>
        <v>1</v>
      </c>
      <c r="W2638">
        <f t="shared" si="209"/>
        <v>0</v>
      </c>
      <c r="X2638">
        <v>1</v>
      </c>
      <c r="Y2638" s="2">
        <v>45768</v>
      </c>
      <c r="Z2638" s="3" t="s">
        <v>118</v>
      </c>
      <c r="AA2638" t="s">
        <v>39</v>
      </c>
      <c r="AB2638" t="s">
        <v>40</v>
      </c>
      <c r="AC2638" t="s">
        <v>40</v>
      </c>
      <c r="AD2638" t="s">
        <v>184</v>
      </c>
    </row>
    <row r="2639" spans="2:30">
      <c r="B2639">
        <v>0</v>
      </c>
      <c r="C2639">
        <v>1020</v>
      </c>
      <c r="D2639" t="s">
        <v>181</v>
      </c>
      <c r="E2639">
        <v>14107009</v>
      </c>
      <c r="F2639" t="s">
        <v>2725</v>
      </c>
      <c r="G2639" t="s">
        <v>31</v>
      </c>
      <c r="H2639" t="s">
        <v>44</v>
      </c>
      <c r="I2639" t="s">
        <v>183</v>
      </c>
      <c r="J2639" t="s">
        <v>45</v>
      </c>
      <c r="K2639" t="s">
        <v>35</v>
      </c>
      <c r="L2639" t="s">
        <v>36</v>
      </c>
      <c r="M2639" t="s">
        <v>117</v>
      </c>
      <c r="N2639">
        <v>2</v>
      </c>
      <c r="O2639">
        <v>1</v>
      </c>
      <c r="P2639">
        <v>0</v>
      </c>
      <c r="Q2639">
        <v>2</v>
      </c>
      <c r="R2639">
        <v>0</v>
      </c>
      <c r="S2639" t="str">
        <f t="shared" si="205"/>
        <v>PX: Baja Crit.</v>
      </c>
      <c r="T2639">
        <f t="shared" si="206"/>
        <v>0</v>
      </c>
      <c r="U2639">
        <f t="shared" si="207"/>
        <v>0</v>
      </c>
      <c r="V2639">
        <f t="shared" si="208"/>
        <v>1</v>
      </c>
      <c r="W2639">
        <f t="shared" si="209"/>
        <v>0</v>
      </c>
      <c r="X2639">
        <v>1</v>
      </c>
      <c r="Y2639" s="2">
        <v>45768</v>
      </c>
      <c r="Z2639" s="3" t="s">
        <v>118</v>
      </c>
      <c r="AA2639" t="s">
        <v>39</v>
      </c>
      <c r="AB2639" t="s">
        <v>40</v>
      </c>
      <c r="AC2639" t="s">
        <v>40</v>
      </c>
      <c r="AD2639" t="s">
        <v>184</v>
      </c>
    </row>
    <row r="2640" spans="2:30">
      <c r="B2640">
        <v>0</v>
      </c>
      <c r="C2640">
        <v>1020</v>
      </c>
      <c r="D2640" t="s">
        <v>693</v>
      </c>
      <c r="E2640">
        <v>14108707</v>
      </c>
      <c r="F2640" t="s">
        <v>2726</v>
      </c>
      <c r="G2640" t="s">
        <v>52</v>
      </c>
      <c r="H2640" t="s">
        <v>32</v>
      </c>
      <c r="I2640" t="s">
        <v>695</v>
      </c>
      <c r="J2640" t="s">
        <v>45</v>
      </c>
      <c r="K2640" t="s">
        <v>35</v>
      </c>
      <c r="L2640" t="s">
        <v>36</v>
      </c>
      <c r="M2640" t="s">
        <v>37</v>
      </c>
      <c r="N2640">
        <v>1</v>
      </c>
      <c r="O2640">
        <v>0</v>
      </c>
      <c r="P2640">
        <v>1</v>
      </c>
      <c r="Q2640">
        <v>1</v>
      </c>
      <c r="R2640">
        <v>0</v>
      </c>
      <c r="S2640" t="str">
        <f t="shared" si="205"/>
        <v>PZ: Alta Crit.</v>
      </c>
      <c r="T2640">
        <f t="shared" si="206"/>
        <v>0</v>
      </c>
      <c r="U2640">
        <f t="shared" si="207"/>
        <v>1</v>
      </c>
      <c r="V2640">
        <f t="shared" si="208"/>
        <v>0</v>
      </c>
      <c r="W2640">
        <f t="shared" si="209"/>
        <v>0</v>
      </c>
      <c r="X2640">
        <v>1</v>
      </c>
      <c r="Y2640" s="2">
        <v>45768</v>
      </c>
      <c r="Z2640" s="3" t="s">
        <v>38</v>
      </c>
      <c r="AA2640" t="s">
        <v>39</v>
      </c>
      <c r="AB2640" t="s">
        <v>40</v>
      </c>
      <c r="AC2640" t="s">
        <v>40</v>
      </c>
      <c r="AD2640" t="s">
        <v>696</v>
      </c>
    </row>
    <row r="2641" spans="2:30">
      <c r="B2641">
        <v>0</v>
      </c>
      <c r="C2641">
        <v>1020</v>
      </c>
      <c r="D2641" t="s">
        <v>693</v>
      </c>
      <c r="E2641">
        <v>14108708</v>
      </c>
      <c r="F2641" t="s">
        <v>2727</v>
      </c>
      <c r="G2641" t="s">
        <v>52</v>
      </c>
      <c r="H2641" t="s">
        <v>32</v>
      </c>
      <c r="I2641" t="s">
        <v>695</v>
      </c>
      <c r="J2641" t="s">
        <v>45</v>
      </c>
      <c r="K2641" t="s">
        <v>35</v>
      </c>
      <c r="L2641" t="s">
        <v>36</v>
      </c>
      <c r="M2641" t="s">
        <v>37</v>
      </c>
      <c r="N2641">
        <v>1</v>
      </c>
      <c r="O2641">
        <v>1</v>
      </c>
      <c r="P2641">
        <v>1</v>
      </c>
      <c r="Q2641">
        <v>1</v>
      </c>
      <c r="R2641">
        <v>0</v>
      </c>
      <c r="S2641" t="str">
        <f t="shared" si="205"/>
        <v>PZ: Alta Crit.</v>
      </c>
      <c r="T2641">
        <f t="shared" si="206"/>
        <v>0</v>
      </c>
      <c r="U2641">
        <f t="shared" si="207"/>
        <v>1</v>
      </c>
      <c r="V2641">
        <f t="shared" si="208"/>
        <v>0</v>
      </c>
      <c r="W2641">
        <f t="shared" si="209"/>
        <v>0</v>
      </c>
      <c r="X2641">
        <v>1</v>
      </c>
      <c r="Y2641" s="2">
        <v>45768</v>
      </c>
      <c r="Z2641" s="3" t="s">
        <v>38</v>
      </c>
      <c r="AA2641" t="s">
        <v>39</v>
      </c>
      <c r="AB2641" t="s">
        <v>40</v>
      </c>
      <c r="AC2641" t="s">
        <v>40</v>
      </c>
      <c r="AD2641" t="s">
        <v>696</v>
      </c>
    </row>
    <row r="2642" spans="2:30">
      <c r="B2642">
        <v>0</v>
      </c>
      <c r="C2642">
        <v>1020</v>
      </c>
      <c r="D2642" t="s">
        <v>181</v>
      </c>
      <c r="E2642">
        <v>14108941</v>
      </c>
      <c r="F2642" t="s">
        <v>2728</v>
      </c>
      <c r="G2642" t="s">
        <v>52</v>
      </c>
      <c r="H2642" t="s">
        <v>44</v>
      </c>
      <c r="I2642" t="s">
        <v>183</v>
      </c>
      <c r="J2642" t="s">
        <v>45</v>
      </c>
      <c r="K2642" t="s">
        <v>35</v>
      </c>
      <c r="L2642" t="s">
        <v>36</v>
      </c>
      <c r="M2642" t="s">
        <v>69</v>
      </c>
      <c r="N2642">
        <v>5</v>
      </c>
      <c r="O2642">
        <v>3</v>
      </c>
      <c r="P2642">
        <v>0</v>
      </c>
      <c r="Q2642">
        <v>0</v>
      </c>
      <c r="R2642">
        <v>0</v>
      </c>
      <c r="S2642" t="str">
        <f t="shared" si="205"/>
        <v>PZ: Alta Crit.</v>
      </c>
      <c r="T2642">
        <f t="shared" si="206"/>
        <v>1</v>
      </c>
      <c r="U2642">
        <f t="shared" si="207"/>
        <v>0</v>
      </c>
      <c r="V2642">
        <f t="shared" si="208"/>
        <v>0</v>
      </c>
      <c r="W2642">
        <f t="shared" si="209"/>
        <v>0</v>
      </c>
      <c r="X2642">
        <v>1</v>
      </c>
      <c r="Y2642" s="2">
        <v>45768</v>
      </c>
      <c r="Z2642" s="3" t="s">
        <v>70</v>
      </c>
      <c r="AA2642" t="s">
        <v>39</v>
      </c>
      <c r="AB2642" t="s">
        <v>76</v>
      </c>
      <c r="AC2642" s="5" t="s">
        <v>77</v>
      </c>
      <c r="AD2642" t="s">
        <v>184</v>
      </c>
    </row>
    <row r="2643" spans="2:30">
      <c r="B2643">
        <v>0</v>
      </c>
      <c r="C2643">
        <v>1020</v>
      </c>
      <c r="D2643" t="s">
        <v>181</v>
      </c>
      <c r="E2643">
        <v>14108954</v>
      </c>
      <c r="F2643" t="s">
        <v>2729</v>
      </c>
      <c r="G2643" t="s">
        <v>52</v>
      </c>
      <c r="H2643" t="s">
        <v>44</v>
      </c>
      <c r="I2643" t="s">
        <v>183</v>
      </c>
      <c r="J2643" t="s">
        <v>45</v>
      </c>
      <c r="K2643" t="s">
        <v>35</v>
      </c>
      <c r="L2643" t="s">
        <v>36</v>
      </c>
      <c r="M2643" t="s">
        <v>69</v>
      </c>
      <c r="N2643">
        <v>5</v>
      </c>
      <c r="O2643">
        <v>3</v>
      </c>
      <c r="P2643">
        <v>1</v>
      </c>
      <c r="Q2643">
        <v>5</v>
      </c>
      <c r="R2643" s="4">
        <v>1321.56</v>
      </c>
      <c r="S2643" t="str">
        <f t="shared" si="205"/>
        <v>PZ: Alta Crit.</v>
      </c>
      <c r="T2643">
        <f t="shared" si="206"/>
        <v>0</v>
      </c>
      <c r="U2643">
        <f t="shared" si="207"/>
        <v>0</v>
      </c>
      <c r="V2643">
        <f t="shared" si="208"/>
        <v>1</v>
      </c>
      <c r="W2643">
        <f t="shared" si="209"/>
        <v>0</v>
      </c>
      <c r="X2643">
        <v>1</v>
      </c>
      <c r="Y2643" s="2">
        <v>45768</v>
      </c>
      <c r="Z2643" s="3" t="s">
        <v>70</v>
      </c>
      <c r="AA2643" t="s">
        <v>39</v>
      </c>
      <c r="AB2643" t="s">
        <v>40</v>
      </c>
      <c r="AC2643" t="s">
        <v>40</v>
      </c>
      <c r="AD2643" t="s">
        <v>184</v>
      </c>
    </row>
    <row r="2644" spans="2:30">
      <c r="B2644">
        <v>0</v>
      </c>
      <c r="C2644">
        <v>1020</v>
      </c>
      <c r="D2644" t="s">
        <v>181</v>
      </c>
      <c r="E2644">
        <v>14108957</v>
      </c>
      <c r="F2644" t="s">
        <v>2730</v>
      </c>
      <c r="G2644" t="s">
        <v>52</v>
      </c>
      <c r="H2644" t="s">
        <v>44</v>
      </c>
      <c r="I2644" t="s">
        <v>183</v>
      </c>
      <c r="J2644" t="s">
        <v>45</v>
      </c>
      <c r="K2644" t="s">
        <v>35</v>
      </c>
      <c r="L2644" t="s">
        <v>36</v>
      </c>
      <c r="M2644" t="s">
        <v>69</v>
      </c>
      <c r="N2644">
        <v>5</v>
      </c>
      <c r="O2644">
        <v>3</v>
      </c>
      <c r="P2644">
        <v>0</v>
      </c>
      <c r="Q2644">
        <v>0</v>
      </c>
      <c r="R2644">
        <v>0</v>
      </c>
      <c r="S2644" t="str">
        <f t="shared" si="205"/>
        <v>PZ: Alta Crit.</v>
      </c>
      <c r="T2644">
        <f t="shared" si="206"/>
        <v>1</v>
      </c>
      <c r="U2644">
        <f t="shared" si="207"/>
        <v>0</v>
      </c>
      <c r="V2644">
        <f t="shared" si="208"/>
        <v>0</v>
      </c>
      <c r="W2644">
        <f t="shared" si="209"/>
        <v>0</v>
      </c>
      <c r="X2644">
        <v>1</v>
      </c>
      <c r="Y2644" s="2">
        <v>45768</v>
      </c>
      <c r="Z2644" s="3" t="s">
        <v>70</v>
      </c>
      <c r="AA2644" t="s">
        <v>39</v>
      </c>
      <c r="AB2644" t="s">
        <v>76</v>
      </c>
      <c r="AC2644" s="5" t="s">
        <v>77</v>
      </c>
      <c r="AD2644" t="s">
        <v>184</v>
      </c>
    </row>
    <row r="2645" spans="2:30">
      <c r="B2645">
        <v>0</v>
      </c>
      <c r="C2645">
        <v>1020</v>
      </c>
      <c r="D2645" t="s">
        <v>384</v>
      </c>
      <c r="E2645">
        <v>14108958</v>
      </c>
      <c r="F2645" t="s">
        <v>2731</v>
      </c>
      <c r="G2645" t="s">
        <v>52</v>
      </c>
      <c r="H2645" t="s">
        <v>32</v>
      </c>
      <c r="I2645" t="s">
        <v>386</v>
      </c>
      <c r="J2645" t="s">
        <v>45</v>
      </c>
      <c r="K2645" t="s">
        <v>35</v>
      </c>
      <c r="L2645" t="s">
        <v>175</v>
      </c>
      <c r="M2645" t="s">
        <v>69</v>
      </c>
      <c r="N2645">
        <v>0</v>
      </c>
      <c r="O2645">
        <v>0</v>
      </c>
      <c r="P2645">
        <v>0</v>
      </c>
      <c r="Q2645">
        <v>0</v>
      </c>
      <c r="R2645">
        <v>0</v>
      </c>
      <c r="S2645" t="str">
        <f t="shared" si="205"/>
        <v>PZ: Alta Crit.</v>
      </c>
      <c r="T2645">
        <f t="shared" si="206"/>
        <v>1</v>
      </c>
      <c r="U2645">
        <f t="shared" si="207"/>
        <v>0</v>
      </c>
      <c r="V2645">
        <f t="shared" si="208"/>
        <v>0</v>
      </c>
      <c r="W2645">
        <f t="shared" si="209"/>
        <v>0</v>
      </c>
      <c r="X2645">
        <v>1</v>
      </c>
      <c r="Y2645" s="2">
        <v>45768</v>
      </c>
      <c r="Z2645" s="3" t="s">
        <v>70</v>
      </c>
      <c r="AA2645" t="s">
        <v>39</v>
      </c>
      <c r="AB2645" t="s">
        <v>40</v>
      </c>
      <c r="AC2645" t="s">
        <v>40</v>
      </c>
      <c r="AD2645" t="s">
        <v>387</v>
      </c>
    </row>
    <row r="2646" spans="2:30">
      <c r="B2646">
        <v>0</v>
      </c>
      <c r="C2646">
        <v>1020</v>
      </c>
      <c r="D2646" t="s">
        <v>181</v>
      </c>
      <c r="E2646">
        <v>14109114</v>
      </c>
      <c r="F2646" t="s">
        <v>2732</v>
      </c>
      <c r="G2646" t="s">
        <v>31</v>
      </c>
      <c r="H2646" t="s">
        <v>44</v>
      </c>
      <c r="I2646" t="s">
        <v>183</v>
      </c>
      <c r="J2646" t="s">
        <v>45</v>
      </c>
      <c r="K2646" t="s">
        <v>35</v>
      </c>
      <c r="L2646" t="s">
        <v>36</v>
      </c>
      <c r="M2646" t="s">
        <v>37</v>
      </c>
      <c r="N2646">
        <v>6</v>
      </c>
      <c r="O2646">
        <v>4</v>
      </c>
      <c r="P2646">
        <v>1</v>
      </c>
      <c r="Q2646">
        <v>6</v>
      </c>
      <c r="R2646" s="4">
        <v>7885.91</v>
      </c>
      <c r="S2646" t="str">
        <f t="shared" si="205"/>
        <v>PX: Baja Crit.</v>
      </c>
      <c r="T2646">
        <f t="shared" si="206"/>
        <v>0</v>
      </c>
      <c r="U2646">
        <f t="shared" si="207"/>
        <v>0</v>
      </c>
      <c r="V2646">
        <f t="shared" si="208"/>
        <v>1</v>
      </c>
      <c r="W2646">
        <f t="shared" si="209"/>
        <v>0</v>
      </c>
      <c r="X2646">
        <v>1</v>
      </c>
      <c r="Y2646" s="2">
        <v>45768</v>
      </c>
      <c r="Z2646" s="3" t="s">
        <v>38</v>
      </c>
      <c r="AA2646" t="s">
        <v>39</v>
      </c>
      <c r="AB2646" t="s">
        <v>40</v>
      </c>
      <c r="AC2646" t="s">
        <v>40</v>
      </c>
      <c r="AD2646" t="s">
        <v>184</v>
      </c>
    </row>
    <row r="2647" spans="2:30">
      <c r="B2647">
        <v>0</v>
      </c>
      <c r="C2647">
        <v>1020</v>
      </c>
      <c r="D2647" t="s">
        <v>693</v>
      </c>
      <c r="E2647">
        <v>14110607</v>
      </c>
      <c r="F2647" t="s">
        <v>2733</v>
      </c>
      <c r="G2647" t="s">
        <v>43</v>
      </c>
      <c r="H2647" t="s">
        <v>32</v>
      </c>
      <c r="I2647" t="s">
        <v>695</v>
      </c>
      <c r="J2647" t="s">
        <v>45</v>
      </c>
      <c r="K2647" t="s">
        <v>35</v>
      </c>
      <c r="L2647" t="s">
        <v>175</v>
      </c>
      <c r="M2647" t="s">
        <v>117</v>
      </c>
      <c r="N2647">
        <v>0</v>
      </c>
      <c r="O2647">
        <v>0</v>
      </c>
      <c r="P2647">
        <v>0</v>
      </c>
      <c r="Q2647">
        <v>1</v>
      </c>
      <c r="R2647">
        <v>0</v>
      </c>
      <c r="S2647" t="str">
        <f t="shared" si="205"/>
        <v>PY: Media Crit.</v>
      </c>
      <c r="T2647">
        <f t="shared" si="206"/>
        <v>0</v>
      </c>
      <c r="U2647">
        <f t="shared" si="207"/>
        <v>0</v>
      </c>
      <c r="V2647">
        <f t="shared" si="208"/>
        <v>0</v>
      </c>
      <c r="W2647">
        <f t="shared" si="209"/>
        <v>1</v>
      </c>
      <c r="X2647">
        <v>1</v>
      </c>
      <c r="Y2647" s="2">
        <v>45768</v>
      </c>
      <c r="Z2647" s="3" t="s">
        <v>118</v>
      </c>
      <c r="AA2647" t="s">
        <v>39</v>
      </c>
      <c r="AB2647" t="s">
        <v>40</v>
      </c>
      <c r="AC2647" t="s">
        <v>40</v>
      </c>
      <c r="AD2647" t="s">
        <v>696</v>
      </c>
    </row>
    <row r="2648" spans="2:30">
      <c r="B2648">
        <v>0</v>
      </c>
      <c r="C2648">
        <v>1020</v>
      </c>
      <c r="D2648" t="s">
        <v>181</v>
      </c>
      <c r="E2648">
        <v>14110648</v>
      </c>
      <c r="F2648" t="s">
        <v>2734</v>
      </c>
      <c r="G2648" t="s">
        <v>52</v>
      </c>
      <c r="H2648" t="s">
        <v>44</v>
      </c>
      <c r="I2648" t="s">
        <v>183</v>
      </c>
      <c r="J2648" t="s">
        <v>45</v>
      </c>
      <c r="K2648" t="s">
        <v>35</v>
      </c>
      <c r="L2648" t="s">
        <v>36</v>
      </c>
      <c r="M2648" t="s">
        <v>37</v>
      </c>
      <c r="N2648">
        <v>2</v>
      </c>
      <c r="O2648">
        <v>1</v>
      </c>
      <c r="P2648">
        <v>0</v>
      </c>
      <c r="Q2648">
        <v>2</v>
      </c>
      <c r="R2648">
        <v>0</v>
      </c>
      <c r="S2648" t="str">
        <f t="shared" si="205"/>
        <v>PZ: Alta Crit.</v>
      </c>
      <c r="T2648">
        <f t="shared" si="206"/>
        <v>0</v>
      </c>
      <c r="U2648">
        <f t="shared" si="207"/>
        <v>0</v>
      </c>
      <c r="V2648">
        <f t="shared" si="208"/>
        <v>1</v>
      </c>
      <c r="W2648">
        <f t="shared" si="209"/>
        <v>0</v>
      </c>
      <c r="X2648">
        <v>1</v>
      </c>
      <c r="Y2648" s="2">
        <v>45768</v>
      </c>
      <c r="Z2648" s="3" t="s">
        <v>38</v>
      </c>
      <c r="AA2648" t="s">
        <v>39</v>
      </c>
      <c r="AB2648" t="s">
        <v>40</v>
      </c>
      <c r="AC2648" t="s">
        <v>40</v>
      </c>
      <c r="AD2648" t="s">
        <v>184</v>
      </c>
    </row>
    <row r="2649" spans="2:30">
      <c r="B2649">
        <v>0</v>
      </c>
      <c r="C2649">
        <v>1020</v>
      </c>
      <c r="D2649" t="s">
        <v>388</v>
      </c>
      <c r="E2649">
        <v>14111086</v>
      </c>
      <c r="F2649" t="s">
        <v>2735</v>
      </c>
      <c r="G2649" t="s">
        <v>43</v>
      </c>
      <c r="H2649" t="s">
        <v>44</v>
      </c>
      <c r="I2649" t="s">
        <v>390</v>
      </c>
      <c r="J2649" t="s">
        <v>45</v>
      </c>
      <c r="K2649" t="s">
        <v>35</v>
      </c>
      <c r="L2649" t="s">
        <v>175</v>
      </c>
      <c r="M2649" t="s">
        <v>117</v>
      </c>
      <c r="N2649">
        <v>0</v>
      </c>
      <c r="O2649">
        <v>0</v>
      </c>
      <c r="P2649">
        <v>2</v>
      </c>
      <c r="Q2649">
        <v>0</v>
      </c>
      <c r="R2649">
        <v>0</v>
      </c>
      <c r="S2649" t="str">
        <f t="shared" si="205"/>
        <v>PY: Media Crit.</v>
      </c>
      <c r="T2649">
        <f t="shared" si="206"/>
        <v>1</v>
      </c>
      <c r="U2649">
        <f t="shared" si="207"/>
        <v>0</v>
      </c>
      <c r="V2649">
        <f t="shared" si="208"/>
        <v>0</v>
      </c>
      <c r="W2649">
        <f t="shared" si="209"/>
        <v>0</v>
      </c>
      <c r="X2649">
        <v>1</v>
      </c>
      <c r="Y2649" s="2">
        <v>45768</v>
      </c>
      <c r="Z2649" s="3" t="s">
        <v>118</v>
      </c>
      <c r="AA2649" t="s">
        <v>39</v>
      </c>
      <c r="AB2649" t="s">
        <v>49</v>
      </c>
      <c r="AC2649" s="5" t="s">
        <v>50</v>
      </c>
      <c r="AD2649" t="s">
        <v>391</v>
      </c>
    </row>
    <row r="2650" spans="2:30">
      <c r="B2650">
        <v>0</v>
      </c>
      <c r="C2650">
        <v>1020</v>
      </c>
      <c r="D2650" t="s">
        <v>388</v>
      </c>
      <c r="E2650">
        <v>14111087</v>
      </c>
      <c r="F2650" t="s">
        <v>2736</v>
      </c>
      <c r="G2650" t="s">
        <v>43</v>
      </c>
      <c r="H2650" t="s">
        <v>44</v>
      </c>
      <c r="I2650" t="s">
        <v>390</v>
      </c>
      <c r="J2650" t="s">
        <v>45</v>
      </c>
      <c r="K2650" t="s">
        <v>35</v>
      </c>
      <c r="L2650" t="s">
        <v>175</v>
      </c>
      <c r="M2650" t="s">
        <v>117</v>
      </c>
      <c r="N2650">
        <v>0</v>
      </c>
      <c r="O2650">
        <v>0</v>
      </c>
      <c r="P2650">
        <v>2</v>
      </c>
      <c r="Q2650">
        <v>0</v>
      </c>
      <c r="R2650">
        <v>0</v>
      </c>
      <c r="S2650" t="str">
        <f t="shared" si="205"/>
        <v>PY: Media Crit.</v>
      </c>
      <c r="T2650">
        <f t="shared" si="206"/>
        <v>1</v>
      </c>
      <c r="U2650">
        <f t="shared" si="207"/>
        <v>0</v>
      </c>
      <c r="V2650">
        <f t="shared" si="208"/>
        <v>0</v>
      </c>
      <c r="W2650">
        <f t="shared" si="209"/>
        <v>0</v>
      </c>
      <c r="X2650">
        <v>1</v>
      </c>
      <c r="Y2650" s="2">
        <v>45768</v>
      </c>
      <c r="Z2650" s="3" t="s">
        <v>118</v>
      </c>
      <c r="AA2650" t="s">
        <v>39</v>
      </c>
      <c r="AB2650" t="s">
        <v>49</v>
      </c>
      <c r="AC2650" s="5" t="s">
        <v>50</v>
      </c>
      <c r="AD2650" t="s">
        <v>391</v>
      </c>
    </row>
    <row r="2651" spans="2:30">
      <c r="B2651">
        <v>0</v>
      </c>
      <c r="C2651">
        <v>1020</v>
      </c>
      <c r="D2651" t="s">
        <v>388</v>
      </c>
      <c r="E2651">
        <v>14111089</v>
      </c>
      <c r="F2651" t="s">
        <v>2737</v>
      </c>
      <c r="G2651" t="s">
        <v>43</v>
      </c>
      <c r="H2651" t="s">
        <v>44</v>
      </c>
      <c r="I2651" t="s">
        <v>390</v>
      </c>
      <c r="J2651" t="s">
        <v>45</v>
      </c>
      <c r="K2651" t="s">
        <v>35</v>
      </c>
      <c r="L2651" t="s">
        <v>175</v>
      </c>
      <c r="M2651" t="s">
        <v>117</v>
      </c>
      <c r="N2651">
        <v>0</v>
      </c>
      <c r="O2651">
        <v>0</v>
      </c>
      <c r="P2651">
        <v>0</v>
      </c>
      <c r="Q2651">
        <v>0</v>
      </c>
      <c r="R2651">
        <v>0</v>
      </c>
      <c r="S2651" t="str">
        <f t="shared" si="205"/>
        <v>PY: Media Crit.</v>
      </c>
      <c r="T2651">
        <f t="shared" si="206"/>
        <v>1</v>
      </c>
      <c r="U2651">
        <f t="shared" si="207"/>
        <v>0</v>
      </c>
      <c r="V2651">
        <f t="shared" si="208"/>
        <v>0</v>
      </c>
      <c r="W2651">
        <f t="shared" si="209"/>
        <v>0</v>
      </c>
      <c r="X2651">
        <v>1</v>
      </c>
      <c r="Y2651" s="2">
        <v>45768</v>
      </c>
      <c r="Z2651" s="3" t="s">
        <v>118</v>
      </c>
      <c r="AA2651" t="s">
        <v>39</v>
      </c>
      <c r="AB2651" t="s">
        <v>49</v>
      </c>
      <c r="AC2651" s="5" t="s">
        <v>50</v>
      </c>
      <c r="AD2651" t="s">
        <v>391</v>
      </c>
    </row>
    <row r="2652" spans="2:30">
      <c r="B2652">
        <v>0</v>
      </c>
      <c r="C2652">
        <v>1020</v>
      </c>
      <c r="D2652" t="s">
        <v>388</v>
      </c>
      <c r="E2652">
        <v>14111090</v>
      </c>
      <c r="F2652" t="s">
        <v>2738</v>
      </c>
      <c r="G2652" t="s">
        <v>43</v>
      </c>
      <c r="H2652" t="s">
        <v>44</v>
      </c>
      <c r="I2652" t="s">
        <v>390</v>
      </c>
      <c r="J2652" t="s">
        <v>45</v>
      </c>
      <c r="K2652" t="s">
        <v>35</v>
      </c>
      <c r="L2652" t="s">
        <v>175</v>
      </c>
      <c r="M2652" t="s">
        <v>117</v>
      </c>
      <c r="N2652">
        <v>0</v>
      </c>
      <c r="O2652">
        <v>0</v>
      </c>
      <c r="P2652">
        <v>1</v>
      </c>
      <c r="Q2652">
        <v>0</v>
      </c>
      <c r="R2652">
        <v>0</v>
      </c>
      <c r="S2652" t="str">
        <f t="shared" si="205"/>
        <v>PY: Media Crit.</v>
      </c>
      <c r="T2652">
        <f t="shared" si="206"/>
        <v>1</v>
      </c>
      <c r="U2652">
        <f t="shared" si="207"/>
        <v>0</v>
      </c>
      <c r="V2652">
        <f t="shared" si="208"/>
        <v>0</v>
      </c>
      <c r="W2652">
        <f t="shared" si="209"/>
        <v>0</v>
      </c>
      <c r="X2652">
        <v>1</v>
      </c>
      <c r="Y2652" s="2">
        <v>45768</v>
      </c>
      <c r="Z2652" s="3" t="s">
        <v>118</v>
      </c>
      <c r="AA2652" t="s">
        <v>39</v>
      </c>
      <c r="AB2652" t="s">
        <v>49</v>
      </c>
      <c r="AC2652" s="5" t="s">
        <v>50</v>
      </c>
      <c r="AD2652" t="s">
        <v>391</v>
      </c>
    </row>
    <row r="2653" spans="2:30">
      <c r="B2653">
        <v>0</v>
      </c>
      <c r="C2653">
        <v>1020</v>
      </c>
      <c r="D2653" t="s">
        <v>693</v>
      </c>
      <c r="E2653">
        <v>14111201</v>
      </c>
      <c r="F2653" t="s">
        <v>2739</v>
      </c>
      <c r="G2653" t="s">
        <v>43</v>
      </c>
      <c r="H2653" t="s">
        <v>32</v>
      </c>
      <c r="I2653" t="s">
        <v>695</v>
      </c>
      <c r="J2653" t="s">
        <v>45</v>
      </c>
      <c r="K2653" t="s">
        <v>35</v>
      </c>
      <c r="L2653" t="s">
        <v>175</v>
      </c>
      <c r="M2653" t="s">
        <v>46</v>
      </c>
      <c r="N2653">
        <v>0</v>
      </c>
      <c r="O2653">
        <v>0</v>
      </c>
      <c r="P2653">
        <v>0</v>
      </c>
      <c r="Q2653">
        <v>0</v>
      </c>
      <c r="R2653">
        <v>0</v>
      </c>
      <c r="S2653" t="str">
        <f t="shared" si="205"/>
        <v>PY: Media Crit.</v>
      </c>
      <c r="T2653">
        <f t="shared" si="206"/>
        <v>1</v>
      </c>
      <c r="U2653">
        <f t="shared" si="207"/>
        <v>0</v>
      </c>
      <c r="V2653">
        <f t="shared" si="208"/>
        <v>0</v>
      </c>
      <c r="W2653">
        <f t="shared" si="209"/>
        <v>0</v>
      </c>
      <c r="X2653">
        <v>1</v>
      </c>
      <c r="Y2653" s="2">
        <v>45768</v>
      </c>
      <c r="Z2653" s="3" t="s">
        <v>47</v>
      </c>
      <c r="AA2653" t="s">
        <v>39</v>
      </c>
      <c r="AB2653" t="s">
        <v>40</v>
      </c>
      <c r="AC2653" t="s">
        <v>40</v>
      </c>
      <c r="AD2653" t="s">
        <v>696</v>
      </c>
    </row>
    <row r="2654" spans="2:30">
      <c r="B2654">
        <v>0</v>
      </c>
      <c r="C2654">
        <v>1020</v>
      </c>
      <c r="D2654" t="s">
        <v>693</v>
      </c>
      <c r="E2654">
        <v>14111206</v>
      </c>
      <c r="F2654" t="s">
        <v>2740</v>
      </c>
      <c r="G2654" t="s">
        <v>43</v>
      </c>
      <c r="H2654" t="s">
        <v>32</v>
      </c>
      <c r="I2654" t="s">
        <v>695</v>
      </c>
      <c r="J2654" t="s">
        <v>45</v>
      </c>
      <c r="K2654" t="s">
        <v>35</v>
      </c>
      <c r="L2654" t="s">
        <v>175</v>
      </c>
      <c r="M2654" t="s">
        <v>46</v>
      </c>
      <c r="N2654">
        <v>0</v>
      </c>
      <c r="O2654">
        <v>0</v>
      </c>
      <c r="P2654">
        <v>0</v>
      </c>
      <c r="Q2654">
        <v>0</v>
      </c>
      <c r="R2654">
        <v>0</v>
      </c>
      <c r="S2654" t="str">
        <f t="shared" si="205"/>
        <v>PY: Media Crit.</v>
      </c>
      <c r="T2654">
        <f t="shared" si="206"/>
        <v>1</v>
      </c>
      <c r="U2654">
        <f t="shared" si="207"/>
        <v>0</v>
      </c>
      <c r="V2654">
        <f t="shared" si="208"/>
        <v>0</v>
      </c>
      <c r="W2654">
        <f t="shared" si="209"/>
        <v>0</v>
      </c>
      <c r="X2654">
        <v>1</v>
      </c>
      <c r="Y2654" s="2">
        <v>45768</v>
      </c>
      <c r="Z2654" s="3" t="s">
        <v>47</v>
      </c>
      <c r="AA2654" t="s">
        <v>39</v>
      </c>
      <c r="AB2654" t="s">
        <v>40</v>
      </c>
      <c r="AC2654" t="s">
        <v>40</v>
      </c>
      <c r="AD2654" t="s">
        <v>696</v>
      </c>
    </row>
    <row r="2655" spans="2:30">
      <c r="B2655">
        <v>0</v>
      </c>
      <c r="C2655">
        <v>1020</v>
      </c>
      <c r="D2655" t="s">
        <v>693</v>
      </c>
      <c r="E2655">
        <v>14111211</v>
      </c>
      <c r="F2655" t="s">
        <v>2741</v>
      </c>
      <c r="G2655" t="s">
        <v>43</v>
      </c>
      <c r="H2655" t="s">
        <v>32</v>
      </c>
      <c r="I2655" t="s">
        <v>695</v>
      </c>
      <c r="J2655" t="s">
        <v>45</v>
      </c>
      <c r="K2655" t="s">
        <v>35</v>
      </c>
      <c r="L2655" t="s">
        <v>175</v>
      </c>
      <c r="M2655" t="s">
        <v>46</v>
      </c>
      <c r="N2655">
        <v>0</v>
      </c>
      <c r="O2655">
        <v>0</v>
      </c>
      <c r="P2655">
        <v>0</v>
      </c>
      <c r="Q2655">
        <v>0</v>
      </c>
      <c r="R2655">
        <v>0</v>
      </c>
      <c r="S2655" t="str">
        <f t="shared" si="205"/>
        <v>PY: Media Crit.</v>
      </c>
      <c r="T2655">
        <f t="shared" si="206"/>
        <v>1</v>
      </c>
      <c r="U2655">
        <f t="shared" si="207"/>
        <v>0</v>
      </c>
      <c r="V2655">
        <f t="shared" si="208"/>
        <v>0</v>
      </c>
      <c r="W2655">
        <f t="shared" si="209"/>
        <v>0</v>
      </c>
      <c r="X2655">
        <v>1</v>
      </c>
      <c r="Y2655" s="2">
        <v>45768</v>
      </c>
      <c r="Z2655" s="3" t="s">
        <v>47</v>
      </c>
      <c r="AA2655" t="s">
        <v>39</v>
      </c>
      <c r="AB2655" t="s">
        <v>40</v>
      </c>
      <c r="AC2655" t="s">
        <v>40</v>
      </c>
      <c r="AD2655" t="s">
        <v>696</v>
      </c>
    </row>
    <row r="2656" spans="2:30">
      <c r="B2656">
        <v>0</v>
      </c>
      <c r="C2656">
        <v>1020</v>
      </c>
      <c r="D2656" t="s">
        <v>693</v>
      </c>
      <c r="E2656">
        <v>14111214</v>
      </c>
      <c r="F2656" t="s">
        <v>2742</v>
      </c>
      <c r="G2656" t="s">
        <v>43</v>
      </c>
      <c r="H2656" t="s">
        <v>32</v>
      </c>
      <c r="I2656" t="s">
        <v>695</v>
      </c>
      <c r="J2656" t="s">
        <v>45</v>
      </c>
      <c r="K2656" t="s">
        <v>35</v>
      </c>
      <c r="L2656" t="s">
        <v>175</v>
      </c>
      <c r="M2656" t="s">
        <v>37</v>
      </c>
      <c r="N2656">
        <v>0</v>
      </c>
      <c r="O2656">
        <v>0</v>
      </c>
      <c r="P2656">
        <v>0</v>
      </c>
      <c r="Q2656">
        <v>4</v>
      </c>
      <c r="R2656">
        <v>0</v>
      </c>
      <c r="S2656" t="str">
        <f t="shared" si="205"/>
        <v>PY: Media Crit.</v>
      </c>
      <c r="T2656">
        <f t="shared" si="206"/>
        <v>0</v>
      </c>
      <c r="U2656">
        <f t="shared" si="207"/>
        <v>0</v>
      </c>
      <c r="V2656">
        <f t="shared" si="208"/>
        <v>0</v>
      </c>
      <c r="W2656">
        <f t="shared" si="209"/>
        <v>1</v>
      </c>
      <c r="X2656">
        <v>1</v>
      </c>
      <c r="Y2656" s="2">
        <v>45768</v>
      </c>
      <c r="Z2656" s="3" t="s">
        <v>38</v>
      </c>
      <c r="AA2656" t="s">
        <v>39</v>
      </c>
      <c r="AB2656" t="s">
        <v>40</v>
      </c>
      <c r="AC2656" t="s">
        <v>40</v>
      </c>
      <c r="AD2656" t="s">
        <v>696</v>
      </c>
    </row>
    <row r="2657" spans="2:30">
      <c r="B2657">
        <v>0</v>
      </c>
      <c r="C2657">
        <v>1020</v>
      </c>
      <c r="D2657" t="s">
        <v>693</v>
      </c>
      <c r="E2657">
        <v>14111219</v>
      </c>
      <c r="F2657" t="s">
        <v>2743</v>
      </c>
      <c r="G2657" t="s">
        <v>43</v>
      </c>
      <c r="H2657" t="s">
        <v>32</v>
      </c>
      <c r="I2657" t="s">
        <v>695</v>
      </c>
      <c r="J2657" t="s">
        <v>45</v>
      </c>
      <c r="K2657" t="s">
        <v>35</v>
      </c>
      <c r="L2657" t="s">
        <v>175</v>
      </c>
      <c r="M2657" t="s">
        <v>46</v>
      </c>
      <c r="N2657">
        <v>0</v>
      </c>
      <c r="O2657">
        <v>0</v>
      </c>
      <c r="P2657">
        <v>0</v>
      </c>
      <c r="Q2657">
        <v>0</v>
      </c>
      <c r="R2657">
        <v>0</v>
      </c>
      <c r="S2657" t="str">
        <f t="shared" si="205"/>
        <v>PY: Media Crit.</v>
      </c>
      <c r="T2657">
        <f t="shared" si="206"/>
        <v>1</v>
      </c>
      <c r="U2657">
        <f t="shared" si="207"/>
        <v>0</v>
      </c>
      <c r="V2657">
        <f t="shared" si="208"/>
        <v>0</v>
      </c>
      <c r="W2657">
        <f t="shared" si="209"/>
        <v>0</v>
      </c>
      <c r="X2657">
        <v>1</v>
      </c>
      <c r="Y2657" s="2">
        <v>45768</v>
      </c>
      <c r="Z2657" s="3" t="s">
        <v>47</v>
      </c>
      <c r="AA2657" t="s">
        <v>39</v>
      </c>
      <c r="AB2657" t="s">
        <v>40</v>
      </c>
      <c r="AC2657" t="s">
        <v>40</v>
      </c>
      <c r="AD2657" t="s">
        <v>696</v>
      </c>
    </row>
    <row r="2658" spans="2:30">
      <c r="B2658">
        <v>0</v>
      </c>
      <c r="C2658">
        <v>1020</v>
      </c>
      <c r="D2658" t="s">
        <v>693</v>
      </c>
      <c r="E2658">
        <v>14111223</v>
      </c>
      <c r="F2658" t="s">
        <v>2744</v>
      </c>
      <c r="G2658" t="s">
        <v>43</v>
      </c>
      <c r="H2658" t="s">
        <v>32</v>
      </c>
      <c r="I2658" t="s">
        <v>695</v>
      </c>
      <c r="J2658" t="s">
        <v>45</v>
      </c>
      <c r="K2658" t="s">
        <v>35</v>
      </c>
      <c r="L2658" t="s">
        <v>175</v>
      </c>
      <c r="M2658" t="s">
        <v>46</v>
      </c>
      <c r="N2658">
        <v>0</v>
      </c>
      <c r="O2658">
        <v>0</v>
      </c>
      <c r="P2658">
        <v>0</v>
      </c>
      <c r="Q2658">
        <v>0</v>
      </c>
      <c r="R2658">
        <v>0</v>
      </c>
      <c r="S2658" t="str">
        <f t="shared" si="205"/>
        <v>PY: Media Crit.</v>
      </c>
      <c r="T2658">
        <f t="shared" si="206"/>
        <v>1</v>
      </c>
      <c r="U2658">
        <f t="shared" si="207"/>
        <v>0</v>
      </c>
      <c r="V2658">
        <f t="shared" si="208"/>
        <v>0</v>
      </c>
      <c r="W2658">
        <f t="shared" si="209"/>
        <v>0</v>
      </c>
      <c r="X2658">
        <v>1</v>
      </c>
      <c r="Y2658" s="2">
        <v>45768</v>
      </c>
      <c r="Z2658" s="3" t="s">
        <v>47</v>
      </c>
      <c r="AA2658" t="s">
        <v>39</v>
      </c>
      <c r="AB2658" t="s">
        <v>40</v>
      </c>
      <c r="AC2658" t="s">
        <v>40</v>
      </c>
      <c r="AD2658" t="s">
        <v>696</v>
      </c>
    </row>
    <row r="2659" spans="2:30">
      <c r="B2659">
        <v>0</v>
      </c>
      <c r="C2659">
        <v>1020</v>
      </c>
      <c r="D2659" t="s">
        <v>388</v>
      </c>
      <c r="E2659">
        <v>14112012</v>
      </c>
      <c r="F2659" t="s">
        <v>2745</v>
      </c>
      <c r="G2659" t="s">
        <v>43</v>
      </c>
      <c r="H2659" t="s">
        <v>60</v>
      </c>
      <c r="I2659" t="s">
        <v>390</v>
      </c>
      <c r="J2659" t="s">
        <v>45</v>
      </c>
      <c r="K2659" t="s">
        <v>35</v>
      </c>
      <c r="L2659" t="s">
        <v>175</v>
      </c>
      <c r="M2659" t="s">
        <v>69</v>
      </c>
      <c r="N2659">
        <v>0</v>
      </c>
      <c r="O2659">
        <v>0</v>
      </c>
      <c r="P2659">
        <v>4</v>
      </c>
      <c r="Q2659">
        <v>4</v>
      </c>
      <c r="R2659" s="4">
        <v>20310.490000000002</v>
      </c>
      <c r="S2659" t="str">
        <f t="shared" si="205"/>
        <v>PY: Media Crit.</v>
      </c>
      <c r="T2659">
        <f t="shared" si="206"/>
        <v>0</v>
      </c>
      <c r="U2659">
        <f t="shared" si="207"/>
        <v>1</v>
      </c>
      <c r="V2659">
        <f t="shared" si="208"/>
        <v>0</v>
      </c>
      <c r="W2659">
        <f t="shared" si="209"/>
        <v>1</v>
      </c>
      <c r="X2659">
        <v>1</v>
      </c>
      <c r="Y2659" s="2">
        <v>45768</v>
      </c>
      <c r="Z2659" s="3" t="s">
        <v>70</v>
      </c>
      <c r="AA2659" t="s">
        <v>39</v>
      </c>
      <c r="AB2659" t="s">
        <v>40</v>
      </c>
      <c r="AC2659" t="s">
        <v>40</v>
      </c>
      <c r="AD2659" t="s">
        <v>391</v>
      </c>
    </row>
    <row r="2660" spans="2:30">
      <c r="B2660">
        <v>0</v>
      </c>
      <c r="C2660">
        <v>1020</v>
      </c>
      <c r="D2660" t="s">
        <v>388</v>
      </c>
      <c r="E2660">
        <v>14112015</v>
      </c>
      <c r="F2660" t="s">
        <v>2746</v>
      </c>
      <c r="G2660" t="s">
        <v>43</v>
      </c>
      <c r="H2660" t="s">
        <v>60</v>
      </c>
      <c r="I2660" t="s">
        <v>390</v>
      </c>
      <c r="J2660" t="s">
        <v>45</v>
      </c>
      <c r="K2660" t="s">
        <v>35</v>
      </c>
      <c r="L2660" t="s">
        <v>175</v>
      </c>
      <c r="M2660" t="s">
        <v>69</v>
      </c>
      <c r="N2660">
        <v>0</v>
      </c>
      <c r="O2660">
        <v>0</v>
      </c>
      <c r="P2660">
        <v>8</v>
      </c>
      <c r="Q2660">
        <v>8</v>
      </c>
      <c r="R2660" s="4">
        <v>6775.31</v>
      </c>
      <c r="S2660" t="str">
        <f t="shared" si="205"/>
        <v>PY: Media Crit.</v>
      </c>
      <c r="T2660">
        <f t="shared" si="206"/>
        <v>0</v>
      </c>
      <c r="U2660">
        <f t="shared" si="207"/>
        <v>1</v>
      </c>
      <c r="V2660">
        <f t="shared" si="208"/>
        <v>0</v>
      </c>
      <c r="W2660">
        <f t="shared" si="209"/>
        <v>1</v>
      </c>
      <c r="X2660">
        <v>1</v>
      </c>
      <c r="Y2660" s="2">
        <v>45768</v>
      </c>
      <c r="Z2660" s="3" t="s">
        <v>70</v>
      </c>
      <c r="AA2660" t="s">
        <v>39</v>
      </c>
      <c r="AB2660" t="s">
        <v>40</v>
      </c>
      <c r="AC2660" t="s">
        <v>40</v>
      </c>
      <c r="AD2660" t="s">
        <v>391</v>
      </c>
    </row>
    <row r="2661" spans="2:30">
      <c r="B2661">
        <v>0</v>
      </c>
      <c r="C2661">
        <v>1020</v>
      </c>
      <c r="D2661" t="s">
        <v>693</v>
      </c>
      <c r="E2661">
        <v>14112499</v>
      </c>
      <c r="F2661" t="s">
        <v>2747</v>
      </c>
      <c r="G2661" t="s">
        <v>43</v>
      </c>
      <c r="H2661" t="s">
        <v>32</v>
      </c>
      <c r="I2661" t="s">
        <v>695</v>
      </c>
      <c r="J2661" t="s">
        <v>45</v>
      </c>
      <c r="K2661" t="s">
        <v>35</v>
      </c>
      <c r="L2661" t="s">
        <v>175</v>
      </c>
      <c r="M2661" t="s">
        <v>117</v>
      </c>
      <c r="N2661">
        <v>0</v>
      </c>
      <c r="O2661">
        <v>0</v>
      </c>
      <c r="P2661">
        <v>0</v>
      </c>
      <c r="Q2661">
        <v>1</v>
      </c>
      <c r="R2661">
        <v>0</v>
      </c>
      <c r="S2661" t="str">
        <f t="shared" si="205"/>
        <v>PY: Media Crit.</v>
      </c>
      <c r="T2661">
        <f t="shared" si="206"/>
        <v>0</v>
      </c>
      <c r="U2661">
        <f t="shared" si="207"/>
        <v>0</v>
      </c>
      <c r="V2661">
        <f t="shared" si="208"/>
        <v>0</v>
      </c>
      <c r="W2661">
        <f t="shared" si="209"/>
        <v>1</v>
      </c>
      <c r="X2661">
        <v>1</v>
      </c>
      <c r="Y2661" s="2">
        <v>45768</v>
      </c>
      <c r="Z2661" s="3" t="s">
        <v>118</v>
      </c>
      <c r="AA2661" t="s">
        <v>39</v>
      </c>
      <c r="AB2661" t="s">
        <v>40</v>
      </c>
      <c r="AC2661" t="s">
        <v>40</v>
      </c>
      <c r="AD2661" t="s">
        <v>696</v>
      </c>
    </row>
    <row r="2662" spans="2:30">
      <c r="B2662">
        <v>0</v>
      </c>
      <c r="C2662">
        <v>1020</v>
      </c>
      <c r="D2662" t="s">
        <v>693</v>
      </c>
      <c r="E2662">
        <v>14112506</v>
      </c>
      <c r="F2662" t="s">
        <v>2748</v>
      </c>
      <c r="G2662" t="s">
        <v>43</v>
      </c>
      <c r="H2662" t="s">
        <v>32</v>
      </c>
      <c r="I2662" t="s">
        <v>695</v>
      </c>
      <c r="J2662" t="s">
        <v>45</v>
      </c>
      <c r="K2662" t="s">
        <v>35</v>
      </c>
      <c r="L2662" t="s">
        <v>175</v>
      </c>
      <c r="M2662" t="s">
        <v>117</v>
      </c>
      <c r="N2662">
        <v>0</v>
      </c>
      <c r="O2662">
        <v>0</v>
      </c>
      <c r="P2662">
        <v>0</v>
      </c>
      <c r="Q2662">
        <v>2</v>
      </c>
      <c r="R2662">
        <v>0</v>
      </c>
      <c r="S2662" t="str">
        <f t="shared" si="205"/>
        <v>PY: Media Crit.</v>
      </c>
      <c r="T2662">
        <f t="shared" si="206"/>
        <v>0</v>
      </c>
      <c r="U2662">
        <f t="shared" si="207"/>
        <v>0</v>
      </c>
      <c r="V2662">
        <f t="shared" si="208"/>
        <v>0</v>
      </c>
      <c r="W2662">
        <f t="shared" si="209"/>
        <v>1</v>
      </c>
      <c r="X2662">
        <v>1</v>
      </c>
      <c r="Y2662" s="2">
        <v>45768</v>
      </c>
      <c r="Z2662" s="3" t="s">
        <v>118</v>
      </c>
      <c r="AA2662" t="s">
        <v>39</v>
      </c>
      <c r="AB2662" t="s">
        <v>40</v>
      </c>
      <c r="AC2662" t="s">
        <v>40</v>
      </c>
      <c r="AD2662" t="s">
        <v>696</v>
      </c>
    </row>
    <row r="2663" spans="2:30">
      <c r="B2663">
        <v>0</v>
      </c>
      <c r="C2663">
        <v>1020</v>
      </c>
      <c r="D2663" t="s">
        <v>693</v>
      </c>
      <c r="E2663">
        <v>14114354</v>
      </c>
      <c r="F2663" t="s">
        <v>2749</v>
      </c>
      <c r="G2663" t="s">
        <v>43</v>
      </c>
      <c r="H2663" t="s">
        <v>32</v>
      </c>
      <c r="I2663" t="s">
        <v>695</v>
      </c>
      <c r="J2663" t="s">
        <v>45</v>
      </c>
      <c r="K2663" t="s">
        <v>35</v>
      </c>
      <c r="L2663" t="s">
        <v>175</v>
      </c>
      <c r="M2663" t="s">
        <v>117</v>
      </c>
      <c r="N2663">
        <v>0</v>
      </c>
      <c r="O2663">
        <v>0</v>
      </c>
      <c r="P2663">
        <v>0</v>
      </c>
      <c r="Q2663">
        <v>1</v>
      </c>
      <c r="R2663">
        <v>0</v>
      </c>
      <c r="S2663" t="str">
        <f t="shared" si="205"/>
        <v>PY: Media Crit.</v>
      </c>
      <c r="T2663">
        <f t="shared" si="206"/>
        <v>0</v>
      </c>
      <c r="U2663">
        <f t="shared" si="207"/>
        <v>0</v>
      </c>
      <c r="V2663">
        <f t="shared" si="208"/>
        <v>0</v>
      </c>
      <c r="W2663">
        <f t="shared" si="209"/>
        <v>1</v>
      </c>
      <c r="X2663">
        <v>1</v>
      </c>
      <c r="Y2663" s="2">
        <v>45768</v>
      </c>
      <c r="Z2663" s="3" t="s">
        <v>118</v>
      </c>
      <c r="AA2663" t="s">
        <v>39</v>
      </c>
      <c r="AB2663" t="s">
        <v>40</v>
      </c>
      <c r="AC2663" t="s">
        <v>40</v>
      </c>
      <c r="AD2663" t="s">
        <v>696</v>
      </c>
    </row>
    <row r="2664" spans="2:30">
      <c r="B2664">
        <v>0</v>
      </c>
      <c r="C2664">
        <v>1020</v>
      </c>
      <c r="D2664" t="s">
        <v>181</v>
      </c>
      <c r="E2664">
        <v>14115237</v>
      </c>
      <c r="F2664" t="s">
        <v>2750</v>
      </c>
      <c r="G2664" t="s">
        <v>52</v>
      </c>
      <c r="H2664" t="s">
        <v>60</v>
      </c>
      <c r="I2664" t="s">
        <v>183</v>
      </c>
      <c r="J2664" t="s">
        <v>45</v>
      </c>
      <c r="K2664" t="s">
        <v>35</v>
      </c>
      <c r="L2664" t="s">
        <v>36</v>
      </c>
      <c r="M2664" t="s">
        <v>117</v>
      </c>
      <c r="N2664">
        <v>2</v>
      </c>
      <c r="O2664">
        <v>2</v>
      </c>
      <c r="P2664">
        <v>0</v>
      </c>
      <c r="Q2664">
        <v>2</v>
      </c>
      <c r="R2664">
        <v>0</v>
      </c>
      <c r="S2664" t="str">
        <f t="shared" si="205"/>
        <v>PZ: Alta Crit.</v>
      </c>
      <c r="T2664">
        <f t="shared" si="206"/>
        <v>0</v>
      </c>
      <c r="U2664">
        <f t="shared" si="207"/>
        <v>0</v>
      </c>
      <c r="V2664">
        <f t="shared" si="208"/>
        <v>1</v>
      </c>
      <c r="W2664">
        <f t="shared" si="209"/>
        <v>0</v>
      </c>
      <c r="X2664">
        <v>1</v>
      </c>
      <c r="Y2664" s="2">
        <v>45768</v>
      </c>
      <c r="Z2664" s="3" t="s">
        <v>118</v>
      </c>
      <c r="AA2664" t="s">
        <v>39</v>
      </c>
      <c r="AB2664" t="s">
        <v>40</v>
      </c>
      <c r="AC2664" t="s">
        <v>40</v>
      </c>
      <c r="AD2664" t="s">
        <v>184</v>
      </c>
    </row>
    <row r="2665" spans="2:30">
      <c r="B2665">
        <v>0</v>
      </c>
      <c r="C2665">
        <v>1020</v>
      </c>
      <c r="D2665" t="s">
        <v>181</v>
      </c>
      <c r="E2665">
        <v>14121496</v>
      </c>
      <c r="F2665" t="s">
        <v>2751</v>
      </c>
      <c r="G2665" t="s">
        <v>52</v>
      </c>
      <c r="H2665" t="s">
        <v>32</v>
      </c>
      <c r="I2665" t="s">
        <v>183</v>
      </c>
      <c r="J2665" t="s">
        <v>45</v>
      </c>
      <c r="K2665" t="s">
        <v>35</v>
      </c>
      <c r="L2665" t="s">
        <v>36</v>
      </c>
      <c r="M2665" t="s">
        <v>46</v>
      </c>
      <c r="N2665">
        <v>4</v>
      </c>
      <c r="O2665">
        <v>3</v>
      </c>
      <c r="P2665">
        <v>0</v>
      </c>
      <c r="Q2665">
        <v>4</v>
      </c>
      <c r="R2665">
        <v>0</v>
      </c>
      <c r="S2665" t="str">
        <f t="shared" si="205"/>
        <v>PZ: Alta Crit.</v>
      </c>
      <c r="T2665">
        <f t="shared" si="206"/>
        <v>0</v>
      </c>
      <c r="U2665">
        <f t="shared" si="207"/>
        <v>0</v>
      </c>
      <c r="V2665">
        <f t="shared" si="208"/>
        <v>1</v>
      </c>
      <c r="W2665">
        <f t="shared" si="209"/>
        <v>0</v>
      </c>
      <c r="X2665">
        <v>1</v>
      </c>
      <c r="Y2665" s="2">
        <v>45768</v>
      </c>
      <c r="Z2665" s="3" t="s">
        <v>47</v>
      </c>
      <c r="AA2665" t="s">
        <v>39</v>
      </c>
      <c r="AB2665" t="s">
        <v>40</v>
      </c>
      <c r="AC2665" t="s">
        <v>40</v>
      </c>
      <c r="AD2665" t="s">
        <v>184</v>
      </c>
    </row>
    <row r="2666" spans="2:30">
      <c r="B2666">
        <v>0</v>
      </c>
      <c r="C2666">
        <v>1020</v>
      </c>
      <c r="D2666" t="s">
        <v>181</v>
      </c>
      <c r="E2666">
        <v>14121497</v>
      </c>
      <c r="F2666" t="s">
        <v>2752</v>
      </c>
      <c r="G2666" t="s">
        <v>52</v>
      </c>
      <c r="H2666" t="s">
        <v>32</v>
      </c>
      <c r="I2666" t="s">
        <v>183</v>
      </c>
      <c r="J2666" t="s">
        <v>45</v>
      </c>
      <c r="K2666" t="s">
        <v>35</v>
      </c>
      <c r="L2666" t="s">
        <v>36</v>
      </c>
      <c r="M2666" t="s">
        <v>46</v>
      </c>
      <c r="N2666">
        <v>4</v>
      </c>
      <c r="O2666">
        <v>3</v>
      </c>
      <c r="P2666">
        <v>0</v>
      </c>
      <c r="Q2666">
        <v>4</v>
      </c>
      <c r="R2666">
        <v>0</v>
      </c>
      <c r="S2666" t="str">
        <f t="shared" si="205"/>
        <v>PZ: Alta Crit.</v>
      </c>
      <c r="T2666">
        <f t="shared" si="206"/>
        <v>0</v>
      </c>
      <c r="U2666">
        <f t="shared" si="207"/>
        <v>0</v>
      </c>
      <c r="V2666">
        <f t="shared" si="208"/>
        <v>1</v>
      </c>
      <c r="W2666">
        <f t="shared" si="209"/>
        <v>0</v>
      </c>
      <c r="X2666">
        <v>1</v>
      </c>
      <c r="Y2666" s="2">
        <v>45768</v>
      </c>
      <c r="Z2666" s="3" t="s">
        <v>47</v>
      </c>
      <c r="AA2666" t="s">
        <v>39</v>
      </c>
      <c r="AB2666" t="s">
        <v>40</v>
      </c>
      <c r="AC2666" t="s">
        <v>40</v>
      </c>
      <c r="AD2666" t="s">
        <v>184</v>
      </c>
    </row>
    <row r="2667" spans="2:30">
      <c r="B2667">
        <v>0</v>
      </c>
      <c r="C2667">
        <v>1020</v>
      </c>
      <c r="D2667" t="s">
        <v>388</v>
      </c>
      <c r="E2667">
        <v>14123157</v>
      </c>
      <c r="F2667" t="s">
        <v>2753</v>
      </c>
      <c r="G2667" t="s">
        <v>43</v>
      </c>
      <c r="H2667" t="s">
        <v>44</v>
      </c>
      <c r="I2667" t="s">
        <v>390</v>
      </c>
      <c r="J2667" t="s">
        <v>45</v>
      </c>
      <c r="K2667" t="s">
        <v>35</v>
      </c>
      <c r="L2667" t="s">
        <v>175</v>
      </c>
      <c r="M2667" t="s">
        <v>69</v>
      </c>
      <c r="N2667">
        <v>0</v>
      </c>
      <c r="O2667">
        <v>0</v>
      </c>
      <c r="P2667">
        <v>1</v>
      </c>
      <c r="Q2667">
        <v>0</v>
      </c>
      <c r="R2667">
        <v>0</v>
      </c>
      <c r="S2667" t="str">
        <f t="shared" si="205"/>
        <v>PY: Media Crit.</v>
      </c>
      <c r="T2667">
        <f t="shared" si="206"/>
        <v>1</v>
      </c>
      <c r="U2667">
        <f t="shared" si="207"/>
        <v>0</v>
      </c>
      <c r="V2667">
        <f t="shared" si="208"/>
        <v>0</v>
      </c>
      <c r="W2667">
        <f t="shared" si="209"/>
        <v>0</v>
      </c>
      <c r="X2667">
        <v>1</v>
      </c>
      <c r="Y2667" s="2">
        <v>45768</v>
      </c>
      <c r="Z2667" s="3" t="s">
        <v>70</v>
      </c>
      <c r="AA2667" t="s">
        <v>39</v>
      </c>
      <c r="AB2667" t="s">
        <v>49</v>
      </c>
      <c r="AC2667" s="5" t="s">
        <v>50</v>
      </c>
      <c r="AD2667" t="s">
        <v>391</v>
      </c>
    </row>
    <row r="2668" spans="2:30">
      <c r="B2668">
        <v>0</v>
      </c>
      <c r="C2668">
        <v>1020</v>
      </c>
      <c r="D2668" t="s">
        <v>388</v>
      </c>
      <c r="E2668">
        <v>14123158</v>
      </c>
      <c r="F2668" t="s">
        <v>2754</v>
      </c>
      <c r="G2668" t="s">
        <v>52</v>
      </c>
      <c r="H2668" t="s">
        <v>44</v>
      </c>
      <c r="I2668" t="s">
        <v>390</v>
      </c>
      <c r="J2668" t="s">
        <v>45</v>
      </c>
      <c r="K2668" t="s">
        <v>35</v>
      </c>
      <c r="L2668" t="s">
        <v>175</v>
      </c>
      <c r="M2668" t="s">
        <v>69</v>
      </c>
      <c r="N2668">
        <v>0</v>
      </c>
      <c r="O2668">
        <v>0</v>
      </c>
      <c r="P2668">
        <v>1</v>
      </c>
      <c r="Q2668">
        <v>0</v>
      </c>
      <c r="R2668">
        <v>0</v>
      </c>
      <c r="S2668" t="str">
        <f t="shared" si="205"/>
        <v>PZ: Alta Crit.</v>
      </c>
      <c r="T2668">
        <f t="shared" si="206"/>
        <v>1</v>
      </c>
      <c r="U2668">
        <f t="shared" si="207"/>
        <v>0</v>
      </c>
      <c r="V2668">
        <f t="shared" si="208"/>
        <v>0</v>
      </c>
      <c r="W2668">
        <f t="shared" si="209"/>
        <v>0</v>
      </c>
      <c r="X2668">
        <v>1</v>
      </c>
      <c r="Y2668" s="2">
        <v>45768</v>
      </c>
      <c r="Z2668" s="3" t="s">
        <v>70</v>
      </c>
      <c r="AA2668" t="s">
        <v>39</v>
      </c>
      <c r="AB2668" t="s">
        <v>49</v>
      </c>
      <c r="AC2668" s="5" t="s">
        <v>50</v>
      </c>
      <c r="AD2668" t="s">
        <v>391</v>
      </c>
    </row>
    <row r="2669" spans="2:30">
      <c r="B2669">
        <v>0</v>
      </c>
      <c r="C2669">
        <v>1020</v>
      </c>
      <c r="D2669" t="s">
        <v>388</v>
      </c>
      <c r="E2669">
        <v>14128665</v>
      </c>
      <c r="F2669" t="s">
        <v>2755</v>
      </c>
      <c r="G2669" t="s">
        <v>52</v>
      </c>
      <c r="H2669" t="s">
        <v>60</v>
      </c>
      <c r="I2669" t="s">
        <v>390</v>
      </c>
      <c r="J2669" t="s">
        <v>45</v>
      </c>
      <c r="K2669" t="s">
        <v>35</v>
      </c>
      <c r="L2669" t="s">
        <v>175</v>
      </c>
      <c r="M2669" t="s">
        <v>37</v>
      </c>
      <c r="N2669">
        <v>0</v>
      </c>
      <c r="O2669">
        <v>0</v>
      </c>
      <c r="P2669">
        <v>1</v>
      </c>
      <c r="Q2669">
        <v>1</v>
      </c>
      <c r="R2669">
        <v>0</v>
      </c>
      <c r="S2669" t="str">
        <f t="shared" si="205"/>
        <v>PZ: Alta Crit.</v>
      </c>
      <c r="T2669">
        <f t="shared" si="206"/>
        <v>0</v>
      </c>
      <c r="U2669">
        <f t="shared" si="207"/>
        <v>1</v>
      </c>
      <c r="V2669">
        <f t="shared" si="208"/>
        <v>0</v>
      </c>
      <c r="W2669">
        <f t="shared" si="209"/>
        <v>1</v>
      </c>
      <c r="X2669">
        <v>1</v>
      </c>
      <c r="Y2669" s="2">
        <v>45768</v>
      </c>
      <c r="Z2669" s="3" t="s">
        <v>38</v>
      </c>
      <c r="AA2669" t="s">
        <v>39</v>
      </c>
      <c r="AB2669" t="s">
        <v>40</v>
      </c>
      <c r="AC2669" t="s">
        <v>40</v>
      </c>
      <c r="AD2669" t="s">
        <v>391</v>
      </c>
    </row>
    <row r="2670" spans="2:30">
      <c r="B2670">
        <v>0</v>
      </c>
      <c r="C2670">
        <v>1020</v>
      </c>
      <c r="D2670" t="s">
        <v>388</v>
      </c>
      <c r="E2670">
        <v>14128666</v>
      </c>
      <c r="F2670" t="s">
        <v>2756</v>
      </c>
      <c r="G2670" t="s">
        <v>43</v>
      </c>
      <c r="H2670" t="s">
        <v>60</v>
      </c>
      <c r="I2670" t="s">
        <v>390</v>
      </c>
      <c r="J2670" t="s">
        <v>45</v>
      </c>
      <c r="K2670" t="s">
        <v>35</v>
      </c>
      <c r="L2670" t="s">
        <v>175</v>
      </c>
      <c r="M2670" t="s">
        <v>37</v>
      </c>
      <c r="N2670">
        <v>0</v>
      </c>
      <c r="O2670">
        <v>0</v>
      </c>
      <c r="P2670">
        <v>1</v>
      </c>
      <c r="Q2670">
        <v>1</v>
      </c>
      <c r="R2670">
        <v>0</v>
      </c>
      <c r="S2670" t="str">
        <f t="shared" si="205"/>
        <v>PY: Media Crit.</v>
      </c>
      <c r="T2670">
        <f t="shared" si="206"/>
        <v>0</v>
      </c>
      <c r="U2670">
        <f t="shared" si="207"/>
        <v>1</v>
      </c>
      <c r="V2670">
        <f t="shared" si="208"/>
        <v>0</v>
      </c>
      <c r="W2670">
        <f t="shared" si="209"/>
        <v>1</v>
      </c>
      <c r="X2670">
        <v>1</v>
      </c>
      <c r="Y2670" s="2">
        <v>45768</v>
      </c>
      <c r="Z2670" s="3" t="s">
        <v>38</v>
      </c>
      <c r="AA2670" t="s">
        <v>39</v>
      </c>
      <c r="AB2670" t="s">
        <v>40</v>
      </c>
      <c r="AC2670" t="s">
        <v>40</v>
      </c>
      <c r="AD2670" t="s">
        <v>391</v>
      </c>
    </row>
    <row r="2671" spans="2:30">
      <c r="B2671">
        <v>0</v>
      </c>
      <c r="C2671">
        <v>1020</v>
      </c>
      <c r="D2671" t="s">
        <v>388</v>
      </c>
      <c r="E2671">
        <v>14128667</v>
      </c>
      <c r="F2671" t="s">
        <v>2757</v>
      </c>
      <c r="G2671" t="s">
        <v>43</v>
      </c>
      <c r="H2671" t="s">
        <v>60</v>
      </c>
      <c r="I2671" t="s">
        <v>390</v>
      </c>
      <c r="J2671" t="s">
        <v>45</v>
      </c>
      <c r="K2671" t="s">
        <v>35</v>
      </c>
      <c r="L2671" t="s">
        <v>175</v>
      </c>
      <c r="M2671" t="s">
        <v>37</v>
      </c>
      <c r="N2671">
        <v>0</v>
      </c>
      <c r="O2671">
        <v>0</v>
      </c>
      <c r="P2671">
        <v>1</v>
      </c>
      <c r="Q2671">
        <v>1</v>
      </c>
      <c r="R2671">
        <v>0</v>
      </c>
      <c r="S2671" t="str">
        <f t="shared" si="205"/>
        <v>PY: Media Crit.</v>
      </c>
      <c r="T2671">
        <f t="shared" si="206"/>
        <v>0</v>
      </c>
      <c r="U2671">
        <f t="shared" si="207"/>
        <v>1</v>
      </c>
      <c r="V2671">
        <f t="shared" si="208"/>
        <v>0</v>
      </c>
      <c r="W2671">
        <f t="shared" si="209"/>
        <v>1</v>
      </c>
      <c r="X2671">
        <v>1</v>
      </c>
      <c r="Y2671" s="2">
        <v>45768</v>
      </c>
      <c r="Z2671" s="3" t="s">
        <v>38</v>
      </c>
      <c r="AA2671" t="s">
        <v>39</v>
      </c>
      <c r="AB2671" t="s">
        <v>40</v>
      </c>
      <c r="AC2671" t="s">
        <v>40</v>
      </c>
      <c r="AD2671" t="s">
        <v>391</v>
      </c>
    </row>
    <row r="2672" spans="2:30">
      <c r="B2672">
        <v>0</v>
      </c>
      <c r="C2672">
        <v>1020</v>
      </c>
      <c r="D2672" t="s">
        <v>181</v>
      </c>
      <c r="E2672">
        <v>14128769</v>
      </c>
      <c r="F2672" t="s">
        <v>2758</v>
      </c>
      <c r="G2672" t="s">
        <v>43</v>
      </c>
      <c r="H2672" t="s">
        <v>60</v>
      </c>
      <c r="I2672" t="s">
        <v>183</v>
      </c>
      <c r="J2672" t="s">
        <v>45</v>
      </c>
      <c r="K2672" t="s">
        <v>35</v>
      </c>
      <c r="L2672" t="s">
        <v>36</v>
      </c>
      <c r="M2672" t="s">
        <v>46</v>
      </c>
      <c r="N2672">
        <v>10</v>
      </c>
      <c r="O2672">
        <v>8</v>
      </c>
      <c r="P2672">
        <v>0</v>
      </c>
      <c r="Q2672">
        <v>10</v>
      </c>
      <c r="R2672">
        <v>0</v>
      </c>
      <c r="S2672" t="str">
        <f t="shared" si="205"/>
        <v>PY: Media Crit.</v>
      </c>
      <c r="T2672">
        <f t="shared" si="206"/>
        <v>0</v>
      </c>
      <c r="U2672">
        <f t="shared" si="207"/>
        <v>0</v>
      </c>
      <c r="V2672">
        <f t="shared" si="208"/>
        <v>1</v>
      </c>
      <c r="W2672">
        <f t="shared" si="209"/>
        <v>0</v>
      </c>
      <c r="X2672">
        <v>1</v>
      </c>
      <c r="Y2672" s="2">
        <v>45768</v>
      </c>
      <c r="Z2672" s="3" t="s">
        <v>47</v>
      </c>
      <c r="AA2672" t="s">
        <v>39</v>
      </c>
      <c r="AB2672" t="s">
        <v>40</v>
      </c>
      <c r="AC2672" t="s">
        <v>40</v>
      </c>
      <c r="AD2672" t="s">
        <v>184</v>
      </c>
    </row>
    <row r="2673" spans="2:30">
      <c r="B2673">
        <v>0</v>
      </c>
      <c r="C2673">
        <v>1020</v>
      </c>
      <c r="D2673" t="s">
        <v>181</v>
      </c>
      <c r="E2673">
        <v>14128771</v>
      </c>
      <c r="F2673" t="s">
        <v>2759</v>
      </c>
      <c r="G2673" t="s">
        <v>43</v>
      </c>
      <c r="H2673" t="s">
        <v>60</v>
      </c>
      <c r="I2673" t="s">
        <v>183</v>
      </c>
      <c r="J2673" t="s">
        <v>45</v>
      </c>
      <c r="K2673" t="s">
        <v>35</v>
      </c>
      <c r="L2673" t="s">
        <v>36</v>
      </c>
      <c r="M2673" t="s">
        <v>46</v>
      </c>
      <c r="N2673">
        <v>10</v>
      </c>
      <c r="O2673">
        <v>8</v>
      </c>
      <c r="P2673">
        <v>0</v>
      </c>
      <c r="Q2673">
        <v>0</v>
      </c>
      <c r="R2673">
        <v>0</v>
      </c>
      <c r="S2673" t="str">
        <f t="shared" si="205"/>
        <v>PY: Media Crit.</v>
      </c>
      <c r="T2673">
        <f t="shared" si="206"/>
        <v>1</v>
      </c>
      <c r="U2673">
        <f t="shared" si="207"/>
        <v>0</v>
      </c>
      <c r="V2673">
        <f t="shared" si="208"/>
        <v>0</v>
      </c>
      <c r="W2673">
        <f t="shared" si="209"/>
        <v>0</v>
      </c>
      <c r="X2673">
        <v>1</v>
      </c>
      <c r="Y2673" s="2">
        <v>45768</v>
      </c>
      <c r="Z2673" s="3" t="s">
        <v>47</v>
      </c>
      <c r="AA2673" t="s">
        <v>39</v>
      </c>
      <c r="AB2673" t="s">
        <v>49</v>
      </c>
      <c r="AC2673" s="5" t="s">
        <v>50</v>
      </c>
      <c r="AD2673" t="s">
        <v>184</v>
      </c>
    </row>
    <row r="2674" spans="2:30">
      <c r="B2674">
        <v>0</v>
      </c>
      <c r="C2674">
        <v>1020</v>
      </c>
      <c r="D2674" t="s">
        <v>181</v>
      </c>
      <c r="E2674">
        <v>14128772</v>
      </c>
      <c r="F2674" t="s">
        <v>2760</v>
      </c>
      <c r="G2674" t="s">
        <v>43</v>
      </c>
      <c r="H2674" t="s">
        <v>60</v>
      </c>
      <c r="I2674" t="s">
        <v>183</v>
      </c>
      <c r="J2674" t="s">
        <v>45</v>
      </c>
      <c r="K2674" t="s">
        <v>35</v>
      </c>
      <c r="L2674" t="s">
        <v>36</v>
      </c>
      <c r="M2674" t="s">
        <v>46</v>
      </c>
      <c r="N2674">
        <v>10</v>
      </c>
      <c r="O2674">
        <v>8</v>
      </c>
      <c r="P2674">
        <v>0</v>
      </c>
      <c r="Q2674">
        <v>10</v>
      </c>
      <c r="R2674">
        <v>142.88</v>
      </c>
      <c r="S2674" t="str">
        <f t="shared" si="205"/>
        <v>PY: Media Crit.</v>
      </c>
      <c r="T2674">
        <f t="shared" si="206"/>
        <v>0</v>
      </c>
      <c r="U2674">
        <f t="shared" si="207"/>
        <v>0</v>
      </c>
      <c r="V2674">
        <f t="shared" si="208"/>
        <v>1</v>
      </c>
      <c r="W2674">
        <f t="shared" si="209"/>
        <v>0</v>
      </c>
      <c r="X2674">
        <v>1</v>
      </c>
      <c r="Y2674" s="2">
        <v>45768</v>
      </c>
      <c r="Z2674" s="3" t="s">
        <v>47</v>
      </c>
      <c r="AA2674" t="s">
        <v>39</v>
      </c>
      <c r="AB2674" t="s">
        <v>40</v>
      </c>
      <c r="AC2674" t="s">
        <v>40</v>
      </c>
      <c r="AD2674" t="s">
        <v>184</v>
      </c>
    </row>
    <row r="2675" spans="2:30">
      <c r="B2675">
        <v>0</v>
      </c>
      <c r="C2675">
        <v>1020</v>
      </c>
      <c r="D2675" t="s">
        <v>384</v>
      </c>
      <c r="E2675">
        <v>14128777</v>
      </c>
      <c r="F2675" t="s">
        <v>2761</v>
      </c>
      <c r="G2675" t="s">
        <v>43</v>
      </c>
      <c r="H2675" t="s">
        <v>60</v>
      </c>
      <c r="I2675" t="s">
        <v>386</v>
      </c>
      <c r="J2675" t="s">
        <v>45</v>
      </c>
      <c r="K2675" t="s">
        <v>35</v>
      </c>
      <c r="L2675" t="s">
        <v>175</v>
      </c>
      <c r="M2675" t="s">
        <v>46</v>
      </c>
      <c r="N2675">
        <v>0</v>
      </c>
      <c r="O2675">
        <v>0</v>
      </c>
      <c r="P2675">
        <v>0</v>
      </c>
      <c r="Q2675">
        <v>12</v>
      </c>
      <c r="R2675">
        <v>0</v>
      </c>
      <c r="S2675" t="str">
        <f t="shared" si="205"/>
        <v>PY: Media Crit.</v>
      </c>
      <c r="T2675">
        <f t="shared" si="206"/>
        <v>0</v>
      </c>
      <c r="U2675">
        <f t="shared" si="207"/>
        <v>0</v>
      </c>
      <c r="V2675">
        <f t="shared" si="208"/>
        <v>0</v>
      </c>
      <c r="W2675">
        <f t="shared" si="209"/>
        <v>1</v>
      </c>
      <c r="X2675">
        <v>1</v>
      </c>
      <c r="Y2675" s="2">
        <v>45768</v>
      </c>
      <c r="Z2675" s="3" t="s">
        <v>47</v>
      </c>
      <c r="AA2675" t="s">
        <v>39</v>
      </c>
      <c r="AB2675" t="s">
        <v>40</v>
      </c>
      <c r="AC2675" t="s">
        <v>40</v>
      </c>
      <c r="AD2675" t="s">
        <v>387</v>
      </c>
    </row>
    <row r="2676" spans="2:30">
      <c r="B2676">
        <v>0</v>
      </c>
      <c r="C2676">
        <v>1020</v>
      </c>
      <c r="D2676" t="s">
        <v>384</v>
      </c>
      <c r="E2676">
        <v>14128780</v>
      </c>
      <c r="F2676" t="s">
        <v>2762</v>
      </c>
      <c r="G2676" t="s">
        <v>43</v>
      </c>
      <c r="H2676" t="s">
        <v>60</v>
      </c>
      <c r="I2676" t="s">
        <v>386</v>
      </c>
      <c r="J2676" t="s">
        <v>45</v>
      </c>
      <c r="K2676" t="s">
        <v>35</v>
      </c>
      <c r="L2676" t="s">
        <v>175</v>
      </c>
      <c r="M2676" t="s">
        <v>46</v>
      </c>
      <c r="N2676">
        <v>0</v>
      </c>
      <c r="O2676">
        <v>0</v>
      </c>
      <c r="P2676">
        <v>0</v>
      </c>
      <c r="Q2676">
        <v>6</v>
      </c>
      <c r="R2676">
        <v>0</v>
      </c>
      <c r="S2676" t="str">
        <f t="shared" si="205"/>
        <v>PY: Media Crit.</v>
      </c>
      <c r="T2676">
        <f t="shared" si="206"/>
        <v>0</v>
      </c>
      <c r="U2676">
        <f t="shared" si="207"/>
        <v>0</v>
      </c>
      <c r="V2676">
        <f t="shared" si="208"/>
        <v>0</v>
      </c>
      <c r="W2676">
        <f t="shared" si="209"/>
        <v>1</v>
      </c>
      <c r="X2676">
        <v>1</v>
      </c>
      <c r="Y2676" s="2">
        <v>45768</v>
      </c>
      <c r="Z2676" s="3" t="s">
        <v>47</v>
      </c>
      <c r="AA2676" t="s">
        <v>39</v>
      </c>
      <c r="AB2676" t="s">
        <v>40</v>
      </c>
      <c r="AC2676" t="s">
        <v>40</v>
      </c>
      <c r="AD2676" t="s">
        <v>387</v>
      </c>
    </row>
    <row r="2677" spans="2:30">
      <c r="B2677">
        <v>0</v>
      </c>
      <c r="C2677">
        <v>1020</v>
      </c>
      <c r="D2677" t="s">
        <v>181</v>
      </c>
      <c r="E2677">
        <v>14130958</v>
      </c>
      <c r="F2677" t="s">
        <v>2763</v>
      </c>
      <c r="G2677" t="s">
        <v>52</v>
      </c>
      <c r="H2677" t="s">
        <v>44</v>
      </c>
      <c r="I2677" t="s">
        <v>183</v>
      </c>
      <c r="J2677" t="s">
        <v>45</v>
      </c>
      <c r="K2677" t="s">
        <v>35</v>
      </c>
      <c r="L2677" t="s">
        <v>36</v>
      </c>
      <c r="M2677" t="s">
        <v>117</v>
      </c>
      <c r="N2677">
        <v>6</v>
      </c>
      <c r="O2677">
        <v>4</v>
      </c>
      <c r="P2677">
        <v>0</v>
      </c>
      <c r="Q2677">
        <v>12</v>
      </c>
      <c r="R2677" s="4">
        <v>10200</v>
      </c>
      <c r="S2677" t="str">
        <f t="shared" si="205"/>
        <v>PZ: Alta Crit.</v>
      </c>
      <c r="T2677">
        <f t="shared" si="206"/>
        <v>0</v>
      </c>
      <c r="U2677">
        <f t="shared" si="207"/>
        <v>0</v>
      </c>
      <c r="V2677">
        <f t="shared" si="208"/>
        <v>0</v>
      </c>
      <c r="W2677">
        <f t="shared" si="209"/>
        <v>1</v>
      </c>
      <c r="X2677">
        <v>1</v>
      </c>
      <c r="Y2677" s="2">
        <v>45768</v>
      </c>
      <c r="Z2677" s="3" t="s">
        <v>118</v>
      </c>
      <c r="AA2677" t="s">
        <v>39</v>
      </c>
      <c r="AB2677" t="s">
        <v>40</v>
      </c>
      <c r="AC2677" t="s">
        <v>40</v>
      </c>
      <c r="AD2677" t="s">
        <v>184</v>
      </c>
    </row>
    <row r="2678" spans="2:30">
      <c r="B2678">
        <v>0</v>
      </c>
      <c r="C2678">
        <v>1020</v>
      </c>
      <c r="D2678" t="s">
        <v>693</v>
      </c>
      <c r="E2678">
        <v>14131629</v>
      </c>
      <c r="F2678" t="s">
        <v>2764</v>
      </c>
      <c r="G2678" t="s">
        <v>43</v>
      </c>
      <c r="H2678" t="s">
        <v>32</v>
      </c>
      <c r="I2678" t="s">
        <v>695</v>
      </c>
      <c r="J2678" t="s">
        <v>45</v>
      </c>
      <c r="K2678" t="s">
        <v>35</v>
      </c>
      <c r="L2678" t="s">
        <v>175</v>
      </c>
      <c r="M2678" t="s">
        <v>117</v>
      </c>
      <c r="N2678">
        <v>0</v>
      </c>
      <c r="O2678">
        <v>0</v>
      </c>
      <c r="P2678">
        <v>0</v>
      </c>
      <c r="Q2678">
        <v>8</v>
      </c>
      <c r="R2678">
        <v>0</v>
      </c>
      <c r="S2678" t="str">
        <f t="shared" si="205"/>
        <v>PY: Media Crit.</v>
      </c>
      <c r="T2678">
        <f t="shared" si="206"/>
        <v>0</v>
      </c>
      <c r="U2678">
        <f t="shared" si="207"/>
        <v>0</v>
      </c>
      <c r="V2678">
        <f t="shared" si="208"/>
        <v>0</v>
      </c>
      <c r="W2678">
        <f t="shared" si="209"/>
        <v>1</v>
      </c>
      <c r="X2678">
        <v>1</v>
      </c>
      <c r="Y2678" s="2">
        <v>45768</v>
      </c>
      <c r="Z2678" s="3" t="s">
        <v>118</v>
      </c>
      <c r="AA2678" t="s">
        <v>39</v>
      </c>
      <c r="AB2678" t="s">
        <v>40</v>
      </c>
      <c r="AC2678" t="s">
        <v>40</v>
      </c>
      <c r="AD2678" t="s">
        <v>696</v>
      </c>
    </row>
    <row r="2679" spans="2:30">
      <c r="B2679">
        <v>0</v>
      </c>
      <c r="C2679">
        <v>1020</v>
      </c>
      <c r="D2679" t="s">
        <v>693</v>
      </c>
      <c r="E2679">
        <v>14131630</v>
      </c>
      <c r="F2679" t="s">
        <v>2765</v>
      </c>
      <c r="G2679" t="s">
        <v>52</v>
      </c>
      <c r="H2679" t="s">
        <v>32</v>
      </c>
      <c r="I2679" t="s">
        <v>695</v>
      </c>
      <c r="J2679" t="s">
        <v>45</v>
      </c>
      <c r="K2679" t="s">
        <v>35</v>
      </c>
      <c r="L2679" t="s">
        <v>175</v>
      </c>
      <c r="M2679" t="s">
        <v>69</v>
      </c>
      <c r="N2679">
        <v>0</v>
      </c>
      <c r="O2679">
        <v>0</v>
      </c>
      <c r="P2679">
        <v>0</v>
      </c>
      <c r="Q2679">
        <v>1</v>
      </c>
      <c r="R2679">
        <v>0</v>
      </c>
      <c r="S2679" t="str">
        <f t="shared" si="205"/>
        <v>PZ: Alta Crit.</v>
      </c>
      <c r="T2679">
        <f t="shared" si="206"/>
        <v>0</v>
      </c>
      <c r="U2679">
        <f t="shared" si="207"/>
        <v>0</v>
      </c>
      <c r="V2679">
        <f t="shared" si="208"/>
        <v>0</v>
      </c>
      <c r="W2679">
        <f t="shared" si="209"/>
        <v>1</v>
      </c>
      <c r="X2679">
        <v>1</v>
      </c>
      <c r="Y2679" s="2">
        <v>45768</v>
      </c>
      <c r="Z2679" s="3" t="s">
        <v>70</v>
      </c>
      <c r="AA2679" t="s">
        <v>39</v>
      </c>
      <c r="AB2679" t="s">
        <v>40</v>
      </c>
      <c r="AC2679" t="s">
        <v>40</v>
      </c>
      <c r="AD2679" t="s">
        <v>696</v>
      </c>
    </row>
    <row r="2680" spans="2:30">
      <c r="B2680">
        <v>0</v>
      </c>
      <c r="C2680">
        <v>1020</v>
      </c>
      <c r="D2680" t="s">
        <v>384</v>
      </c>
      <c r="E2680">
        <v>14131660</v>
      </c>
      <c r="F2680" t="s">
        <v>2766</v>
      </c>
      <c r="G2680" t="s">
        <v>43</v>
      </c>
      <c r="H2680" t="s">
        <v>60</v>
      </c>
      <c r="I2680" t="s">
        <v>386</v>
      </c>
      <c r="J2680" t="s">
        <v>45</v>
      </c>
      <c r="K2680" t="s">
        <v>35</v>
      </c>
      <c r="L2680" t="s">
        <v>175</v>
      </c>
      <c r="M2680" t="s">
        <v>37</v>
      </c>
      <c r="N2680">
        <v>0</v>
      </c>
      <c r="O2680">
        <v>0</v>
      </c>
      <c r="P2680">
        <v>0</v>
      </c>
      <c r="Q2680">
        <v>17</v>
      </c>
      <c r="R2680">
        <v>0</v>
      </c>
      <c r="S2680" t="str">
        <f t="shared" si="205"/>
        <v>PY: Media Crit.</v>
      </c>
      <c r="T2680">
        <f t="shared" si="206"/>
        <v>0</v>
      </c>
      <c r="U2680">
        <f t="shared" si="207"/>
        <v>0</v>
      </c>
      <c r="V2680">
        <f t="shared" si="208"/>
        <v>0</v>
      </c>
      <c r="W2680">
        <f t="shared" si="209"/>
        <v>1</v>
      </c>
      <c r="X2680">
        <v>1</v>
      </c>
      <c r="Y2680" s="2">
        <v>45768</v>
      </c>
      <c r="Z2680" s="3" t="s">
        <v>38</v>
      </c>
      <c r="AA2680" t="s">
        <v>39</v>
      </c>
      <c r="AB2680" t="s">
        <v>40</v>
      </c>
      <c r="AC2680" t="s">
        <v>40</v>
      </c>
      <c r="AD2680" t="s">
        <v>387</v>
      </c>
    </row>
    <row r="2681" spans="2:30">
      <c r="B2681">
        <v>0</v>
      </c>
      <c r="C2681">
        <v>1020</v>
      </c>
      <c r="D2681" t="s">
        <v>388</v>
      </c>
      <c r="E2681">
        <v>14131705</v>
      </c>
      <c r="F2681" t="s">
        <v>2767</v>
      </c>
      <c r="G2681" t="s">
        <v>52</v>
      </c>
      <c r="H2681" t="s">
        <v>44</v>
      </c>
      <c r="I2681" t="s">
        <v>390</v>
      </c>
      <c r="J2681" t="s">
        <v>45</v>
      </c>
      <c r="K2681" t="s">
        <v>35</v>
      </c>
      <c r="L2681" t="s">
        <v>175</v>
      </c>
      <c r="M2681" t="s">
        <v>69</v>
      </c>
      <c r="N2681">
        <v>0</v>
      </c>
      <c r="O2681">
        <v>0</v>
      </c>
      <c r="P2681">
        <v>2</v>
      </c>
      <c r="Q2681">
        <v>1</v>
      </c>
      <c r="R2681">
        <v>0</v>
      </c>
      <c r="S2681" t="str">
        <f t="shared" si="205"/>
        <v>PZ: Alta Crit.</v>
      </c>
      <c r="T2681">
        <f t="shared" si="206"/>
        <v>0</v>
      </c>
      <c r="U2681">
        <f t="shared" si="207"/>
        <v>1</v>
      </c>
      <c r="V2681">
        <f t="shared" si="208"/>
        <v>0</v>
      </c>
      <c r="W2681">
        <f t="shared" si="209"/>
        <v>1</v>
      </c>
      <c r="X2681">
        <v>1</v>
      </c>
      <c r="Y2681" s="2">
        <v>45768</v>
      </c>
      <c r="Z2681" s="3" t="s">
        <v>70</v>
      </c>
      <c r="AA2681" t="s">
        <v>39</v>
      </c>
      <c r="AB2681" t="s">
        <v>49</v>
      </c>
      <c r="AC2681" s="5" t="s">
        <v>50</v>
      </c>
      <c r="AD2681" t="s">
        <v>391</v>
      </c>
    </row>
    <row r="2682" spans="2:30">
      <c r="B2682">
        <v>0</v>
      </c>
      <c r="C2682">
        <v>1020</v>
      </c>
      <c r="D2682" t="s">
        <v>388</v>
      </c>
      <c r="E2682">
        <v>14132590</v>
      </c>
      <c r="F2682" t="s">
        <v>2768</v>
      </c>
      <c r="G2682" t="s">
        <v>52</v>
      </c>
      <c r="H2682" t="s">
        <v>44</v>
      </c>
      <c r="I2682" t="s">
        <v>390</v>
      </c>
      <c r="J2682" t="s">
        <v>45</v>
      </c>
      <c r="K2682" t="s">
        <v>35</v>
      </c>
      <c r="L2682" t="s">
        <v>175</v>
      </c>
      <c r="M2682" t="s">
        <v>69</v>
      </c>
      <c r="N2682">
        <v>0</v>
      </c>
      <c r="O2682">
        <v>0</v>
      </c>
      <c r="P2682">
        <v>1</v>
      </c>
      <c r="Q2682">
        <v>1</v>
      </c>
      <c r="R2682">
        <v>0</v>
      </c>
      <c r="S2682" t="str">
        <f t="shared" si="205"/>
        <v>PZ: Alta Crit.</v>
      </c>
      <c r="T2682">
        <f t="shared" si="206"/>
        <v>0</v>
      </c>
      <c r="U2682">
        <f t="shared" si="207"/>
        <v>1</v>
      </c>
      <c r="V2682">
        <f t="shared" si="208"/>
        <v>0</v>
      </c>
      <c r="W2682">
        <f t="shared" si="209"/>
        <v>1</v>
      </c>
      <c r="X2682">
        <v>1</v>
      </c>
      <c r="Y2682" s="2">
        <v>45768</v>
      </c>
      <c r="Z2682" s="3" t="s">
        <v>70</v>
      </c>
      <c r="AA2682" t="s">
        <v>39</v>
      </c>
      <c r="AB2682" t="s">
        <v>40</v>
      </c>
      <c r="AC2682" t="s">
        <v>40</v>
      </c>
      <c r="AD2682" t="s">
        <v>391</v>
      </c>
    </row>
    <row r="2683" spans="2:30">
      <c r="B2683">
        <v>0</v>
      </c>
      <c r="C2683">
        <v>1020</v>
      </c>
      <c r="D2683" t="s">
        <v>181</v>
      </c>
      <c r="E2683">
        <v>14133054</v>
      </c>
      <c r="F2683" t="s">
        <v>2769</v>
      </c>
      <c r="G2683" t="s">
        <v>43</v>
      </c>
      <c r="H2683" t="s">
        <v>60</v>
      </c>
      <c r="I2683" t="s">
        <v>183</v>
      </c>
      <c r="J2683" t="s">
        <v>45</v>
      </c>
      <c r="K2683" t="s">
        <v>35</v>
      </c>
      <c r="L2683" t="s">
        <v>36</v>
      </c>
      <c r="M2683" t="s">
        <v>37</v>
      </c>
      <c r="N2683">
        <v>1</v>
      </c>
      <c r="O2683">
        <v>1</v>
      </c>
      <c r="P2683">
        <v>0</v>
      </c>
      <c r="Q2683">
        <v>1</v>
      </c>
      <c r="R2683">
        <v>0</v>
      </c>
      <c r="S2683" t="str">
        <f t="shared" si="205"/>
        <v>PY: Media Crit.</v>
      </c>
      <c r="T2683">
        <f t="shared" si="206"/>
        <v>0</v>
      </c>
      <c r="U2683">
        <f t="shared" si="207"/>
        <v>0</v>
      </c>
      <c r="V2683">
        <f t="shared" si="208"/>
        <v>1</v>
      </c>
      <c r="W2683">
        <f t="shared" si="209"/>
        <v>0</v>
      </c>
      <c r="X2683">
        <v>1</v>
      </c>
      <c r="Y2683" s="2">
        <v>45768</v>
      </c>
      <c r="Z2683" s="3" t="s">
        <v>38</v>
      </c>
      <c r="AA2683" t="s">
        <v>39</v>
      </c>
      <c r="AB2683" t="s">
        <v>40</v>
      </c>
      <c r="AC2683" t="s">
        <v>40</v>
      </c>
      <c r="AD2683" t="s">
        <v>184</v>
      </c>
    </row>
    <row r="2684" spans="2:30">
      <c r="B2684">
        <v>0</v>
      </c>
      <c r="C2684">
        <v>1020</v>
      </c>
      <c r="D2684" t="s">
        <v>181</v>
      </c>
      <c r="E2684">
        <v>14133792</v>
      </c>
      <c r="F2684" t="s">
        <v>2770</v>
      </c>
      <c r="G2684" t="s">
        <v>43</v>
      </c>
      <c r="H2684" t="s">
        <v>32</v>
      </c>
      <c r="I2684" t="s">
        <v>183</v>
      </c>
      <c r="J2684" t="s">
        <v>45</v>
      </c>
      <c r="K2684" t="s">
        <v>35</v>
      </c>
      <c r="L2684" t="s">
        <v>36</v>
      </c>
      <c r="M2684" t="s">
        <v>88</v>
      </c>
      <c r="N2684">
        <v>50</v>
      </c>
      <c r="O2684">
        <v>26</v>
      </c>
      <c r="P2684">
        <v>10</v>
      </c>
      <c r="Q2684">
        <v>50</v>
      </c>
      <c r="R2684">
        <v>0</v>
      </c>
      <c r="S2684" t="str">
        <f t="shared" si="205"/>
        <v>PY: Media Crit.</v>
      </c>
      <c r="T2684">
        <f t="shared" si="206"/>
        <v>0</v>
      </c>
      <c r="U2684">
        <f t="shared" si="207"/>
        <v>0</v>
      </c>
      <c r="V2684">
        <f t="shared" si="208"/>
        <v>1</v>
      </c>
      <c r="W2684">
        <f t="shared" si="209"/>
        <v>0</v>
      </c>
      <c r="X2684">
        <v>1</v>
      </c>
      <c r="Y2684" s="2">
        <v>45768</v>
      </c>
      <c r="Z2684" s="3" t="s">
        <v>89</v>
      </c>
      <c r="AA2684" t="s">
        <v>39</v>
      </c>
      <c r="AB2684" t="s">
        <v>40</v>
      </c>
      <c r="AC2684" t="s">
        <v>40</v>
      </c>
      <c r="AD2684" t="s">
        <v>184</v>
      </c>
    </row>
    <row r="2685" spans="2:30">
      <c r="B2685">
        <v>0</v>
      </c>
      <c r="C2685">
        <v>1020</v>
      </c>
      <c r="D2685" t="s">
        <v>693</v>
      </c>
      <c r="E2685">
        <v>14134030</v>
      </c>
      <c r="F2685" t="s">
        <v>2771</v>
      </c>
      <c r="G2685" t="s">
        <v>43</v>
      </c>
      <c r="H2685" t="s">
        <v>32</v>
      </c>
      <c r="I2685" t="s">
        <v>695</v>
      </c>
      <c r="J2685" t="s">
        <v>45</v>
      </c>
      <c r="K2685" t="s">
        <v>35</v>
      </c>
      <c r="L2685" t="s">
        <v>175</v>
      </c>
      <c r="M2685" t="s">
        <v>117</v>
      </c>
      <c r="N2685">
        <v>0</v>
      </c>
      <c r="O2685">
        <v>0</v>
      </c>
      <c r="P2685">
        <v>0</v>
      </c>
      <c r="Q2685">
        <v>5</v>
      </c>
      <c r="R2685">
        <v>0</v>
      </c>
      <c r="S2685" t="str">
        <f t="shared" si="205"/>
        <v>PY: Media Crit.</v>
      </c>
      <c r="T2685">
        <f t="shared" si="206"/>
        <v>0</v>
      </c>
      <c r="U2685">
        <f t="shared" si="207"/>
        <v>0</v>
      </c>
      <c r="V2685">
        <f t="shared" si="208"/>
        <v>0</v>
      </c>
      <c r="W2685">
        <f t="shared" si="209"/>
        <v>1</v>
      </c>
      <c r="X2685">
        <v>1</v>
      </c>
      <c r="Y2685" s="2">
        <v>45768</v>
      </c>
      <c r="Z2685" s="3" t="s">
        <v>118</v>
      </c>
      <c r="AA2685" t="s">
        <v>39</v>
      </c>
      <c r="AB2685" t="s">
        <v>40</v>
      </c>
      <c r="AC2685" t="s">
        <v>40</v>
      </c>
      <c r="AD2685" t="s">
        <v>696</v>
      </c>
    </row>
    <row r="2686" spans="2:30">
      <c r="B2686">
        <v>0</v>
      </c>
      <c r="C2686">
        <v>1020</v>
      </c>
      <c r="D2686" t="s">
        <v>693</v>
      </c>
      <c r="E2686">
        <v>14134031</v>
      </c>
      <c r="F2686" t="s">
        <v>2772</v>
      </c>
      <c r="G2686" t="s">
        <v>43</v>
      </c>
      <c r="H2686" t="s">
        <v>32</v>
      </c>
      <c r="I2686" t="s">
        <v>695</v>
      </c>
      <c r="J2686" t="s">
        <v>45</v>
      </c>
      <c r="K2686" t="s">
        <v>35</v>
      </c>
      <c r="L2686" t="s">
        <v>175</v>
      </c>
      <c r="M2686" t="s">
        <v>117</v>
      </c>
      <c r="N2686">
        <v>0</v>
      </c>
      <c r="O2686">
        <v>0</v>
      </c>
      <c r="P2686">
        <v>0</v>
      </c>
      <c r="Q2686">
        <v>5</v>
      </c>
      <c r="R2686">
        <v>0</v>
      </c>
      <c r="S2686" t="str">
        <f t="shared" si="205"/>
        <v>PY: Media Crit.</v>
      </c>
      <c r="T2686">
        <f t="shared" si="206"/>
        <v>0</v>
      </c>
      <c r="U2686">
        <f t="shared" si="207"/>
        <v>0</v>
      </c>
      <c r="V2686">
        <f t="shared" si="208"/>
        <v>0</v>
      </c>
      <c r="W2686">
        <f t="shared" si="209"/>
        <v>1</v>
      </c>
      <c r="X2686">
        <v>1</v>
      </c>
      <c r="Y2686" s="2">
        <v>45768</v>
      </c>
      <c r="Z2686" s="3" t="s">
        <v>118</v>
      </c>
      <c r="AA2686" t="s">
        <v>39</v>
      </c>
      <c r="AB2686" t="s">
        <v>40</v>
      </c>
      <c r="AC2686" t="s">
        <v>40</v>
      </c>
      <c r="AD2686" t="s">
        <v>696</v>
      </c>
    </row>
    <row r="2687" spans="2:30">
      <c r="B2687">
        <v>0</v>
      </c>
      <c r="C2687">
        <v>1020</v>
      </c>
      <c r="D2687" t="s">
        <v>181</v>
      </c>
      <c r="E2687">
        <v>14134409</v>
      </c>
      <c r="F2687" t="s">
        <v>2773</v>
      </c>
      <c r="G2687" t="s">
        <v>43</v>
      </c>
      <c r="H2687" t="s">
        <v>32</v>
      </c>
      <c r="I2687" t="s">
        <v>183</v>
      </c>
      <c r="J2687" t="s">
        <v>45</v>
      </c>
      <c r="K2687" t="s">
        <v>35</v>
      </c>
      <c r="L2687" t="s">
        <v>36</v>
      </c>
      <c r="M2687" t="s">
        <v>88</v>
      </c>
      <c r="N2687">
        <v>50</v>
      </c>
      <c r="O2687">
        <v>26</v>
      </c>
      <c r="P2687">
        <v>10</v>
      </c>
      <c r="Q2687">
        <v>50</v>
      </c>
      <c r="R2687">
        <v>0</v>
      </c>
      <c r="S2687" t="str">
        <f t="shared" si="205"/>
        <v>PY: Media Crit.</v>
      </c>
      <c r="T2687">
        <f t="shared" si="206"/>
        <v>0</v>
      </c>
      <c r="U2687">
        <f t="shared" si="207"/>
        <v>0</v>
      </c>
      <c r="V2687">
        <f t="shared" si="208"/>
        <v>1</v>
      </c>
      <c r="W2687">
        <f t="shared" si="209"/>
        <v>0</v>
      </c>
      <c r="X2687">
        <v>1</v>
      </c>
      <c r="Y2687" s="2">
        <v>45768</v>
      </c>
      <c r="Z2687" s="3" t="s">
        <v>89</v>
      </c>
      <c r="AA2687" t="s">
        <v>39</v>
      </c>
      <c r="AB2687" t="s">
        <v>40</v>
      </c>
      <c r="AC2687" t="s">
        <v>40</v>
      </c>
      <c r="AD2687" t="s">
        <v>184</v>
      </c>
    </row>
    <row r="2688" spans="2:30">
      <c r="B2688">
        <v>0</v>
      </c>
      <c r="C2688">
        <v>1020</v>
      </c>
      <c r="D2688" t="s">
        <v>181</v>
      </c>
      <c r="E2688">
        <v>14134490</v>
      </c>
      <c r="F2688" t="s">
        <v>2774</v>
      </c>
      <c r="G2688" t="s">
        <v>43</v>
      </c>
      <c r="H2688" t="s">
        <v>60</v>
      </c>
      <c r="I2688" t="s">
        <v>183</v>
      </c>
      <c r="J2688" t="s">
        <v>45</v>
      </c>
      <c r="K2688" t="s">
        <v>35</v>
      </c>
      <c r="L2688" t="s">
        <v>36</v>
      </c>
      <c r="M2688" t="s">
        <v>117</v>
      </c>
      <c r="N2688">
        <v>10</v>
      </c>
      <c r="O2688">
        <v>5</v>
      </c>
      <c r="P2688">
        <v>0</v>
      </c>
      <c r="Q2688">
        <v>0</v>
      </c>
      <c r="R2688">
        <v>0</v>
      </c>
      <c r="S2688" t="str">
        <f t="shared" si="205"/>
        <v>PY: Media Crit.</v>
      </c>
      <c r="T2688">
        <f t="shared" si="206"/>
        <v>1</v>
      </c>
      <c r="U2688">
        <f t="shared" si="207"/>
        <v>0</v>
      </c>
      <c r="V2688">
        <f t="shared" si="208"/>
        <v>0</v>
      </c>
      <c r="W2688">
        <f t="shared" si="209"/>
        <v>0</v>
      </c>
      <c r="X2688">
        <v>1</v>
      </c>
      <c r="Y2688" s="2">
        <v>45768</v>
      </c>
      <c r="Z2688" s="3" t="s">
        <v>118</v>
      </c>
      <c r="AA2688" t="s">
        <v>39</v>
      </c>
      <c r="AB2688" t="s">
        <v>49</v>
      </c>
      <c r="AC2688" s="5" t="s">
        <v>50</v>
      </c>
      <c r="AD2688" t="s">
        <v>184</v>
      </c>
    </row>
    <row r="2689" spans="2:30">
      <c r="B2689">
        <v>0</v>
      </c>
      <c r="C2689">
        <v>1020</v>
      </c>
      <c r="D2689" t="s">
        <v>181</v>
      </c>
      <c r="E2689">
        <v>14135599</v>
      </c>
      <c r="F2689" t="s">
        <v>2775</v>
      </c>
      <c r="G2689" t="s">
        <v>43</v>
      </c>
      <c r="H2689" t="s">
        <v>32</v>
      </c>
      <c r="I2689" t="s">
        <v>183</v>
      </c>
      <c r="J2689" t="s">
        <v>45</v>
      </c>
      <c r="K2689" t="s">
        <v>35</v>
      </c>
      <c r="L2689" t="s">
        <v>36</v>
      </c>
      <c r="M2689" t="s">
        <v>117</v>
      </c>
      <c r="N2689">
        <v>6</v>
      </c>
      <c r="O2689">
        <v>4</v>
      </c>
      <c r="P2689">
        <v>3</v>
      </c>
      <c r="Q2689">
        <v>6</v>
      </c>
      <c r="R2689">
        <v>0</v>
      </c>
      <c r="S2689" t="str">
        <f t="shared" si="205"/>
        <v>PY: Media Crit.</v>
      </c>
      <c r="T2689">
        <f t="shared" si="206"/>
        <v>0</v>
      </c>
      <c r="U2689">
        <f t="shared" si="207"/>
        <v>0</v>
      </c>
      <c r="V2689">
        <f t="shared" si="208"/>
        <v>1</v>
      </c>
      <c r="W2689">
        <f t="shared" si="209"/>
        <v>0</v>
      </c>
      <c r="X2689">
        <v>1</v>
      </c>
      <c r="Y2689" s="2">
        <v>45768</v>
      </c>
      <c r="Z2689" s="3" t="s">
        <v>118</v>
      </c>
      <c r="AA2689" t="s">
        <v>39</v>
      </c>
      <c r="AB2689" t="s">
        <v>40</v>
      </c>
      <c r="AC2689" t="s">
        <v>40</v>
      </c>
      <c r="AD2689" t="s">
        <v>184</v>
      </c>
    </row>
    <row r="2690" spans="2:30">
      <c r="B2690">
        <v>0</v>
      </c>
      <c r="C2690">
        <v>1020</v>
      </c>
      <c r="D2690" t="s">
        <v>388</v>
      </c>
      <c r="E2690">
        <v>14137366</v>
      </c>
      <c r="F2690" t="s">
        <v>2776</v>
      </c>
      <c r="G2690" t="s">
        <v>52</v>
      </c>
      <c r="H2690" t="s">
        <v>32</v>
      </c>
      <c r="I2690" t="s">
        <v>390</v>
      </c>
      <c r="J2690" t="s">
        <v>45</v>
      </c>
      <c r="K2690" t="s">
        <v>35</v>
      </c>
      <c r="L2690" t="s">
        <v>175</v>
      </c>
      <c r="M2690" t="s">
        <v>117</v>
      </c>
      <c r="N2690">
        <v>0</v>
      </c>
      <c r="O2690">
        <v>0</v>
      </c>
      <c r="P2690">
        <v>1</v>
      </c>
      <c r="Q2690">
        <v>1</v>
      </c>
      <c r="R2690">
        <v>0</v>
      </c>
      <c r="S2690" t="str">
        <f t="shared" ref="S2690:S2753" si="210">+IF(G2690="PZ", "PZ: Alta Crit.",IF(G2690="PY","PY: Media Crit.", "PX: Baja Crit."))</f>
        <v>PZ: Alta Crit.</v>
      </c>
      <c r="T2690">
        <f t="shared" ref="T2690:T2753" si="211">+IF(Q2690=0,1,0)</f>
        <v>0</v>
      </c>
      <c r="U2690">
        <f t="shared" ref="U2690:U2753" si="212">+IF(AND(Q2690&lt;=P2690,Q2690&gt;0),1,0)</f>
        <v>1</v>
      </c>
      <c r="V2690">
        <f t="shared" ref="V2690:V2753" si="213">+IF(AND(Q2690&gt;P2690,Q2690&lt;=N2690),1,0)</f>
        <v>0</v>
      </c>
      <c r="W2690">
        <f t="shared" ref="W2690:W2753" si="214">+IF(Q2690&gt;N2690,1,0)</f>
        <v>1</v>
      </c>
      <c r="X2690">
        <v>1</v>
      </c>
      <c r="Y2690" s="2">
        <v>45768</v>
      </c>
      <c r="Z2690" s="3" t="s">
        <v>118</v>
      </c>
      <c r="AA2690" t="s">
        <v>39</v>
      </c>
      <c r="AB2690" t="s">
        <v>40</v>
      </c>
      <c r="AC2690" t="s">
        <v>40</v>
      </c>
      <c r="AD2690" t="s">
        <v>391</v>
      </c>
    </row>
    <row r="2691" spans="2:30">
      <c r="B2691">
        <v>0</v>
      </c>
      <c r="C2691">
        <v>1020</v>
      </c>
      <c r="D2691" t="s">
        <v>388</v>
      </c>
      <c r="E2691">
        <v>14137369</v>
      </c>
      <c r="F2691" t="s">
        <v>2777</v>
      </c>
      <c r="G2691" t="s">
        <v>31</v>
      </c>
      <c r="H2691" t="s">
        <v>32</v>
      </c>
      <c r="I2691" t="s">
        <v>390</v>
      </c>
      <c r="J2691" t="s">
        <v>45</v>
      </c>
      <c r="K2691" t="s">
        <v>35</v>
      </c>
      <c r="L2691" t="s">
        <v>175</v>
      </c>
      <c r="M2691" t="s">
        <v>117</v>
      </c>
      <c r="N2691">
        <v>0</v>
      </c>
      <c r="O2691">
        <v>0</v>
      </c>
      <c r="P2691">
        <v>1</v>
      </c>
      <c r="Q2691">
        <v>1</v>
      </c>
      <c r="R2691">
        <v>0</v>
      </c>
      <c r="S2691" t="str">
        <f t="shared" si="210"/>
        <v>PX: Baja Crit.</v>
      </c>
      <c r="T2691">
        <f t="shared" si="211"/>
        <v>0</v>
      </c>
      <c r="U2691">
        <f t="shared" si="212"/>
        <v>1</v>
      </c>
      <c r="V2691">
        <f t="shared" si="213"/>
        <v>0</v>
      </c>
      <c r="W2691">
        <f t="shared" si="214"/>
        <v>1</v>
      </c>
      <c r="X2691">
        <v>1</v>
      </c>
      <c r="Y2691" s="2">
        <v>45768</v>
      </c>
      <c r="Z2691" s="3" t="s">
        <v>118</v>
      </c>
      <c r="AA2691" t="s">
        <v>39</v>
      </c>
      <c r="AB2691" t="s">
        <v>40</v>
      </c>
      <c r="AC2691" t="s">
        <v>40</v>
      </c>
      <c r="AD2691" t="s">
        <v>391</v>
      </c>
    </row>
    <row r="2692" spans="2:30">
      <c r="B2692">
        <v>0</v>
      </c>
      <c r="C2692">
        <v>1020</v>
      </c>
      <c r="D2692" t="s">
        <v>181</v>
      </c>
      <c r="E2692">
        <v>14137370</v>
      </c>
      <c r="F2692" t="s">
        <v>2778</v>
      </c>
      <c r="G2692" t="s">
        <v>52</v>
      </c>
      <c r="H2692" t="s">
        <v>32</v>
      </c>
      <c r="I2692" t="s">
        <v>183</v>
      </c>
      <c r="J2692" t="s">
        <v>45</v>
      </c>
      <c r="K2692" t="s">
        <v>35</v>
      </c>
      <c r="L2692" t="s">
        <v>36</v>
      </c>
      <c r="M2692" t="s">
        <v>46</v>
      </c>
      <c r="N2692">
        <v>1</v>
      </c>
      <c r="O2692">
        <v>1</v>
      </c>
      <c r="P2692">
        <v>1</v>
      </c>
      <c r="Q2692">
        <v>0</v>
      </c>
      <c r="R2692">
        <v>0</v>
      </c>
      <c r="S2692" t="str">
        <f t="shared" si="210"/>
        <v>PZ: Alta Crit.</v>
      </c>
      <c r="T2692">
        <f t="shared" si="211"/>
        <v>1</v>
      </c>
      <c r="U2692">
        <f t="shared" si="212"/>
        <v>0</v>
      </c>
      <c r="V2692">
        <f t="shared" si="213"/>
        <v>0</v>
      </c>
      <c r="W2692">
        <f t="shared" si="214"/>
        <v>0</v>
      </c>
      <c r="X2692">
        <v>1</v>
      </c>
      <c r="Y2692" s="2">
        <v>45768</v>
      </c>
      <c r="Z2692" s="3" t="s">
        <v>47</v>
      </c>
      <c r="AA2692" t="s">
        <v>39</v>
      </c>
      <c r="AB2692" t="s">
        <v>49</v>
      </c>
      <c r="AC2692" s="5" t="s">
        <v>50</v>
      </c>
      <c r="AD2692" t="s">
        <v>184</v>
      </c>
    </row>
    <row r="2693" spans="2:30">
      <c r="B2693">
        <v>0</v>
      </c>
      <c r="C2693">
        <v>1020</v>
      </c>
      <c r="D2693" t="s">
        <v>388</v>
      </c>
      <c r="E2693">
        <v>14137371</v>
      </c>
      <c r="F2693" t="s">
        <v>2779</v>
      </c>
      <c r="G2693" t="s">
        <v>52</v>
      </c>
      <c r="H2693" t="s">
        <v>32</v>
      </c>
      <c r="I2693" t="s">
        <v>390</v>
      </c>
      <c r="J2693" t="s">
        <v>45</v>
      </c>
      <c r="K2693" t="s">
        <v>35</v>
      </c>
      <c r="L2693" t="s">
        <v>175</v>
      </c>
      <c r="M2693" t="s">
        <v>117</v>
      </c>
      <c r="N2693">
        <v>0</v>
      </c>
      <c r="O2693">
        <v>0</v>
      </c>
      <c r="P2693">
        <v>2</v>
      </c>
      <c r="Q2693">
        <v>2</v>
      </c>
      <c r="R2693">
        <v>0</v>
      </c>
      <c r="S2693" t="str">
        <f t="shared" si="210"/>
        <v>PZ: Alta Crit.</v>
      </c>
      <c r="T2693">
        <f t="shared" si="211"/>
        <v>0</v>
      </c>
      <c r="U2693">
        <f t="shared" si="212"/>
        <v>1</v>
      </c>
      <c r="V2693">
        <f t="shared" si="213"/>
        <v>0</v>
      </c>
      <c r="W2693">
        <f t="shared" si="214"/>
        <v>1</v>
      </c>
      <c r="X2693">
        <v>1</v>
      </c>
      <c r="Y2693" s="2">
        <v>45768</v>
      </c>
      <c r="Z2693" s="3" t="s">
        <v>118</v>
      </c>
      <c r="AA2693" t="s">
        <v>39</v>
      </c>
      <c r="AB2693" t="s">
        <v>40</v>
      </c>
      <c r="AC2693" t="s">
        <v>40</v>
      </c>
      <c r="AD2693" t="s">
        <v>391</v>
      </c>
    </row>
    <row r="2694" spans="2:30">
      <c r="B2694">
        <v>0</v>
      </c>
      <c r="C2694">
        <v>1020</v>
      </c>
      <c r="D2694" t="s">
        <v>388</v>
      </c>
      <c r="E2694">
        <v>14137557</v>
      </c>
      <c r="F2694" t="s">
        <v>2780</v>
      </c>
      <c r="G2694" t="s">
        <v>43</v>
      </c>
      <c r="H2694" t="s">
        <v>32</v>
      </c>
      <c r="I2694" t="s">
        <v>390</v>
      </c>
      <c r="J2694" t="s">
        <v>45</v>
      </c>
      <c r="K2694" t="s">
        <v>35</v>
      </c>
      <c r="L2694" t="s">
        <v>175</v>
      </c>
      <c r="M2694" t="s">
        <v>69</v>
      </c>
      <c r="N2694">
        <v>0</v>
      </c>
      <c r="O2694">
        <v>0</v>
      </c>
      <c r="P2694">
        <v>2</v>
      </c>
      <c r="Q2694">
        <v>2</v>
      </c>
      <c r="R2694" s="4">
        <v>1652.6</v>
      </c>
      <c r="S2694" t="str">
        <f t="shared" si="210"/>
        <v>PY: Media Crit.</v>
      </c>
      <c r="T2694">
        <f t="shared" si="211"/>
        <v>0</v>
      </c>
      <c r="U2694">
        <f t="shared" si="212"/>
        <v>1</v>
      </c>
      <c r="V2694">
        <f t="shared" si="213"/>
        <v>0</v>
      </c>
      <c r="W2694">
        <f t="shared" si="214"/>
        <v>1</v>
      </c>
      <c r="X2694">
        <v>1</v>
      </c>
      <c r="Y2694" s="2">
        <v>45768</v>
      </c>
      <c r="Z2694" s="3" t="s">
        <v>70</v>
      </c>
      <c r="AA2694" t="s">
        <v>39</v>
      </c>
      <c r="AB2694" t="s">
        <v>40</v>
      </c>
      <c r="AC2694" t="s">
        <v>40</v>
      </c>
      <c r="AD2694" t="s">
        <v>391</v>
      </c>
    </row>
    <row r="2695" spans="2:30">
      <c r="B2695">
        <v>0</v>
      </c>
      <c r="C2695">
        <v>1020</v>
      </c>
      <c r="D2695" t="s">
        <v>388</v>
      </c>
      <c r="E2695">
        <v>14141476</v>
      </c>
      <c r="F2695" t="s">
        <v>2781</v>
      </c>
      <c r="G2695" t="s">
        <v>43</v>
      </c>
      <c r="H2695" t="s">
        <v>44</v>
      </c>
      <c r="I2695" t="s">
        <v>390</v>
      </c>
      <c r="J2695" t="s">
        <v>45</v>
      </c>
      <c r="K2695" t="s">
        <v>35</v>
      </c>
      <c r="L2695" t="s">
        <v>175</v>
      </c>
      <c r="M2695" t="s">
        <v>117</v>
      </c>
      <c r="N2695">
        <v>0</v>
      </c>
      <c r="O2695">
        <v>0</v>
      </c>
      <c r="P2695">
        <v>0</v>
      </c>
      <c r="Q2695">
        <v>0</v>
      </c>
      <c r="R2695">
        <v>0</v>
      </c>
      <c r="S2695" t="str">
        <f t="shared" si="210"/>
        <v>PY: Media Crit.</v>
      </c>
      <c r="T2695">
        <f t="shared" si="211"/>
        <v>1</v>
      </c>
      <c r="U2695">
        <f t="shared" si="212"/>
        <v>0</v>
      </c>
      <c r="V2695">
        <f t="shared" si="213"/>
        <v>0</v>
      </c>
      <c r="W2695">
        <f t="shared" si="214"/>
        <v>0</v>
      </c>
      <c r="X2695">
        <v>1</v>
      </c>
      <c r="Y2695" s="2">
        <v>45768</v>
      </c>
      <c r="Z2695" s="3" t="s">
        <v>118</v>
      </c>
      <c r="AA2695" t="s">
        <v>39</v>
      </c>
      <c r="AB2695" t="s">
        <v>49</v>
      </c>
      <c r="AC2695" s="5" t="s">
        <v>50</v>
      </c>
      <c r="AD2695" t="s">
        <v>391</v>
      </c>
    </row>
    <row r="2696" spans="2:30">
      <c r="B2696">
        <v>0</v>
      </c>
      <c r="C2696">
        <v>1020</v>
      </c>
      <c r="D2696" t="s">
        <v>388</v>
      </c>
      <c r="E2696">
        <v>14141477</v>
      </c>
      <c r="F2696" t="s">
        <v>2782</v>
      </c>
      <c r="G2696" t="s">
        <v>43</v>
      </c>
      <c r="H2696" t="s">
        <v>44</v>
      </c>
      <c r="I2696" t="s">
        <v>390</v>
      </c>
      <c r="J2696" t="s">
        <v>45</v>
      </c>
      <c r="K2696" t="s">
        <v>35</v>
      </c>
      <c r="L2696" t="s">
        <v>175</v>
      </c>
      <c r="M2696" t="s">
        <v>117</v>
      </c>
      <c r="N2696">
        <v>0</v>
      </c>
      <c r="O2696">
        <v>0</v>
      </c>
      <c r="P2696">
        <v>0</v>
      </c>
      <c r="Q2696">
        <v>0</v>
      </c>
      <c r="R2696">
        <v>0</v>
      </c>
      <c r="S2696" t="str">
        <f t="shared" si="210"/>
        <v>PY: Media Crit.</v>
      </c>
      <c r="T2696">
        <f t="shared" si="211"/>
        <v>1</v>
      </c>
      <c r="U2696">
        <f t="shared" si="212"/>
        <v>0</v>
      </c>
      <c r="V2696">
        <f t="shared" si="213"/>
        <v>0</v>
      </c>
      <c r="W2696">
        <f t="shared" si="214"/>
        <v>0</v>
      </c>
      <c r="X2696">
        <v>1</v>
      </c>
      <c r="Y2696" s="2">
        <v>45768</v>
      </c>
      <c r="Z2696" s="3" t="s">
        <v>118</v>
      </c>
      <c r="AA2696" t="s">
        <v>39</v>
      </c>
      <c r="AB2696" t="s">
        <v>49</v>
      </c>
      <c r="AC2696" s="5" t="s">
        <v>50</v>
      </c>
      <c r="AD2696" t="s">
        <v>391</v>
      </c>
    </row>
    <row r="2697" spans="2:30">
      <c r="B2697">
        <v>0</v>
      </c>
      <c r="C2697">
        <v>1020</v>
      </c>
      <c r="D2697" t="s">
        <v>181</v>
      </c>
      <c r="E2697">
        <v>14141487</v>
      </c>
      <c r="F2697" t="s">
        <v>2783</v>
      </c>
      <c r="G2697" t="s">
        <v>43</v>
      </c>
      <c r="H2697" t="s">
        <v>60</v>
      </c>
      <c r="I2697" t="s">
        <v>183</v>
      </c>
      <c r="J2697" t="s">
        <v>45</v>
      </c>
      <c r="K2697" t="s">
        <v>35</v>
      </c>
      <c r="L2697" t="s">
        <v>36</v>
      </c>
      <c r="M2697" t="s">
        <v>37</v>
      </c>
      <c r="N2697">
        <v>2</v>
      </c>
      <c r="O2697">
        <v>1</v>
      </c>
      <c r="P2697">
        <v>0</v>
      </c>
      <c r="Q2697">
        <v>2</v>
      </c>
      <c r="R2697">
        <v>0</v>
      </c>
      <c r="S2697" t="str">
        <f t="shared" si="210"/>
        <v>PY: Media Crit.</v>
      </c>
      <c r="T2697">
        <f t="shared" si="211"/>
        <v>0</v>
      </c>
      <c r="U2697">
        <f t="shared" si="212"/>
        <v>0</v>
      </c>
      <c r="V2697">
        <f t="shared" si="213"/>
        <v>1</v>
      </c>
      <c r="W2697">
        <f t="shared" si="214"/>
        <v>0</v>
      </c>
      <c r="X2697">
        <v>1</v>
      </c>
      <c r="Y2697" s="2">
        <v>45768</v>
      </c>
      <c r="Z2697" s="3" t="s">
        <v>38</v>
      </c>
      <c r="AA2697" t="s">
        <v>39</v>
      </c>
      <c r="AB2697" t="s">
        <v>40</v>
      </c>
      <c r="AC2697" t="s">
        <v>40</v>
      </c>
      <c r="AD2697" t="s">
        <v>184</v>
      </c>
    </row>
    <row r="2698" spans="2:30">
      <c r="B2698">
        <v>0</v>
      </c>
      <c r="C2698">
        <v>1020</v>
      </c>
      <c r="D2698" t="s">
        <v>181</v>
      </c>
      <c r="E2698">
        <v>14141514</v>
      </c>
      <c r="F2698" t="s">
        <v>2784</v>
      </c>
      <c r="G2698" t="s">
        <v>43</v>
      </c>
      <c r="H2698" t="s">
        <v>32</v>
      </c>
      <c r="I2698" t="s">
        <v>183</v>
      </c>
      <c r="J2698" t="s">
        <v>45</v>
      </c>
      <c r="K2698" t="s">
        <v>252</v>
      </c>
      <c r="L2698" t="s">
        <v>36</v>
      </c>
      <c r="M2698" t="s">
        <v>37</v>
      </c>
      <c r="N2698">
        <v>50</v>
      </c>
      <c r="O2698">
        <v>50</v>
      </c>
      <c r="P2698">
        <v>0</v>
      </c>
      <c r="Q2698">
        <v>50</v>
      </c>
      <c r="R2698">
        <v>0</v>
      </c>
      <c r="S2698" t="str">
        <f t="shared" si="210"/>
        <v>PY: Media Crit.</v>
      </c>
      <c r="T2698">
        <f t="shared" si="211"/>
        <v>0</v>
      </c>
      <c r="U2698">
        <f t="shared" si="212"/>
        <v>0</v>
      </c>
      <c r="V2698">
        <f t="shared" si="213"/>
        <v>1</v>
      </c>
      <c r="W2698">
        <f t="shared" si="214"/>
        <v>0</v>
      </c>
      <c r="X2698">
        <v>1</v>
      </c>
      <c r="Y2698" s="2">
        <v>45768</v>
      </c>
      <c r="Z2698" s="3" t="s">
        <v>38</v>
      </c>
      <c r="AA2698" t="s">
        <v>39</v>
      </c>
      <c r="AB2698" t="s">
        <v>40</v>
      </c>
      <c r="AC2698" t="s">
        <v>40</v>
      </c>
      <c r="AD2698" t="s">
        <v>184</v>
      </c>
    </row>
    <row r="2699" spans="2:30">
      <c r="B2699">
        <v>0</v>
      </c>
      <c r="C2699">
        <v>1020</v>
      </c>
      <c r="D2699" t="s">
        <v>181</v>
      </c>
      <c r="E2699">
        <v>14143919</v>
      </c>
      <c r="F2699" t="s">
        <v>2785</v>
      </c>
      <c r="G2699" t="s">
        <v>52</v>
      </c>
      <c r="H2699" t="s">
        <v>44</v>
      </c>
      <c r="I2699" t="s">
        <v>183</v>
      </c>
      <c r="J2699" t="s">
        <v>45</v>
      </c>
      <c r="K2699" t="s">
        <v>35</v>
      </c>
      <c r="L2699" t="s">
        <v>36</v>
      </c>
      <c r="M2699" t="s">
        <v>69</v>
      </c>
      <c r="N2699">
        <v>5</v>
      </c>
      <c r="O2699">
        <v>3</v>
      </c>
      <c r="P2699">
        <v>0</v>
      </c>
      <c r="Q2699">
        <v>5</v>
      </c>
      <c r="R2699" s="4">
        <v>1516.51</v>
      </c>
      <c r="S2699" t="str">
        <f t="shared" si="210"/>
        <v>PZ: Alta Crit.</v>
      </c>
      <c r="T2699">
        <f t="shared" si="211"/>
        <v>0</v>
      </c>
      <c r="U2699">
        <f t="shared" si="212"/>
        <v>0</v>
      </c>
      <c r="V2699">
        <f t="shared" si="213"/>
        <v>1</v>
      </c>
      <c r="W2699">
        <f t="shared" si="214"/>
        <v>0</v>
      </c>
      <c r="X2699">
        <v>1</v>
      </c>
      <c r="Y2699" s="2">
        <v>45768</v>
      </c>
      <c r="Z2699" s="3" t="s">
        <v>70</v>
      </c>
      <c r="AA2699" t="s">
        <v>39</v>
      </c>
      <c r="AB2699" t="s">
        <v>40</v>
      </c>
      <c r="AC2699" t="s">
        <v>40</v>
      </c>
      <c r="AD2699" t="s">
        <v>184</v>
      </c>
    </row>
    <row r="2700" spans="2:30">
      <c r="B2700">
        <v>0</v>
      </c>
      <c r="C2700">
        <v>1020</v>
      </c>
      <c r="D2700" t="s">
        <v>181</v>
      </c>
      <c r="E2700">
        <v>14143920</v>
      </c>
      <c r="F2700" t="s">
        <v>2786</v>
      </c>
      <c r="G2700" t="s">
        <v>52</v>
      </c>
      <c r="H2700" t="s">
        <v>44</v>
      </c>
      <c r="I2700" t="s">
        <v>183</v>
      </c>
      <c r="J2700" t="s">
        <v>45</v>
      </c>
      <c r="K2700" t="s">
        <v>35</v>
      </c>
      <c r="L2700" t="s">
        <v>36</v>
      </c>
      <c r="M2700" t="s">
        <v>69</v>
      </c>
      <c r="N2700">
        <v>5</v>
      </c>
      <c r="O2700">
        <v>3</v>
      </c>
      <c r="P2700">
        <v>0</v>
      </c>
      <c r="Q2700">
        <v>5</v>
      </c>
      <c r="R2700" s="4">
        <v>1098.93</v>
      </c>
      <c r="S2700" t="str">
        <f t="shared" si="210"/>
        <v>PZ: Alta Crit.</v>
      </c>
      <c r="T2700">
        <f t="shared" si="211"/>
        <v>0</v>
      </c>
      <c r="U2700">
        <f t="shared" si="212"/>
        <v>0</v>
      </c>
      <c r="V2700">
        <f t="shared" si="213"/>
        <v>1</v>
      </c>
      <c r="W2700">
        <f t="shared" si="214"/>
        <v>0</v>
      </c>
      <c r="X2700">
        <v>1</v>
      </c>
      <c r="Y2700" s="2">
        <v>45768</v>
      </c>
      <c r="Z2700" s="3" t="s">
        <v>70</v>
      </c>
      <c r="AA2700" t="s">
        <v>39</v>
      </c>
      <c r="AB2700" t="s">
        <v>40</v>
      </c>
      <c r="AC2700" t="s">
        <v>40</v>
      </c>
      <c r="AD2700" t="s">
        <v>184</v>
      </c>
    </row>
    <row r="2701" spans="2:30">
      <c r="B2701">
        <v>0</v>
      </c>
      <c r="C2701">
        <v>1020</v>
      </c>
      <c r="D2701" t="s">
        <v>181</v>
      </c>
      <c r="E2701">
        <v>14143925</v>
      </c>
      <c r="F2701" t="s">
        <v>2787</v>
      </c>
      <c r="G2701" t="s">
        <v>52</v>
      </c>
      <c r="H2701" t="s">
        <v>44</v>
      </c>
      <c r="I2701" t="s">
        <v>183</v>
      </c>
      <c r="J2701" t="s">
        <v>45</v>
      </c>
      <c r="K2701" t="s">
        <v>35</v>
      </c>
      <c r="L2701" t="s">
        <v>36</v>
      </c>
      <c r="M2701" t="s">
        <v>69</v>
      </c>
      <c r="N2701">
        <v>5</v>
      </c>
      <c r="O2701">
        <v>3</v>
      </c>
      <c r="P2701">
        <v>0</v>
      </c>
      <c r="Q2701">
        <v>5</v>
      </c>
      <c r="R2701" s="4">
        <v>1396.82</v>
      </c>
      <c r="S2701" t="str">
        <f t="shared" si="210"/>
        <v>PZ: Alta Crit.</v>
      </c>
      <c r="T2701">
        <f t="shared" si="211"/>
        <v>0</v>
      </c>
      <c r="U2701">
        <f t="shared" si="212"/>
        <v>0</v>
      </c>
      <c r="V2701">
        <f t="shared" si="213"/>
        <v>1</v>
      </c>
      <c r="W2701">
        <f t="shared" si="214"/>
        <v>0</v>
      </c>
      <c r="X2701">
        <v>1</v>
      </c>
      <c r="Y2701" s="2">
        <v>45768</v>
      </c>
      <c r="Z2701" s="3" t="s">
        <v>70</v>
      </c>
      <c r="AA2701" t="s">
        <v>39</v>
      </c>
      <c r="AB2701" t="s">
        <v>40</v>
      </c>
      <c r="AC2701" t="s">
        <v>40</v>
      </c>
      <c r="AD2701" t="s">
        <v>184</v>
      </c>
    </row>
    <row r="2702" spans="2:30">
      <c r="B2702">
        <v>0</v>
      </c>
      <c r="C2702">
        <v>1020</v>
      </c>
      <c r="D2702" t="s">
        <v>181</v>
      </c>
      <c r="E2702">
        <v>14143926</v>
      </c>
      <c r="F2702" t="s">
        <v>2788</v>
      </c>
      <c r="G2702" t="s">
        <v>52</v>
      </c>
      <c r="H2702" t="s">
        <v>44</v>
      </c>
      <c r="I2702" t="s">
        <v>183</v>
      </c>
      <c r="J2702" t="s">
        <v>45</v>
      </c>
      <c r="K2702" t="s">
        <v>35</v>
      </c>
      <c r="L2702" t="s">
        <v>36</v>
      </c>
      <c r="M2702" t="s">
        <v>69</v>
      </c>
      <c r="N2702">
        <v>5</v>
      </c>
      <c r="O2702">
        <v>3</v>
      </c>
      <c r="P2702">
        <v>0</v>
      </c>
      <c r="Q2702">
        <v>5</v>
      </c>
      <c r="R2702" s="4">
        <v>1516.51</v>
      </c>
      <c r="S2702" t="str">
        <f t="shared" si="210"/>
        <v>PZ: Alta Crit.</v>
      </c>
      <c r="T2702">
        <f t="shared" si="211"/>
        <v>0</v>
      </c>
      <c r="U2702">
        <f t="shared" si="212"/>
        <v>0</v>
      </c>
      <c r="V2702">
        <f t="shared" si="213"/>
        <v>1</v>
      </c>
      <c r="W2702">
        <f t="shared" si="214"/>
        <v>0</v>
      </c>
      <c r="X2702">
        <v>1</v>
      </c>
      <c r="Y2702" s="2">
        <v>45768</v>
      </c>
      <c r="Z2702" s="3" t="s">
        <v>70</v>
      </c>
      <c r="AA2702" t="s">
        <v>39</v>
      </c>
      <c r="AB2702" t="s">
        <v>40</v>
      </c>
      <c r="AC2702" t="s">
        <v>40</v>
      </c>
      <c r="AD2702" t="s">
        <v>184</v>
      </c>
    </row>
    <row r="2703" spans="2:30">
      <c r="B2703">
        <v>0</v>
      </c>
      <c r="C2703">
        <v>1020</v>
      </c>
      <c r="D2703" t="s">
        <v>181</v>
      </c>
      <c r="E2703">
        <v>14143993</v>
      </c>
      <c r="F2703" t="s">
        <v>2789</v>
      </c>
      <c r="G2703" t="s">
        <v>52</v>
      </c>
      <c r="H2703" t="s">
        <v>44</v>
      </c>
      <c r="I2703" t="s">
        <v>183</v>
      </c>
      <c r="J2703" t="s">
        <v>45</v>
      </c>
      <c r="K2703" t="s">
        <v>35</v>
      </c>
      <c r="L2703" t="s">
        <v>36</v>
      </c>
      <c r="M2703" t="s">
        <v>69</v>
      </c>
      <c r="N2703">
        <v>10</v>
      </c>
      <c r="O2703">
        <v>8</v>
      </c>
      <c r="P2703">
        <v>4</v>
      </c>
      <c r="Q2703">
        <v>13</v>
      </c>
      <c r="R2703" s="4">
        <v>6127.57</v>
      </c>
      <c r="S2703" t="str">
        <f t="shared" si="210"/>
        <v>PZ: Alta Crit.</v>
      </c>
      <c r="T2703">
        <f t="shared" si="211"/>
        <v>0</v>
      </c>
      <c r="U2703">
        <f t="shared" si="212"/>
        <v>0</v>
      </c>
      <c r="V2703">
        <f t="shared" si="213"/>
        <v>0</v>
      </c>
      <c r="W2703">
        <f t="shared" si="214"/>
        <v>1</v>
      </c>
      <c r="X2703">
        <v>1</v>
      </c>
      <c r="Y2703" s="2">
        <v>45768</v>
      </c>
      <c r="Z2703" s="3" t="s">
        <v>70</v>
      </c>
      <c r="AA2703" t="s">
        <v>39</v>
      </c>
      <c r="AB2703" t="s">
        <v>40</v>
      </c>
      <c r="AC2703" t="s">
        <v>40</v>
      </c>
      <c r="AD2703" t="s">
        <v>184</v>
      </c>
    </row>
    <row r="2704" spans="2:30">
      <c r="B2704">
        <v>0</v>
      </c>
      <c r="C2704">
        <v>1020</v>
      </c>
      <c r="D2704" t="s">
        <v>181</v>
      </c>
      <c r="E2704">
        <v>14144000</v>
      </c>
      <c r="F2704" t="s">
        <v>2790</v>
      </c>
      <c r="G2704" t="s">
        <v>52</v>
      </c>
      <c r="H2704" t="s">
        <v>44</v>
      </c>
      <c r="I2704" t="s">
        <v>183</v>
      </c>
      <c r="J2704" t="s">
        <v>45</v>
      </c>
      <c r="K2704" t="s">
        <v>35</v>
      </c>
      <c r="L2704" t="s">
        <v>36</v>
      </c>
      <c r="M2704" t="s">
        <v>69</v>
      </c>
      <c r="N2704">
        <v>5</v>
      </c>
      <c r="O2704">
        <v>3</v>
      </c>
      <c r="P2704">
        <v>0</v>
      </c>
      <c r="Q2704">
        <v>6</v>
      </c>
      <c r="R2704" s="4">
        <v>2800.98</v>
      </c>
      <c r="S2704" t="str">
        <f t="shared" si="210"/>
        <v>PZ: Alta Crit.</v>
      </c>
      <c r="T2704">
        <f t="shared" si="211"/>
        <v>0</v>
      </c>
      <c r="U2704">
        <f t="shared" si="212"/>
        <v>0</v>
      </c>
      <c r="V2704">
        <f t="shared" si="213"/>
        <v>0</v>
      </c>
      <c r="W2704">
        <f t="shared" si="214"/>
        <v>1</v>
      </c>
      <c r="X2704">
        <v>1</v>
      </c>
      <c r="Y2704" s="2">
        <v>45768</v>
      </c>
      <c r="Z2704" s="3" t="s">
        <v>70</v>
      </c>
      <c r="AA2704" t="s">
        <v>39</v>
      </c>
      <c r="AB2704" t="s">
        <v>40</v>
      </c>
      <c r="AC2704" t="s">
        <v>40</v>
      </c>
      <c r="AD2704" t="s">
        <v>184</v>
      </c>
    </row>
    <row r="2705" spans="2:30">
      <c r="B2705">
        <v>0</v>
      </c>
      <c r="C2705">
        <v>1020</v>
      </c>
      <c r="D2705" t="s">
        <v>181</v>
      </c>
      <c r="E2705">
        <v>14146306</v>
      </c>
      <c r="F2705" t="s">
        <v>2791</v>
      </c>
      <c r="G2705" t="s">
        <v>31</v>
      </c>
      <c r="H2705" t="s">
        <v>32</v>
      </c>
      <c r="I2705" t="s">
        <v>183</v>
      </c>
      <c r="J2705" t="s">
        <v>45</v>
      </c>
      <c r="K2705" t="s">
        <v>35</v>
      </c>
      <c r="L2705" t="s">
        <v>36</v>
      </c>
      <c r="M2705" t="s">
        <v>37</v>
      </c>
      <c r="N2705">
        <v>1</v>
      </c>
      <c r="O2705">
        <v>1</v>
      </c>
      <c r="P2705">
        <v>1</v>
      </c>
      <c r="Q2705">
        <v>1</v>
      </c>
      <c r="R2705">
        <v>0</v>
      </c>
      <c r="S2705" t="str">
        <f t="shared" si="210"/>
        <v>PX: Baja Crit.</v>
      </c>
      <c r="T2705">
        <f t="shared" si="211"/>
        <v>0</v>
      </c>
      <c r="U2705">
        <f t="shared" si="212"/>
        <v>1</v>
      </c>
      <c r="V2705">
        <f t="shared" si="213"/>
        <v>0</v>
      </c>
      <c r="W2705">
        <f t="shared" si="214"/>
        <v>0</v>
      </c>
      <c r="X2705">
        <v>1</v>
      </c>
      <c r="Y2705" s="2">
        <v>45768</v>
      </c>
      <c r="Z2705" s="3" t="s">
        <v>38</v>
      </c>
      <c r="AA2705" t="s">
        <v>39</v>
      </c>
      <c r="AB2705" t="s">
        <v>40</v>
      </c>
      <c r="AC2705" t="s">
        <v>40</v>
      </c>
      <c r="AD2705" t="s">
        <v>184</v>
      </c>
    </row>
    <row r="2706" spans="2:30">
      <c r="B2706">
        <v>0</v>
      </c>
      <c r="C2706">
        <v>1020</v>
      </c>
      <c r="D2706" t="s">
        <v>388</v>
      </c>
      <c r="E2706">
        <v>14146565</v>
      </c>
      <c r="F2706" t="s">
        <v>2792</v>
      </c>
      <c r="G2706" t="s">
        <v>52</v>
      </c>
      <c r="H2706" t="s">
        <v>44</v>
      </c>
      <c r="I2706" t="s">
        <v>390</v>
      </c>
      <c r="J2706" t="s">
        <v>45</v>
      </c>
      <c r="K2706" t="s">
        <v>35</v>
      </c>
      <c r="L2706" t="s">
        <v>175</v>
      </c>
      <c r="M2706" t="s">
        <v>69</v>
      </c>
      <c r="N2706">
        <v>0</v>
      </c>
      <c r="O2706">
        <v>0</v>
      </c>
      <c r="P2706">
        <v>3</v>
      </c>
      <c r="Q2706">
        <v>3</v>
      </c>
      <c r="R2706">
        <v>0</v>
      </c>
      <c r="S2706" t="str">
        <f t="shared" si="210"/>
        <v>PZ: Alta Crit.</v>
      </c>
      <c r="T2706">
        <f t="shared" si="211"/>
        <v>0</v>
      </c>
      <c r="U2706">
        <f t="shared" si="212"/>
        <v>1</v>
      </c>
      <c r="V2706">
        <f t="shared" si="213"/>
        <v>0</v>
      </c>
      <c r="W2706">
        <f t="shared" si="214"/>
        <v>1</v>
      </c>
      <c r="X2706">
        <v>1</v>
      </c>
      <c r="Y2706" s="2">
        <v>45768</v>
      </c>
      <c r="Z2706" s="3" t="s">
        <v>70</v>
      </c>
      <c r="AA2706" t="s">
        <v>39</v>
      </c>
      <c r="AB2706" t="s">
        <v>40</v>
      </c>
      <c r="AC2706" t="s">
        <v>40</v>
      </c>
      <c r="AD2706" t="s">
        <v>391</v>
      </c>
    </row>
    <row r="2707" spans="2:30">
      <c r="B2707">
        <v>0</v>
      </c>
      <c r="C2707">
        <v>1020</v>
      </c>
      <c r="D2707" t="s">
        <v>388</v>
      </c>
      <c r="E2707">
        <v>14146569</v>
      </c>
      <c r="F2707" t="s">
        <v>2793</v>
      </c>
      <c r="G2707" t="s">
        <v>52</v>
      </c>
      <c r="H2707" t="s">
        <v>44</v>
      </c>
      <c r="I2707" t="s">
        <v>390</v>
      </c>
      <c r="J2707" t="s">
        <v>45</v>
      </c>
      <c r="K2707" t="s">
        <v>35</v>
      </c>
      <c r="L2707" t="s">
        <v>175</v>
      </c>
      <c r="M2707" t="s">
        <v>69</v>
      </c>
      <c r="N2707">
        <v>0</v>
      </c>
      <c r="O2707">
        <v>0</v>
      </c>
      <c r="P2707">
        <v>1</v>
      </c>
      <c r="Q2707">
        <v>1</v>
      </c>
      <c r="R2707">
        <v>0</v>
      </c>
      <c r="S2707" t="str">
        <f t="shared" si="210"/>
        <v>PZ: Alta Crit.</v>
      </c>
      <c r="T2707">
        <f t="shared" si="211"/>
        <v>0</v>
      </c>
      <c r="U2707">
        <f t="shared" si="212"/>
        <v>1</v>
      </c>
      <c r="V2707">
        <f t="shared" si="213"/>
        <v>0</v>
      </c>
      <c r="W2707">
        <f t="shared" si="214"/>
        <v>1</v>
      </c>
      <c r="X2707">
        <v>1</v>
      </c>
      <c r="Y2707" s="2">
        <v>45768</v>
      </c>
      <c r="Z2707" s="3" t="s">
        <v>70</v>
      </c>
      <c r="AA2707" t="s">
        <v>39</v>
      </c>
      <c r="AB2707" t="s">
        <v>40</v>
      </c>
      <c r="AC2707" t="s">
        <v>40</v>
      </c>
      <c r="AD2707" t="s">
        <v>391</v>
      </c>
    </row>
    <row r="2708" spans="2:30">
      <c r="B2708">
        <v>0</v>
      </c>
      <c r="C2708">
        <v>1020</v>
      </c>
      <c r="D2708" t="s">
        <v>388</v>
      </c>
      <c r="E2708">
        <v>14146573</v>
      </c>
      <c r="F2708" t="s">
        <v>2794</v>
      </c>
      <c r="G2708" t="s">
        <v>52</v>
      </c>
      <c r="H2708" t="s">
        <v>44</v>
      </c>
      <c r="I2708" t="s">
        <v>390</v>
      </c>
      <c r="J2708" t="s">
        <v>45</v>
      </c>
      <c r="K2708" t="s">
        <v>35</v>
      </c>
      <c r="L2708" t="s">
        <v>175</v>
      </c>
      <c r="M2708" t="s">
        <v>69</v>
      </c>
      <c r="N2708">
        <v>0</v>
      </c>
      <c r="O2708">
        <v>0</v>
      </c>
      <c r="P2708">
        <v>1</v>
      </c>
      <c r="Q2708">
        <v>1</v>
      </c>
      <c r="R2708">
        <v>0</v>
      </c>
      <c r="S2708" t="str">
        <f t="shared" si="210"/>
        <v>PZ: Alta Crit.</v>
      </c>
      <c r="T2708">
        <f t="shared" si="211"/>
        <v>0</v>
      </c>
      <c r="U2708">
        <f t="shared" si="212"/>
        <v>1</v>
      </c>
      <c r="V2708">
        <f t="shared" si="213"/>
        <v>0</v>
      </c>
      <c r="W2708">
        <f t="shared" si="214"/>
        <v>1</v>
      </c>
      <c r="X2708">
        <v>1</v>
      </c>
      <c r="Y2708" s="2">
        <v>45768</v>
      </c>
      <c r="Z2708" s="3" t="s">
        <v>70</v>
      </c>
      <c r="AA2708" t="s">
        <v>39</v>
      </c>
      <c r="AB2708" t="s">
        <v>40</v>
      </c>
      <c r="AC2708" t="s">
        <v>40</v>
      </c>
      <c r="AD2708" t="s">
        <v>391</v>
      </c>
    </row>
    <row r="2709" spans="2:30">
      <c r="B2709">
        <v>0</v>
      </c>
      <c r="C2709">
        <v>1020</v>
      </c>
      <c r="D2709" t="s">
        <v>388</v>
      </c>
      <c r="E2709">
        <v>14146574</v>
      </c>
      <c r="F2709" t="s">
        <v>2795</v>
      </c>
      <c r="G2709" t="s">
        <v>52</v>
      </c>
      <c r="H2709" t="s">
        <v>44</v>
      </c>
      <c r="I2709" t="s">
        <v>390</v>
      </c>
      <c r="J2709" t="s">
        <v>45</v>
      </c>
      <c r="K2709" t="s">
        <v>35</v>
      </c>
      <c r="L2709" t="s">
        <v>175</v>
      </c>
      <c r="M2709" t="s">
        <v>69</v>
      </c>
      <c r="N2709">
        <v>0</v>
      </c>
      <c r="O2709">
        <v>0</v>
      </c>
      <c r="P2709">
        <v>1</v>
      </c>
      <c r="Q2709">
        <v>1</v>
      </c>
      <c r="R2709">
        <v>0</v>
      </c>
      <c r="S2709" t="str">
        <f t="shared" si="210"/>
        <v>PZ: Alta Crit.</v>
      </c>
      <c r="T2709">
        <f t="shared" si="211"/>
        <v>0</v>
      </c>
      <c r="U2709">
        <f t="shared" si="212"/>
        <v>1</v>
      </c>
      <c r="V2709">
        <f t="shared" si="213"/>
        <v>0</v>
      </c>
      <c r="W2709">
        <f t="shared" si="214"/>
        <v>1</v>
      </c>
      <c r="X2709">
        <v>1</v>
      </c>
      <c r="Y2709" s="2">
        <v>45768</v>
      </c>
      <c r="Z2709" s="3" t="s">
        <v>70</v>
      </c>
      <c r="AA2709" t="s">
        <v>39</v>
      </c>
      <c r="AB2709" t="s">
        <v>40</v>
      </c>
      <c r="AC2709" t="s">
        <v>40</v>
      </c>
      <c r="AD2709" t="s">
        <v>391</v>
      </c>
    </row>
    <row r="2710" spans="2:30">
      <c r="B2710">
        <v>0</v>
      </c>
      <c r="C2710">
        <v>1020</v>
      </c>
      <c r="D2710" t="s">
        <v>181</v>
      </c>
      <c r="E2710">
        <v>14147703</v>
      </c>
      <c r="F2710" t="s">
        <v>2796</v>
      </c>
      <c r="G2710" t="s">
        <v>43</v>
      </c>
      <c r="H2710" t="s">
        <v>32</v>
      </c>
      <c r="I2710" t="s">
        <v>183</v>
      </c>
      <c r="J2710" t="s">
        <v>45</v>
      </c>
      <c r="K2710" t="s">
        <v>35</v>
      </c>
      <c r="L2710" t="s">
        <v>36</v>
      </c>
      <c r="M2710" t="s">
        <v>117</v>
      </c>
      <c r="N2710">
        <v>2</v>
      </c>
      <c r="O2710">
        <v>2</v>
      </c>
      <c r="P2710">
        <v>1</v>
      </c>
      <c r="Q2710">
        <v>2</v>
      </c>
      <c r="R2710" s="4">
        <v>1000</v>
      </c>
      <c r="S2710" t="str">
        <f t="shared" si="210"/>
        <v>PY: Media Crit.</v>
      </c>
      <c r="T2710">
        <f t="shared" si="211"/>
        <v>0</v>
      </c>
      <c r="U2710">
        <f t="shared" si="212"/>
        <v>0</v>
      </c>
      <c r="V2710">
        <f t="shared" si="213"/>
        <v>1</v>
      </c>
      <c r="W2710">
        <f t="shared" si="214"/>
        <v>0</v>
      </c>
      <c r="X2710">
        <v>1</v>
      </c>
      <c r="Y2710" s="2">
        <v>45768</v>
      </c>
      <c r="Z2710" s="3" t="s">
        <v>118</v>
      </c>
      <c r="AA2710" t="s">
        <v>39</v>
      </c>
      <c r="AB2710" t="s">
        <v>40</v>
      </c>
      <c r="AC2710" t="s">
        <v>40</v>
      </c>
      <c r="AD2710" t="s">
        <v>184</v>
      </c>
    </row>
    <row r="2711" spans="2:30">
      <c r="B2711">
        <v>0</v>
      </c>
      <c r="C2711">
        <v>1020</v>
      </c>
      <c r="D2711" t="s">
        <v>181</v>
      </c>
      <c r="E2711">
        <v>14147750</v>
      </c>
      <c r="F2711" t="s">
        <v>2797</v>
      </c>
      <c r="G2711" t="s">
        <v>52</v>
      </c>
      <c r="H2711" t="s">
        <v>44</v>
      </c>
      <c r="I2711" t="s">
        <v>183</v>
      </c>
      <c r="J2711" t="s">
        <v>45</v>
      </c>
      <c r="K2711" t="s">
        <v>35</v>
      </c>
      <c r="L2711" t="s">
        <v>36</v>
      </c>
      <c r="M2711" t="s">
        <v>69</v>
      </c>
      <c r="N2711">
        <v>24</v>
      </c>
      <c r="O2711">
        <v>17</v>
      </c>
      <c r="P2711">
        <v>5</v>
      </c>
      <c r="Q2711">
        <v>24</v>
      </c>
      <c r="R2711">
        <v>0</v>
      </c>
      <c r="S2711" t="str">
        <f t="shared" si="210"/>
        <v>PZ: Alta Crit.</v>
      </c>
      <c r="T2711">
        <f t="shared" si="211"/>
        <v>0</v>
      </c>
      <c r="U2711">
        <f t="shared" si="212"/>
        <v>0</v>
      </c>
      <c r="V2711">
        <f t="shared" si="213"/>
        <v>1</v>
      </c>
      <c r="W2711">
        <f t="shared" si="214"/>
        <v>0</v>
      </c>
      <c r="X2711">
        <v>1</v>
      </c>
      <c r="Y2711" s="2">
        <v>45768</v>
      </c>
      <c r="Z2711" s="3" t="s">
        <v>70</v>
      </c>
      <c r="AA2711" t="s">
        <v>39</v>
      </c>
      <c r="AB2711" t="s">
        <v>40</v>
      </c>
      <c r="AC2711" t="s">
        <v>40</v>
      </c>
      <c r="AD2711" t="s">
        <v>184</v>
      </c>
    </row>
    <row r="2712" spans="2:30">
      <c r="B2712">
        <v>0</v>
      </c>
      <c r="C2712">
        <v>1020</v>
      </c>
      <c r="D2712" t="s">
        <v>388</v>
      </c>
      <c r="E2712">
        <v>14149067</v>
      </c>
      <c r="F2712" s="6" t="s">
        <v>2798</v>
      </c>
      <c r="G2712" t="s">
        <v>52</v>
      </c>
      <c r="H2712" t="s">
        <v>44</v>
      </c>
      <c r="I2712" t="s">
        <v>390</v>
      </c>
      <c r="J2712" t="s">
        <v>45</v>
      </c>
      <c r="K2712" t="s">
        <v>53</v>
      </c>
      <c r="L2712" t="s">
        <v>175</v>
      </c>
      <c r="M2712" t="s">
        <v>37</v>
      </c>
      <c r="N2712">
        <v>0</v>
      </c>
      <c r="O2712">
        <v>0</v>
      </c>
      <c r="P2712">
        <v>624</v>
      </c>
      <c r="Q2712">
        <v>0</v>
      </c>
      <c r="R2712">
        <v>0</v>
      </c>
      <c r="S2712" t="str">
        <f t="shared" si="210"/>
        <v>PZ: Alta Crit.</v>
      </c>
      <c r="T2712">
        <f t="shared" si="211"/>
        <v>1</v>
      </c>
      <c r="U2712">
        <f t="shared" si="212"/>
        <v>0</v>
      </c>
      <c r="V2712">
        <f t="shared" si="213"/>
        <v>0</v>
      </c>
      <c r="W2712">
        <f t="shared" si="214"/>
        <v>0</v>
      </c>
      <c r="X2712">
        <v>1</v>
      </c>
      <c r="Y2712" s="2">
        <v>45768</v>
      </c>
      <c r="Z2712" s="3" t="s">
        <v>38</v>
      </c>
      <c r="AA2712" t="s">
        <v>39</v>
      </c>
      <c r="AB2712" t="s">
        <v>49</v>
      </c>
      <c r="AC2712" s="5" t="s">
        <v>50</v>
      </c>
      <c r="AD2712" t="s">
        <v>391</v>
      </c>
    </row>
    <row r="2713" spans="2:30">
      <c r="B2713" s="6">
        <v>0</v>
      </c>
      <c r="C2713" s="6">
        <v>1020</v>
      </c>
      <c r="D2713" s="6" t="s">
        <v>388</v>
      </c>
      <c r="E2713" s="6">
        <v>14149068</v>
      </c>
      <c r="F2713" s="6" t="s">
        <v>2799</v>
      </c>
      <c r="G2713" s="6" t="s">
        <v>31</v>
      </c>
      <c r="H2713" s="6" t="s">
        <v>44</v>
      </c>
      <c r="I2713" s="6" t="s">
        <v>390</v>
      </c>
      <c r="J2713" s="6" t="s">
        <v>45</v>
      </c>
      <c r="K2713" s="6" t="s">
        <v>53</v>
      </c>
      <c r="L2713" s="6" t="s">
        <v>175</v>
      </c>
      <c r="M2713" s="6" t="s">
        <v>46</v>
      </c>
      <c r="N2713" s="6">
        <v>0</v>
      </c>
      <c r="O2713" s="6">
        <v>0</v>
      </c>
      <c r="P2713" s="6">
        <v>416</v>
      </c>
      <c r="Q2713" s="6">
        <v>416</v>
      </c>
      <c r="R2713" s="9">
        <v>41686.47</v>
      </c>
      <c r="S2713" s="6" t="str">
        <f t="shared" si="210"/>
        <v>PX: Baja Crit.</v>
      </c>
      <c r="T2713" s="6">
        <f t="shared" si="211"/>
        <v>0</v>
      </c>
      <c r="U2713" s="6">
        <f t="shared" si="212"/>
        <v>1</v>
      </c>
      <c r="V2713" s="6">
        <f t="shared" si="213"/>
        <v>0</v>
      </c>
      <c r="W2713" s="6">
        <f t="shared" si="214"/>
        <v>1</v>
      </c>
      <c r="X2713" s="6">
        <v>1</v>
      </c>
      <c r="Y2713" s="10">
        <v>45768</v>
      </c>
      <c r="Z2713" s="11" t="s">
        <v>47</v>
      </c>
      <c r="AA2713" s="6" t="s">
        <v>39</v>
      </c>
      <c r="AB2713" s="6" t="s">
        <v>40</v>
      </c>
      <c r="AC2713" s="6" t="s">
        <v>40</v>
      </c>
      <c r="AD2713" s="6" t="s">
        <v>391</v>
      </c>
    </row>
    <row r="2714" spans="2:30">
      <c r="B2714">
        <v>0</v>
      </c>
      <c r="C2714">
        <v>1020</v>
      </c>
      <c r="D2714" t="s">
        <v>388</v>
      </c>
      <c r="E2714">
        <v>14149218</v>
      </c>
      <c r="F2714" t="s">
        <v>2800</v>
      </c>
      <c r="G2714" t="s">
        <v>43</v>
      </c>
      <c r="H2714" t="s">
        <v>60</v>
      </c>
      <c r="I2714" t="s">
        <v>390</v>
      </c>
      <c r="J2714" t="s">
        <v>45</v>
      </c>
      <c r="K2714" t="s">
        <v>35</v>
      </c>
      <c r="L2714" t="s">
        <v>175</v>
      </c>
      <c r="M2714" t="s">
        <v>69</v>
      </c>
      <c r="N2714">
        <v>0</v>
      </c>
      <c r="O2714">
        <v>0</v>
      </c>
      <c r="P2714">
        <v>1</v>
      </c>
      <c r="Q2714">
        <v>1</v>
      </c>
      <c r="R2714">
        <v>0</v>
      </c>
      <c r="S2714" t="str">
        <f t="shared" si="210"/>
        <v>PY: Media Crit.</v>
      </c>
      <c r="T2714">
        <f t="shared" si="211"/>
        <v>0</v>
      </c>
      <c r="U2714">
        <f t="shared" si="212"/>
        <v>1</v>
      </c>
      <c r="V2714">
        <f t="shared" si="213"/>
        <v>0</v>
      </c>
      <c r="W2714">
        <f t="shared" si="214"/>
        <v>1</v>
      </c>
      <c r="X2714">
        <v>1</v>
      </c>
      <c r="Y2714" s="2">
        <v>45768</v>
      </c>
      <c r="Z2714" s="3" t="s">
        <v>70</v>
      </c>
      <c r="AA2714" t="s">
        <v>39</v>
      </c>
      <c r="AB2714" t="s">
        <v>40</v>
      </c>
      <c r="AC2714" t="s">
        <v>40</v>
      </c>
      <c r="AD2714" t="s">
        <v>391</v>
      </c>
    </row>
    <row r="2715" spans="2:30">
      <c r="B2715">
        <v>0</v>
      </c>
      <c r="C2715">
        <v>1020</v>
      </c>
      <c r="D2715" t="s">
        <v>388</v>
      </c>
      <c r="E2715">
        <v>14149220</v>
      </c>
      <c r="F2715" t="s">
        <v>2801</v>
      </c>
      <c r="G2715" t="s">
        <v>43</v>
      </c>
      <c r="H2715" t="s">
        <v>60</v>
      </c>
      <c r="I2715" t="s">
        <v>390</v>
      </c>
      <c r="J2715" t="s">
        <v>45</v>
      </c>
      <c r="K2715" t="s">
        <v>35</v>
      </c>
      <c r="L2715" t="s">
        <v>175</v>
      </c>
      <c r="M2715" t="s">
        <v>69</v>
      </c>
      <c r="N2715">
        <v>0</v>
      </c>
      <c r="O2715">
        <v>0</v>
      </c>
      <c r="P2715">
        <v>1</v>
      </c>
      <c r="Q2715">
        <v>2</v>
      </c>
      <c r="R2715" s="4">
        <v>60424.23</v>
      </c>
      <c r="S2715" t="str">
        <f t="shared" si="210"/>
        <v>PY: Media Crit.</v>
      </c>
      <c r="T2715">
        <f t="shared" si="211"/>
        <v>0</v>
      </c>
      <c r="U2715">
        <f t="shared" si="212"/>
        <v>0</v>
      </c>
      <c r="V2715">
        <f t="shared" si="213"/>
        <v>0</v>
      </c>
      <c r="W2715">
        <f t="shared" si="214"/>
        <v>1</v>
      </c>
      <c r="X2715">
        <v>1</v>
      </c>
      <c r="Y2715" s="2">
        <v>45768</v>
      </c>
      <c r="Z2715" s="3" t="s">
        <v>70</v>
      </c>
      <c r="AA2715" t="s">
        <v>39</v>
      </c>
      <c r="AB2715" t="s">
        <v>40</v>
      </c>
      <c r="AC2715" t="s">
        <v>40</v>
      </c>
      <c r="AD2715" t="s">
        <v>391</v>
      </c>
    </row>
    <row r="2716" spans="2:30">
      <c r="B2716">
        <v>0</v>
      </c>
      <c r="C2716">
        <v>1020</v>
      </c>
      <c r="D2716" t="s">
        <v>388</v>
      </c>
      <c r="E2716">
        <v>14149786</v>
      </c>
      <c r="F2716" t="s">
        <v>2802</v>
      </c>
      <c r="G2716" t="s">
        <v>31</v>
      </c>
      <c r="H2716" t="s">
        <v>44</v>
      </c>
      <c r="I2716" t="s">
        <v>390</v>
      </c>
      <c r="J2716" t="s">
        <v>45</v>
      </c>
      <c r="K2716" t="s">
        <v>35</v>
      </c>
      <c r="L2716" t="s">
        <v>175</v>
      </c>
      <c r="M2716" t="s">
        <v>46</v>
      </c>
      <c r="N2716">
        <v>0</v>
      </c>
      <c r="O2716">
        <v>0</v>
      </c>
      <c r="P2716">
        <v>1</v>
      </c>
      <c r="Q2716">
        <v>1</v>
      </c>
      <c r="R2716" s="4">
        <v>12357.82</v>
      </c>
      <c r="S2716" t="str">
        <f t="shared" si="210"/>
        <v>PX: Baja Crit.</v>
      </c>
      <c r="T2716">
        <f t="shared" si="211"/>
        <v>0</v>
      </c>
      <c r="U2716">
        <f t="shared" si="212"/>
        <v>1</v>
      </c>
      <c r="V2716">
        <f t="shared" si="213"/>
        <v>0</v>
      </c>
      <c r="W2716">
        <f t="shared" si="214"/>
        <v>1</v>
      </c>
      <c r="X2716">
        <v>1</v>
      </c>
      <c r="Y2716" s="2">
        <v>45768</v>
      </c>
      <c r="Z2716" s="3" t="s">
        <v>47</v>
      </c>
      <c r="AA2716" t="s">
        <v>39</v>
      </c>
      <c r="AB2716" t="s">
        <v>40</v>
      </c>
      <c r="AC2716" t="s">
        <v>40</v>
      </c>
      <c r="AD2716" t="s">
        <v>391</v>
      </c>
    </row>
    <row r="2717" spans="2:30">
      <c r="B2717">
        <v>0</v>
      </c>
      <c r="C2717">
        <v>1020</v>
      </c>
      <c r="D2717" t="s">
        <v>181</v>
      </c>
      <c r="E2717">
        <v>14153044</v>
      </c>
      <c r="F2717" t="s">
        <v>2803</v>
      </c>
      <c r="G2717" t="s">
        <v>31</v>
      </c>
      <c r="H2717" t="s">
        <v>60</v>
      </c>
      <c r="I2717" t="s">
        <v>183</v>
      </c>
      <c r="J2717" t="s">
        <v>45</v>
      </c>
      <c r="K2717" t="s">
        <v>35</v>
      </c>
      <c r="L2717" t="s">
        <v>36</v>
      </c>
      <c r="M2717" t="s">
        <v>117</v>
      </c>
      <c r="N2717">
        <v>10</v>
      </c>
      <c r="O2717">
        <v>7</v>
      </c>
      <c r="P2717">
        <v>2</v>
      </c>
      <c r="Q2717">
        <v>10</v>
      </c>
      <c r="R2717" s="4">
        <v>3520</v>
      </c>
      <c r="S2717" t="str">
        <f t="shared" si="210"/>
        <v>PX: Baja Crit.</v>
      </c>
      <c r="T2717">
        <f t="shared" si="211"/>
        <v>0</v>
      </c>
      <c r="U2717">
        <f t="shared" si="212"/>
        <v>0</v>
      </c>
      <c r="V2717">
        <f t="shared" si="213"/>
        <v>1</v>
      </c>
      <c r="W2717">
        <f t="shared" si="214"/>
        <v>0</v>
      </c>
      <c r="X2717">
        <v>1</v>
      </c>
      <c r="Y2717" s="2">
        <v>45768</v>
      </c>
      <c r="Z2717" s="3" t="s">
        <v>118</v>
      </c>
      <c r="AA2717" t="s">
        <v>39</v>
      </c>
      <c r="AB2717" t="s">
        <v>40</v>
      </c>
      <c r="AC2717" t="s">
        <v>40</v>
      </c>
      <c r="AD2717" t="s">
        <v>184</v>
      </c>
    </row>
    <row r="2718" spans="2:30">
      <c r="B2718">
        <v>0</v>
      </c>
      <c r="C2718">
        <v>1020</v>
      </c>
      <c r="D2718" t="s">
        <v>384</v>
      </c>
      <c r="E2718">
        <v>14153047</v>
      </c>
      <c r="F2718" t="s">
        <v>2804</v>
      </c>
      <c r="G2718" t="s">
        <v>31</v>
      </c>
      <c r="H2718" t="s">
        <v>60</v>
      </c>
      <c r="I2718" t="s">
        <v>386</v>
      </c>
      <c r="J2718" t="s">
        <v>45</v>
      </c>
      <c r="K2718" t="s">
        <v>35</v>
      </c>
      <c r="L2718" t="s">
        <v>175</v>
      </c>
      <c r="M2718" t="s">
        <v>117</v>
      </c>
      <c r="N2718">
        <v>0</v>
      </c>
      <c r="O2718">
        <v>0</v>
      </c>
      <c r="P2718">
        <v>0</v>
      </c>
      <c r="Q2718">
        <v>9</v>
      </c>
      <c r="R2718">
        <v>0</v>
      </c>
      <c r="S2718" t="str">
        <f t="shared" si="210"/>
        <v>PX: Baja Crit.</v>
      </c>
      <c r="T2718">
        <f t="shared" si="211"/>
        <v>0</v>
      </c>
      <c r="U2718">
        <f t="shared" si="212"/>
        <v>0</v>
      </c>
      <c r="V2718">
        <f t="shared" si="213"/>
        <v>0</v>
      </c>
      <c r="W2718">
        <f t="shared" si="214"/>
        <v>1</v>
      </c>
      <c r="X2718">
        <v>1</v>
      </c>
      <c r="Y2718" s="2">
        <v>45768</v>
      </c>
      <c r="Z2718" s="3" t="s">
        <v>118</v>
      </c>
      <c r="AA2718" t="s">
        <v>39</v>
      </c>
      <c r="AB2718" t="s">
        <v>40</v>
      </c>
      <c r="AC2718" t="s">
        <v>40</v>
      </c>
      <c r="AD2718" t="s">
        <v>387</v>
      </c>
    </row>
    <row r="2719" spans="2:30">
      <c r="B2719">
        <v>0</v>
      </c>
      <c r="C2719">
        <v>1020</v>
      </c>
      <c r="D2719" t="s">
        <v>181</v>
      </c>
      <c r="E2719">
        <v>14153051</v>
      </c>
      <c r="F2719" t="s">
        <v>2805</v>
      </c>
      <c r="G2719" t="s">
        <v>31</v>
      </c>
      <c r="H2719" t="s">
        <v>60</v>
      </c>
      <c r="I2719" t="s">
        <v>183</v>
      </c>
      <c r="J2719" t="s">
        <v>45</v>
      </c>
      <c r="K2719" t="s">
        <v>35</v>
      </c>
      <c r="L2719" t="s">
        <v>36</v>
      </c>
      <c r="M2719" t="s">
        <v>117</v>
      </c>
      <c r="N2719">
        <v>15</v>
      </c>
      <c r="O2719">
        <v>11</v>
      </c>
      <c r="P2719">
        <v>0</v>
      </c>
      <c r="Q2719">
        <v>15</v>
      </c>
      <c r="R2719">
        <v>0</v>
      </c>
      <c r="S2719" t="str">
        <f t="shared" si="210"/>
        <v>PX: Baja Crit.</v>
      </c>
      <c r="T2719">
        <f t="shared" si="211"/>
        <v>0</v>
      </c>
      <c r="U2719">
        <f t="shared" si="212"/>
        <v>0</v>
      </c>
      <c r="V2719">
        <f t="shared" si="213"/>
        <v>1</v>
      </c>
      <c r="W2719">
        <f t="shared" si="214"/>
        <v>0</v>
      </c>
      <c r="X2719">
        <v>1</v>
      </c>
      <c r="Y2719" s="2">
        <v>45768</v>
      </c>
      <c r="Z2719" s="3" t="s">
        <v>118</v>
      </c>
      <c r="AA2719" t="s">
        <v>39</v>
      </c>
      <c r="AB2719" t="s">
        <v>40</v>
      </c>
      <c r="AC2719" t="s">
        <v>40</v>
      </c>
      <c r="AD2719" t="s">
        <v>184</v>
      </c>
    </row>
    <row r="2720" spans="2:30">
      <c r="B2720">
        <v>0</v>
      </c>
      <c r="C2720">
        <v>1020</v>
      </c>
      <c r="D2720" t="s">
        <v>181</v>
      </c>
      <c r="E2720">
        <v>14153327</v>
      </c>
      <c r="F2720" t="s">
        <v>2806</v>
      </c>
      <c r="G2720" t="s">
        <v>52</v>
      </c>
      <c r="H2720" t="s">
        <v>44</v>
      </c>
      <c r="I2720" t="s">
        <v>183</v>
      </c>
      <c r="J2720" t="s">
        <v>45</v>
      </c>
      <c r="K2720" t="s">
        <v>35</v>
      </c>
      <c r="L2720" t="s">
        <v>36</v>
      </c>
      <c r="M2720" t="s">
        <v>46</v>
      </c>
      <c r="N2720">
        <v>200</v>
      </c>
      <c r="O2720">
        <v>100</v>
      </c>
      <c r="P2720">
        <v>50</v>
      </c>
      <c r="Q2720">
        <v>300</v>
      </c>
      <c r="R2720">
        <v>0</v>
      </c>
      <c r="S2720" t="str">
        <f t="shared" si="210"/>
        <v>PZ: Alta Crit.</v>
      </c>
      <c r="T2720">
        <f t="shared" si="211"/>
        <v>0</v>
      </c>
      <c r="U2720">
        <f t="shared" si="212"/>
        <v>0</v>
      </c>
      <c r="V2720">
        <f t="shared" si="213"/>
        <v>0</v>
      </c>
      <c r="W2720">
        <f t="shared" si="214"/>
        <v>1</v>
      </c>
      <c r="X2720">
        <v>1</v>
      </c>
      <c r="Y2720" s="2">
        <v>45768</v>
      </c>
      <c r="Z2720" s="3" t="s">
        <v>47</v>
      </c>
      <c r="AA2720" t="s">
        <v>39</v>
      </c>
      <c r="AB2720" t="s">
        <v>40</v>
      </c>
      <c r="AC2720" t="s">
        <v>40</v>
      </c>
      <c r="AD2720" t="s">
        <v>184</v>
      </c>
    </row>
    <row r="2721" spans="2:30">
      <c r="B2721">
        <v>0</v>
      </c>
      <c r="C2721">
        <v>1020</v>
      </c>
      <c r="D2721" t="s">
        <v>181</v>
      </c>
      <c r="E2721">
        <v>14153329</v>
      </c>
      <c r="F2721" t="s">
        <v>2807</v>
      </c>
      <c r="G2721" t="s">
        <v>52</v>
      </c>
      <c r="H2721" t="s">
        <v>32</v>
      </c>
      <c r="I2721" t="s">
        <v>183</v>
      </c>
      <c r="J2721" t="s">
        <v>45</v>
      </c>
      <c r="K2721" t="s">
        <v>35</v>
      </c>
      <c r="L2721" t="s">
        <v>36</v>
      </c>
      <c r="M2721" t="s">
        <v>46</v>
      </c>
      <c r="N2721">
        <v>200</v>
      </c>
      <c r="O2721">
        <v>100</v>
      </c>
      <c r="P2721">
        <v>50</v>
      </c>
      <c r="Q2721">
        <v>200</v>
      </c>
      <c r="R2721">
        <v>0</v>
      </c>
      <c r="S2721" t="str">
        <f t="shared" si="210"/>
        <v>PZ: Alta Crit.</v>
      </c>
      <c r="T2721">
        <f t="shared" si="211"/>
        <v>0</v>
      </c>
      <c r="U2721">
        <f t="shared" si="212"/>
        <v>0</v>
      </c>
      <c r="V2721">
        <f t="shared" si="213"/>
        <v>1</v>
      </c>
      <c r="W2721">
        <f t="shared" si="214"/>
        <v>0</v>
      </c>
      <c r="X2721">
        <v>1</v>
      </c>
      <c r="Y2721" s="2">
        <v>45768</v>
      </c>
      <c r="Z2721" s="3" t="s">
        <v>47</v>
      </c>
      <c r="AA2721" t="s">
        <v>39</v>
      </c>
      <c r="AB2721" t="s">
        <v>40</v>
      </c>
      <c r="AC2721" t="s">
        <v>40</v>
      </c>
      <c r="AD2721" t="s">
        <v>184</v>
      </c>
    </row>
    <row r="2722" spans="2:30">
      <c r="B2722">
        <v>0</v>
      </c>
      <c r="C2722">
        <v>1020</v>
      </c>
      <c r="D2722" t="s">
        <v>181</v>
      </c>
      <c r="E2722">
        <v>14153497</v>
      </c>
      <c r="F2722" t="s">
        <v>2808</v>
      </c>
      <c r="G2722" t="s">
        <v>31</v>
      </c>
      <c r="H2722" t="s">
        <v>60</v>
      </c>
      <c r="I2722" t="s">
        <v>183</v>
      </c>
      <c r="J2722" t="s">
        <v>45</v>
      </c>
      <c r="K2722" t="s">
        <v>35</v>
      </c>
      <c r="L2722" t="s">
        <v>36</v>
      </c>
      <c r="M2722" t="s">
        <v>117</v>
      </c>
      <c r="N2722">
        <v>30</v>
      </c>
      <c r="O2722">
        <v>10</v>
      </c>
      <c r="P2722">
        <v>0</v>
      </c>
      <c r="Q2722">
        <v>16</v>
      </c>
      <c r="R2722">
        <v>0</v>
      </c>
      <c r="S2722" t="str">
        <f t="shared" si="210"/>
        <v>PX: Baja Crit.</v>
      </c>
      <c r="T2722">
        <f t="shared" si="211"/>
        <v>0</v>
      </c>
      <c r="U2722">
        <f t="shared" si="212"/>
        <v>0</v>
      </c>
      <c r="V2722">
        <f t="shared" si="213"/>
        <v>1</v>
      </c>
      <c r="W2722">
        <f t="shared" si="214"/>
        <v>0</v>
      </c>
      <c r="X2722">
        <v>1</v>
      </c>
      <c r="Y2722" s="2">
        <v>45768</v>
      </c>
      <c r="Z2722" s="3" t="s">
        <v>118</v>
      </c>
      <c r="AA2722" t="s">
        <v>39</v>
      </c>
      <c r="AB2722" t="s">
        <v>40</v>
      </c>
      <c r="AC2722" t="s">
        <v>40</v>
      </c>
      <c r="AD2722" t="s">
        <v>184</v>
      </c>
    </row>
    <row r="2723" spans="2:30">
      <c r="B2723">
        <v>0</v>
      </c>
      <c r="C2723">
        <v>1020</v>
      </c>
      <c r="D2723" t="s">
        <v>388</v>
      </c>
      <c r="E2723">
        <v>14157754</v>
      </c>
      <c r="F2723" t="s">
        <v>2809</v>
      </c>
      <c r="G2723" t="s">
        <v>52</v>
      </c>
      <c r="H2723" t="s">
        <v>44</v>
      </c>
      <c r="I2723" t="s">
        <v>390</v>
      </c>
      <c r="J2723" t="s">
        <v>45</v>
      </c>
      <c r="K2723" t="s">
        <v>35</v>
      </c>
      <c r="L2723" t="s">
        <v>175</v>
      </c>
      <c r="M2723" t="s">
        <v>69</v>
      </c>
      <c r="N2723">
        <v>0</v>
      </c>
      <c r="O2723">
        <v>0</v>
      </c>
      <c r="P2723">
        <v>1</v>
      </c>
      <c r="Q2723">
        <v>1</v>
      </c>
      <c r="R2723" s="4">
        <v>87551.02</v>
      </c>
      <c r="S2723" t="str">
        <f t="shared" si="210"/>
        <v>PZ: Alta Crit.</v>
      </c>
      <c r="T2723">
        <f t="shared" si="211"/>
        <v>0</v>
      </c>
      <c r="U2723">
        <f t="shared" si="212"/>
        <v>1</v>
      </c>
      <c r="V2723">
        <f t="shared" si="213"/>
        <v>0</v>
      </c>
      <c r="W2723">
        <f t="shared" si="214"/>
        <v>1</v>
      </c>
      <c r="X2723">
        <v>1</v>
      </c>
      <c r="Y2723" s="2">
        <v>45768</v>
      </c>
      <c r="Z2723" s="3" t="s">
        <v>70</v>
      </c>
      <c r="AA2723" t="s">
        <v>39</v>
      </c>
      <c r="AB2723" t="s">
        <v>40</v>
      </c>
      <c r="AC2723" t="s">
        <v>40</v>
      </c>
      <c r="AD2723" t="s">
        <v>391</v>
      </c>
    </row>
    <row r="2724" spans="2:30">
      <c r="B2724">
        <v>0</v>
      </c>
      <c r="C2724">
        <v>1020</v>
      </c>
      <c r="D2724" t="s">
        <v>693</v>
      </c>
      <c r="E2724">
        <v>14158842</v>
      </c>
      <c r="F2724" t="s">
        <v>2810</v>
      </c>
      <c r="G2724" t="s">
        <v>31</v>
      </c>
      <c r="H2724" t="s">
        <v>44</v>
      </c>
      <c r="I2724" t="s">
        <v>695</v>
      </c>
      <c r="J2724" t="s">
        <v>45</v>
      </c>
      <c r="K2724" t="s">
        <v>35</v>
      </c>
      <c r="L2724" t="s">
        <v>175</v>
      </c>
      <c r="M2724" t="s">
        <v>46</v>
      </c>
      <c r="N2724">
        <v>0</v>
      </c>
      <c r="O2724">
        <v>0</v>
      </c>
      <c r="P2724">
        <v>0</v>
      </c>
      <c r="Q2724">
        <v>2</v>
      </c>
      <c r="R2724">
        <v>0</v>
      </c>
      <c r="S2724" t="str">
        <f t="shared" si="210"/>
        <v>PX: Baja Crit.</v>
      </c>
      <c r="T2724">
        <f t="shared" si="211"/>
        <v>0</v>
      </c>
      <c r="U2724">
        <f t="shared" si="212"/>
        <v>0</v>
      </c>
      <c r="V2724">
        <f t="shared" si="213"/>
        <v>0</v>
      </c>
      <c r="W2724">
        <f t="shared" si="214"/>
        <v>1</v>
      </c>
      <c r="X2724">
        <v>1</v>
      </c>
      <c r="Y2724" s="2">
        <v>45768</v>
      </c>
      <c r="Z2724" s="3" t="s">
        <v>47</v>
      </c>
      <c r="AA2724" t="s">
        <v>39</v>
      </c>
      <c r="AB2724" t="s">
        <v>40</v>
      </c>
      <c r="AC2724" t="s">
        <v>40</v>
      </c>
      <c r="AD2724" t="s">
        <v>696</v>
      </c>
    </row>
    <row r="2725" spans="2:30">
      <c r="B2725">
        <v>0</v>
      </c>
      <c r="C2725">
        <v>1020</v>
      </c>
      <c r="D2725" t="s">
        <v>181</v>
      </c>
      <c r="E2725">
        <v>14159914</v>
      </c>
      <c r="F2725" t="s">
        <v>2811</v>
      </c>
      <c r="G2725" t="s">
        <v>31</v>
      </c>
      <c r="H2725" t="s">
        <v>60</v>
      </c>
      <c r="I2725" t="s">
        <v>183</v>
      </c>
      <c r="J2725" t="s">
        <v>45</v>
      </c>
      <c r="K2725" t="s">
        <v>35</v>
      </c>
      <c r="L2725" t="s">
        <v>36</v>
      </c>
      <c r="M2725" t="s">
        <v>117</v>
      </c>
      <c r="N2725">
        <v>30</v>
      </c>
      <c r="O2725">
        <v>21</v>
      </c>
      <c r="P2725">
        <v>0</v>
      </c>
      <c r="Q2725">
        <v>30</v>
      </c>
      <c r="R2725">
        <v>0</v>
      </c>
      <c r="S2725" t="str">
        <f t="shared" si="210"/>
        <v>PX: Baja Crit.</v>
      </c>
      <c r="T2725">
        <f t="shared" si="211"/>
        <v>0</v>
      </c>
      <c r="U2725">
        <f t="shared" si="212"/>
        <v>0</v>
      </c>
      <c r="V2725">
        <f t="shared" si="213"/>
        <v>1</v>
      </c>
      <c r="W2725">
        <f t="shared" si="214"/>
        <v>0</v>
      </c>
      <c r="X2725">
        <v>1</v>
      </c>
      <c r="Y2725" s="2">
        <v>45768</v>
      </c>
      <c r="Z2725" s="3" t="s">
        <v>118</v>
      </c>
      <c r="AA2725" t="s">
        <v>39</v>
      </c>
      <c r="AB2725" t="s">
        <v>40</v>
      </c>
      <c r="AC2725" t="s">
        <v>40</v>
      </c>
      <c r="AD2725" t="s">
        <v>184</v>
      </c>
    </row>
    <row r="2726" spans="2:30">
      <c r="B2726">
        <v>0</v>
      </c>
      <c r="C2726">
        <v>1020</v>
      </c>
      <c r="D2726" t="s">
        <v>181</v>
      </c>
      <c r="E2726">
        <v>14160731</v>
      </c>
      <c r="F2726" t="s">
        <v>2812</v>
      </c>
      <c r="G2726" t="s">
        <v>43</v>
      </c>
      <c r="H2726" t="s">
        <v>60</v>
      </c>
      <c r="I2726" t="s">
        <v>183</v>
      </c>
      <c r="J2726" t="s">
        <v>45</v>
      </c>
      <c r="K2726" t="s">
        <v>35</v>
      </c>
      <c r="L2726" t="s">
        <v>36</v>
      </c>
      <c r="M2726" t="s">
        <v>46</v>
      </c>
      <c r="N2726">
        <v>5</v>
      </c>
      <c r="O2726">
        <v>4</v>
      </c>
      <c r="P2726">
        <v>0</v>
      </c>
      <c r="Q2726">
        <v>5</v>
      </c>
      <c r="R2726">
        <v>0</v>
      </c>
      <c r="S2726" t="str">
        <f t="shared" si="210"/>
        <v>PY: Media Crit.</v>
      </c>
      <c r="T2726">
        <f t="shared" si="211"/>
        <v>0</v>
      </c>
      <c r="U2726">
        <f t="shared" si="212"/>
        <v>0</v>
      </c>
      <c r="V2726">
        <f t="shared" si="213"/>
        <v>1</v>
      </c>
      <c r="W2726">
        <f t="shared" si="214"/>
        <v>0</v>
      </c>
      <c r="X2726">
        <v>1</v>
      </c>
      <c r="Y2726" s="2">
        <v>45768</v>
      </c>
      <c r="Z2726" s="3" t="s">
        <v>47</v>
      </c>
      <c r="AA2726" t="s">
        <v>39</v>
      </c>
      <c r="AB2726" t="s">
        <v>40</v>
      </c>
      <c r="AC2726" t="s">
        <v>40</v>
      </c>
      <c r="AD2726" t="s">
        <v>184</v>
      </c>
    </row>
    <row r="2727" spans="2:30">
      <c r="B2727">
        <v>0</v>
      </c>
      <c r="C2727">
        <v>1020</v>
      </c>
      <c r="D2727" t="s">
        <v>181</v>
      </c>
      <c r="E2727">
        <v>14160736</v>
      </c>
      <c r="F2727" t="s">
        <v>2813</v>
      </c>
      <c r="G2727" t="s">
        <v>43</v>
      </c>
      <c r="H2727" t="s">
        <v>60</v>
      </c>
      <c r="I2727" t="s">
        <v>183</v>
      </c>
      <c r="J2727" t="s">
        <v>45</v>
      </c>
      <c r="K2727" t="s">
        <v>35</v>
      </c>
      <c r="L2727" t="s">
        <v>36</v>
      </c>
      <c r="M2727" t="s">
        <v>46</v>
      </c>
      <c r="N2727">
        <v>5</v>
      </c>
      <c r="O2727">
        <v>4</v>
      </c>
      <c r="P2727">
        <v>0</v>
      </c>
      <c r="Q2727">
        <v>4</v>
      </c>
      <c r="R2727">
        <v>0</v>
      </c>
      <c r="S2727" t="str">
        <f t="shared" si="210"/>
        <v>PY: Media Crit.</v>
      </c>
      <c r="T2727">
        <f t="shared" si="211"/>
        <v>0</v>
      </c>
      <c r="U2727">
        <f t="shared" si="212"/>
        <v>0</v>
      </c>
      <c r="V2727">
        <f t="shared" si="213"/>
        <v>1</v>
      </c>
      <c r="W2727">
        <f t="shared" si="214"/>
        <v>0</v>
      </c>
      <c r="X2727">
        <v>1</v>
      </c>
      <c r="Y2727" s="2">
        <v>45768</v>
      </c>
      <c r="Z2727" s="3" t="s">
        <v>47</v>
      </c>
      <c r="AA2727" t="s">
        <v>39</v>
      </c>
      <c r="AB2727" t="s">
        <v>40</v>
      </c>
      <c r="AC2727" t="s">
        <v>40</v>
      </c>
      <c r="AD2727" t="s">
        <v>184</v>
      </c>
    </row>
    <row r="2728" spans="2:30">
      <c r="B2728">
        <v>0</v>
      </c>
      <c r="C2728">
        <v>1020</v>
      </c>
      <c r="D2728" t="s">
        <v>181</v>
      </c>
      <c r="E2728">
        <v>14160738</v>
      </c>
      <c r="F2728" t="s">
        <v>2814</v>
      </c>
      <c r="G2728" t="s">
        <v>43</v>
      </c>
      <c r="H2728" t="s">
        <v>60</v>
      </c>
      <c r="I2728" t="s">
        <v>183</v>
      </c>
      <c r="J2728" t="s">
        <v>45</v>
      </c>
      <c r="K2728" t="s">
        <v>35</v>
      </c>
      <c r="L2728" t="s">
        <v>36</v>
      </c>
      <c r="M2728" t="s">
        <v>46</v>
      </c>
      <c r="N2728">
        <v>5</v>
      </c>
      <c r="O2728">
        <v>4</v>
      </c>
      <c r="P2728">
        <v>0</v>
      </c>
      <c r="Q2728">
        <v>4</v>
      </c>
      <c r="R2728">
        <v>0</v>
      </c>
      <c r="S2728" t="str">
        <f t="shared" si="210"/>
        <v>PY: Media Crit.</v>
      </c>
      <c r="T2728">
        <f t="shared" si="211"/>
        <v>0</v>
      </c>
      <c r="U2728">
        <f t="shared" si="212"/>
        <v>0</v>
      </c>
      <c r="V2728">
        <f t="shared" si="213"/>
        <v>1</v>
      </c>
      <c r="W2728">
        <f t="shared" si="214"/>
        <v>0</v>
      </c>
      <c r="X2728">
        <v>1</v>
      </c>
      <c r="Y2728" s="2">
        <v>45768</v>
      </c>
      <c r="Z2728" s="3" t="s">
        <v>47</v>
      </c>
      <c r="AA2728" t="s">
        <v>39</v>
      </c>
      <c r="AB2728" t="s">
        <v>40</v>
      </c>
      <c r="AC2728" t="s">
        <v>40</v>
      </c>
      <c r="AD2728" t="s">
        <v>184</v>
      </c>
    </row>
    <row r="2729" spans="2:30">
      <c r="B2729">
        <v>0</v>
      </c>
      <c r="C2729">
        <v>1020</v>
      </c>
      <c r="D2729" t="s">
        <v>181</v>
      </c>
      <c r="E2729">
        <v>14160739</v>
      </c>
      <c r="F2729" t="s">
        <v>2815</v>
      </c>
      <c r="G2729" t="s">
        <v>43</v>
      </c>
      <c r="H2729" t="s">
        <v>60</v>
      </c>
      <c r="I2729" t="s">
        <v>183</v>
      </c>
      <c r="J2729" t="s">
        <v>45</v>
      </c>
      <c r="K2729" t="s">
        <v>35</v>
      </c>
      <c r="L2729" t="s">
        <v>36</v>
      </c>
      <c r="M2729" t="s">
        <v>46</v>
      </c>
      <c r="N2729">
        <v>5</v>
      </c>
      <c r="O2729">
        <v>4</v>
      </c>
      <c r="P2729">
        <v>0</v>
      </c>
      <c r="Q2729">
        <v>5</v>
      </c>
      <c r="R2729">
        <v>0</v>
      </c>
      <c r="S2729" t="str">
        <f t="shared" si="210"/>
        <v>PY: Media Crit.</v>
      </c>
      <c r="T2729">
        <f t="shared" si="211"/>
        <v>0</v>
      </c>
      <c r="U2729">
        <f t="shared" si="212"/>
        <v>0</v>
      </c>
      <c r="V2729">
        <f t="shared" si="213"/>
        <v>1</v>
      </c>
      <c r="W2729">
        <f t="shared" si="214"/>
        <v>0</v>
      </c>
      <c r="X2729">
        <v>1</v>
      </c>
      <c r="Y2729" s="2">
        <v>45768</v>
      </c>
      <c r="Z2729" s="3" t="s">
        <v>47</v>
      </c>
      <c r="AA2729" t="s">
        <v>39</v>
      </c>
      <c r="AB2729" t="s">
        <v>40</v>
      </c>
      <c r="AC2729" t="s">
        <v>40</v>
      </c>
      <c r="AD2729" t="s">
        <v>184</v>
      </c>
    </row>
    <row r="2730" spans="2:30">
      <c r="B2730">
        <v>0</v>
      </c>
      <c r="C2730">
        <v>1020</v>
      </c>
      <c r="D2730" t="s">
        <v>181</v>
      </c>
      <c r="E2730">
        <v>14160742</v>
      </c>
      <c r="F2730" t="s">
        <v>2816</v>
      </c>
      <c r="G2730" t="s">
        <v>43</v>
      </c>
      <c r="H2730" t="s">
        <v>60</v>
      </c>
      <c r="I2730" t="s">
        <v>183</v>
      </c>
      <c r="J2730" t="s">
        <v>45</v>
      </c>
      <c r="K2730" t="s">
        <v>35</v>
      </c>
      <c r="L2730" t="s">
        <v>36</v>
      </c>
      <c r="M2730" t="s">
        <v>46</v>
      </c>
      <c r="N2730">
        <v>1</v>
      </c>
      <c r="O2730">
        <v>1</v>
      </c>
      <c r="P2730">
        <v>0</v>
      </c>
      <c r="Q2730">
        <v>1</v>
      </c>
      <c r="R2730">
        <v>452.4</v>
      </c>
      <c r="S2730" t="str">
        <f t="shared" si="210"/>
        <v>PY: Media Crit.</v>
      </c>
      <c r="T2730">
        <f t="shared" si="211"/>
        <v>0</v>
      </c>
      <c r="U2730">
        <f t="shared" si="212"/>
        <v>0</v>
      </c>
      <c r="V2730">
        <f t="shared" si="213"/>
        <v>1</v>
      </c>
      <c r="W2730">
        <f t="shared" si="214"/>
        <v>0</v>
      </c>
      <c r="X2730">
        <v>1</v>
      </c>
      <c r="Y2730" s="2">
        <v>45768</v>
      </c>
      <c r="Z2730" s="3" t="s">
        <v>47</v>
      </c>
      <c r="AA2730" t="s">
        <v>39</v>
      </c>
      <c r="AB2730" t="s">
        <v>40</v>
      </c>
      <c r="AC2730" t="s">
        <v>40</v>
      </c>
      <c r="AD2730" t="s">
        <v>184</v>
      </c>
    </row>
    <row r="2731" spans="2:30">
      <c r="B2731">
        <v>0</v>
      </c>
      <c r="C2731">
        <v>1020</v>
      </c>
      <c r="D2731" t="s">
        <v>181</v>
      </c>
      <c r="E2731">
        <v>14160878</v>
      </c>
      <c r="F2731" t="s">
        <v>2817</v>
      </c>
      <c r="G2731" t="s">
        <v>31</v>
      </c>
      <c r="H2731" t="s">
        <v>32</v>
      </c>
      <c r="I2731" t="s">
        <v>183</v>
      </c>
      <c r="J2731" t="s">
        <v>45</v>
      </c>
      <c r="K2731" t="s">
        <v>35</v>
      </c>
      <c r="L2731" t="s">
        <v>36</v>
      </c>
      <c r="M2731" t="s">
        <v>69</v>
      </c>
      <c r="N2731">
        <v>2</v>
      </c>
      <c r="O2731">
        <v>1</v>
      </c>
      <c r="P2731">
        <v>0</v>
      </c>
      <c r="Q2731">
        <v>3</v>
      </c>
      <c r="R2731">
        <v>0</v>
      </c>
      <c r="S2731" t="str">
        <f t="shared" si="210"/>
        <v>PX: Baja Crit.</v>
      </c>
      <c r="T2731">
        <f t="shared" si="211"/>
        <v>0</v>
      </c>
      <c r="U2731">
        <f t="shared" si="212"/>
        <v>0</v>
      </c>
      <c r="V2731">
        <f t="shared" si="213"/>
        <v>0</v>
      </c>
      <c r="W2731">
        <f t="shared" si="214"/>
        <v>1</v>
      </c>
      <c r="X2731">
        <v>1</v>
      </c>
      <c r="Y2731" s="2">
        <v>45768</v>
      </c>
      <c r="Z2731" s="3" t="s">
        <v>70</v>
      </c>
      <c r="AA2731" t="s">
        <v>39</v>
      </c>
      <c r="AB2731" t="s">
        <v>40</v>
      </c>
      <c r="AC2731" t="s">
        <v>40</v>
      </c>
      <c r="AD2731" t="s">
        <v>184</v>
      </c>
    </row>
    <row r="2732" spans="2:30">
      <c r="B2732">
        <v>0</v>
      </c>
      <c r="C2732">
        <v>1020</v>
      </c>
      <c r="D2732" t="s">
        <v>181</v>
      </c>
      <c r="E2732">
        <v>14160879</v>
      </c>
      <c r="F2732" t="s">
        <v>2818</v>
      </c>
      <c r="G2732" t="s">
        <v>52</v>
      </c>
      <c r="H2732" t="s">
        <v>32</v>
      </c>
      <c r="I2732" t="s">
        <v>183</v>
      </c>
      <c r="J2732" t="s">
        <v>45</v>
      </c>
      <c r="K2732" t="s">
        <v>35</v>
      </c>
      <c r="L2732" t="s">
        <v>36</v>
      </c>
      <c r="M2732" t="s">
        <v>69</v>
      </c>
      <c r="N2732">
        <v>2</v>
      </c>
      <c r="O2732">
        <v>1</v>
      </c>
      <c r="P2732">
        <v>0</v>
      </c>
      <c r="Q2732">
        <v>2</v>
      </c>
      <c r="R2732">
        <v>0</v>
      </c>
      <c r="S2732" t="str">
        <f t="shared" si="210"/>
        <v>PZ: Alta Crit.</v>
      </c>
      <c r="T2732">
        <f t="shared" si="211"/>
        <v>0</v>
      </c>
      <c r="U2732">
        <f t="shared" si="212"/>
        <v>0</v>
      </c>
      <c r="V2732">
        <f t="shared" si="213"/>
        <v>1</v>
      </c>
      <c r="W2732">
        <f t="shared" si="214"/>
        <v>0</v>
      </c>
      <c r="X2732">
        <v>1</v>
      </c>
      <c r="Y2732" s="2">
        <v>45768</v>
      </c>
      <c r="Z2732" s="3" t="s">
        <v>70</v>
      </c>
      <c r="AA2732" t="s">
        <v>39</v>
      </c>
      <c r="AB2732" t="s">
        <v>40</v>
      </c>
      <c r="AC2732" t="s">
        <v>40</v>
      </c>
      <c r="AD2732" t="s">
        <v>184</v>
      </c>
    </row>
    <row r="2733" spans="2:30">
      <c r="B2733">
        <v>0</v>
      </c>
      <c r="C2733">
        <v>1020</v>
      </c>
      <c r="D2733" t="s">
        <v>181</v>
      </c>
      <c r="E2733">
        <v>14160880</v>
      </c>
      <c r="F2733" t="s">
        <v>2819</v>
      </c>
      <c r="G2733" t="s">
        <v>52</v>
      </c>
      <c r="H2733" t="s">
        <v>32</v>
      </c>
      <c r="I2733" t="s">
        <v>183</v>
      </c>
      <c r="J2733" t="s">
        <v>45</v>
      </c>
      <c r="K2733" t="s">
        <v>35</v>
      </c>
      <c r="L2733" t="s">
        <v>36</v>
      </c>
      <c r="M2733" t="s">
        <v>69</v>
      </c>
      <c r="N2733">
        <v>2</v>
      </c>
      <c r="O2733">
        <v>1</v>
      </c>
      <c r="P2733">
        <v>0</v>
      </c>
      <c r="Q2733">
        <v>2</v>
      </c>
      <c r="R2733">
        <v>0</v>
      </c>
      <c r="S2733" t="str">
        <f t="shared" si="210"/>
        <v>PZ: Alta Crit.</v>
      </c>
      <c r="T2733">
        <f t="shared" si="211"/>
        <v>0</v>
      </c>
      <c r="U2733">
        <f t="shared" si="212"/>
        <v>0</v>
      </c>
      <c r="V2733">
        <f t="shared" si="213"/>
        <v>1</v>
      </c>
      <c r="W2733">
        <f t="shared" si="214"/>
        <v>0</v>
      </c>
      <c r="X2733">
        <v>1</v>
      </c>
      <c r="Y2733" s="2">
        <v>45768</v>
      </c>
      <c r="Z2733" s="3" t="s">
        <v>70</v>
      </c>
      <c r="AA2733" t="s">
        <v>39</v>
      </c>
      <c r="AB2733" t="s">
        <v>40</v>
      </c>
      <c r="AC2733" t="s">
        <v>40</v>
      </c>
      <c r="AD2733" t="s">
        <v>184</v>
      </c>
    </row>
    <row r="2734" spans="2:30">
      <c r="B2734">
        <v>0</v>
      </c>
      <c r="C2734">
        <v>1020</v>
      </c>
      <c r="D2734" t="s">
        <v>384</v>
      </c>
      <c r="E2734">
        <v>14161703</v>
      </c>
      <c r="F2734" t="s">
        <v>2820</v>
      </c>
      <c r="G2734" t="s">
        <v>43</v>
      </c>
      <c r="H2734" t="s">
        <v>60</v>
      </c>
      <c r="I2734" t="s">
        <v>386</v>
      </c>
      <c r="J2734" t="s">
        <v>45</v>
      </c>
      <c r="K2734" t="s">
        <v>35</v>
      </c>
      <c r="L2734" t="s">
        <v>175</v>
      </c>
      <c r="M2734" t="s">
        <v>88</v>
      </c>
      <c r="N2734">
        <v>0</v>
      </c>
      <c r="O2734">
        <v>0</v>
      </c>
      <c r="P2734">
        <v>0</v>
      </c>
      <c r="Q2734">
        <v>25</v>
      </c>
      <c r="R2734">
        <v>0</v>
      </c>
      <c r="S2734" t="str">
        <f t="shared" si="210"/>
        <v>PY: Media Crit.</v>
      </c>
      <c r="T2734">
        <f t="shared" si="211"/>
        <v>0</v>
      </c>
      <c r="U2734">
        <f t="shared" si="212"/>
        <v>0</v>
      </c>
      <c r="V2734">
        <f t="shared" si="213"/>
        <v>0</v>
      </c>
      <c r="W2734">
        <f t="shared" si="214"/>
        <v>1</v>
      </c>
      <c r="X2734">
        <v>1</v>
      </c>
      <c r="Y2734" s="2">
        <v>45768</v>
      </c>
      <c r="Z2734" s="3" t="s">
        <v>89</v>
      </c>
      <c r="AA2734" t="s">
        <v>39</v>
      </c>
      <c r="AB2734" t="s">
        <v>40</v>
      </c>
      <c r="AC2734" t="s">
        <v>40</v>
      </c>
      <c r="AD2734" t="s">
        <v>387</v>
      </c>
    </row>
    <row r="2735" spans="2:30">
      <c r="B2735">
        <v>0</v>
      </c>
      <c r="C2735">
        <v>1020</v>
      </c>
      <c r="D2735" t="s">
        <v>388</v>
      </c>
      <c r="E2735">
        <v>14161711</v>
      </c>
      <c r="F2735" t="s">
        <v>2821</v>
      </c>
      <c r="G2735" t="s">
        <v>52</v>
      </c>
      <c r="H2735" t="s">
        <v>44</v>
      </c>
      <c r="I2735" t="s">
        <v>390</v>
      </c>
      <c r="J2735" t="s">
        <v>45</v>
      </c>
      <c r="K2735" t="s">
        <v>35</v>
      </c>
      <c r="L2735" t="s">
        <v>175</v>
      </c>
      <c r="M2735" t="s">
        <v>46</v>
      </c>
      <c r="N2735">
        <v>0</v>
      </c>
      <c r="O2735">
        <v>0</v>
      </c>
      <c r="P2735">
        <v>6</v>
      </c>
      <c r="Q2735">
        <v>6</v>
      </c>
      <c r="R2735">
        <v>0</v>
      </c>
      <c r="S2735" t="str">
        <f t="shared" si="210"/>
        <v>PZ: Alta Crit.</v>
      </c>
      <c r="T2735">
        <f t="shared" si="211"/>
        <v>0</v>
      </c>
      <c r="U2735">
        <f t="shared" si="212"/>
        <v>1</v>
      </c>
      <c r="V2735">
        <f t="shared" si="213"/>
        <v>0</v>
      </c>
      <c r="W2735">
        <f t="shared" si="214"/>
        <v>1</v>
      </c>
      <c r="X2735">
        <v>1</v>
      </c>
      <c r="Y2735" s="2">
        <v>45768</v>
      </c>
      <c r="Z2735" s="3" t="s">
        <v>47</v>
      </c>
      <c r="AA2735" t="s">
        <v>39</v>
      </c>
      <c r="AB2735" t="s">
        <v>40</v>
      </c>
      <c r="AC2735" t="s">
        <v>40</v>
      </c>
      <c r="AD2735" t="s">
        <v>391</v>
      </c>
    </row>
    <row r="2736" spans="2:30">
      <c r="B2736">
        <v>0</v>
      </c>
      <c r="C2736">
        <v>1020</v>
      </c>
      <c r="D2736" t="s">
        <v>181</v>
      </c>
      <c r="E2736">
        <v>14161719</v>
      </c>
      <c r="F2736" t="s">
        <v>2822</v>
      </c>
      <c r="G2736" t="s">
        <v>43</v>
      </c>
      <c r="H2736" t="s">
        <v>60</v>
      </c>
      <c r="I2736" t="s">
        <v>183</v>
      </c>
      <c r="J2736" t="s">
        <v>45</v>
      </c>
      <c r="K2736" t="s">
        <v>35</v>
      </c>
      <c r="L2736" t="s">
        <v>36</v>
      </c>
      <c r="M2736" t="s">
        <v>46</v>
      </c>
      <c r="N2736">
        <v>25</v>
      </c>
      <c r="O2736">
        <v>23</v>
      </c>
      <c r="P2736">
        <v>0</v>
      </c>
      <c r="Q2736">
        <v>25</v>
      </c>
      <c r="R2736">
        <v>0</v>
      </c>
      <c r="S2736" t="str">
        <f t="shared" si="210"/>
        <v>PY: Media Crit.</v>
      </c>
      <c r="T2736">
        <f t="shared" si="211"/>
        <v>0</v>
      </c>
      <c r="U2736">
        <f t="shared" si="212"/>
        <v>0</v>
      </c>
      <c r="V2736">
        <f t="shared" si="213"/>
        <v>1</v>
      </c>
      <c r="W2736">
        <f t="shared" si="214"/>
        <v>0</v>
      </c>
      <c r="X2736">
        <v>1</v>
      </c>
      <c r="Y2736" s="2">
        <v>45768</v>
      </c>
      <c r="Z2736" s="3" t="s">
        <v>47</v>
      </c>
      <c r="AA2736" t="s">
        <v>39</v>
      </c>
      <c r="AB2736" t="s">
        <v>40</v>
      </c>
      <c r="AC2736" t="s">
        <v>40</v>
      </c>
      <c r="AD2736" t="s">
        <v>184</v>
      </c>
    </row>
    <row r="2737" spans="2:30">
      <c r="B2737">
        <v>0</v>
      </c>
      <c r="C2737">
        <v>1020</v>
      </c>
      <c r="D2737" t="s">
        <v>181</v>
      </c>
      <c r="E2737">
        <v>14161723</v>
      </c>
      <c r="F2737" t="s">
        <v>2823</v>
      </c>
      <c r="G2737" t="s">
        <v>43</v>
      </c>
      <c r="H2737" t="s">
        <v>60</v>
      </c>
      <c r="I2737" t="s">
        <v>183</v>
      </c>
      <c r="J2737" t="s">
        <v>45</v>
      </c>
      <c r="K2737" t="s">
        <v>35</v>
      </c>
      <c r="L2737" t="s">
        <v>36</v>
      </c>
      <c r="M2737" t="s">
        <v>117</v>
      </c>
      <c r="N2737">
        <v>1</v>
      </c>
      <c r="O2737">
        <v>1</v>
      </c>
      <c r="P2737">
        <v>0</v>
      </c>
      <c r="Q2737">
        <v>1</v>
      </c>
      <c r="R2737">
        <v>750</v>
      </c>
      <c r="S2737" t="str">
        <f t="shared" si="210"/>
        <v>PY: Media Crit.</v>
      </c>
      <c r="T2737">
        <f t="shared" si="211"/>
        <v>0</v>
      </c>
      <c r="U2737">
        <f t="shared" si="212"/>
        <v>0</v>
      </c>
      <c r="V2737">
        <f t="shared" si="213"/>
        <v>1</v>
      </c>
      <c r="W2737">
        <f t="shared" si="214"/>
        <v>0</v>
      </c>
      <c r="X2737">
        <v>1</v>
      </c>
      <c r="Y2737" s="2">
        <v>45768</v>
      </c>
      <c r="Z2737" s="3" t="s">
        <v>118</v>
      </c>
      <c r="AA2737" t="s">
        <v>39</v>
      </c>
      <c r="AB2737" t="s">
        <v>40</v>
      </c>
      <c r="AC2737" t="s">
        <v>40</v>
      </c>
      <c r="AD2737" t="s">
        <v>184</v>
      </c>
    </row>
    <row r="2738" spans="2:30">
      <c r="B2738">
        <v>0</v>
      </c>
      <c r="C2738">
        <v>1020</v>
      </c>
      <c r="D2738" t="s">
        <v>181</v>
      </c>
      <c r="E2738">
        <v>14161727</v>
      </c>
      <c r="F2738" t="s">
        <v>2824</v>
      </c>
      <c r="G2738" t="s">
        <v>43</v>
      </c>
      <c r="H2738" t="s">
        <v>60</v>
      </c>
      <c r="I2738" t="s">
        <v>183</v>
      </c>
      <c r="J2738" t="s">
        <v>45</v>
      </c>
      <c r="K2738" t="s">
        <v>35</v>
      </c>
      <c r="L2738" t="s">
        <v>36</v>
      </c>
      <c r="M2738" t="s">
        <v>117</v>
      </c>
      <c r="N2738">
        <v>1</v>
      </c>
      <c r="O2738">
        <v>1</v>
      </c>
      <c r="P2738">
        <v>0</v>
      </c>
      <c r="Q2738">
        <v>1</v>
      </c>
      <c r="R2738">
        <v>680</v>
      </c>
      <c r="S2738" t="str">
        <f t="shared" si="210"/>
        <v>PY: Media Crit.</v>
      </c>
      <c r="T2738">
        <f t="shared" si="211"/>
        <v>0</v>
      </c>
      <c r="U2738">
        <f t="shared" si="212"/>
        <v>0</v>
      </c>
      <c r="V2738">
        <f t="shared" si="213"/>
        <v>1</v>
      </c>
      <c r="W2738">
        <f t="shared" si="214"/>
        <v>0</v>
      </c>
      <c r="X2738">
        <v>1</v>
      </c>
      <c r="Y2738" s="2">
        <v>45768</v>
      </c>
      <c r="Z2738" s="3" t="s">
        <v>118</v>
      </c>
      <c r="AA2738" t="s">
        <v>39</v>
      </c>
      <c r="AB2738" t="s">
        <v>40</v>
      </c>
      <c r="AC2738" t="s">
        <v>40</v>
      </c>
      <c r="AD2738" t="s">
        <v>184</v>
      </c>
    </row>
    <row r="2739" spans="2:30">
      <c r="B2739">
        <v>0</v>
      </c>
      <c r="C2739">
        <v>1020</v>
      </c>
      <c r="D2739" t="s">
        <v>181</v>
      </c>
      <c r="E2739">
        <v>14161728</v>
      </c>
      <c r="F2739" t="s">
        <v>2825</v>
      </c>
      <c r="G2739" t="s">
        <v>43</v>
      </c>
      <c r="H2739" t="s">
        <v>60</v>
      </c>
      <c r="I2739" t="s">
        <v>183</v>
      </c>
      <c r="J2739" t="s">
        <v>45</v>
      </c>
      <c r="K2739" t="s">
        <v>35</v>
      </c>
      <c r="L2739" t="s">
        <v>36</v>
      </c>
      <c r="M2739" t="s">
        <v>117</v>
      </c>
      <c r="N2739">
        <v>1</v>
      </c>
      <c r="O2739">
        <v>1</v>
      </c>
      <c r="P2739">
        <v>0</v>
      </c>
      <c r="Q2739">
        <v>1</v>
      </c>
      <c r="R2739" s="4">
        <v>10869.58</v>
      </c>
      <c r="S2739" t="str">
        <f t="shared" si="210"/>
        <v>PY: Media Crit.</v>
      </c>
      <c r="T2739">
        <f t="shared" si="211"/>
        <v>0</v>
      </c>
      <c r="U2739">
        <f t="shared" si="212"/>
        <v>0</v>
      </c>
      <c r="V2739">
        <f t="shared" si="213"/>
        <v>1</v>
      </c>
      <c r="W2739">
        <f t="shared" si="214"/>
        <v>0</v>
      </c>
      <c r="X2739">
        <v>1</v>
      </c>
      <c r="Y2739" s="2">
        <v>45768</v>
      </c>
      <c r="Z2739" s="3" t="s">
        <v>118</v>
      </c>
      <c r="AA2739" t="s">
        <v>39</v>
      </c>
      <c r="AB2739" t="s">
        <v>40</v>
      </c>
      <c r="AC2739" t="s">
        <v>40</v>
      </c>
      <c r="AD2739" t="s">
        <v>184</v>
      </c>
    </row>
    <row r="2740" spans="2:30">
      <c r="B2740">
        <v>0</v>
      </c>
      <c r="C2740">
        <v>1020</v>
      </c>
      <c r="D2740" t="s">
        <v>181</v>
      </c>
      <c r="E2740">
        <v>14162508</v>
      </c>
      <c r="F2740" t="s">
        <v>2826</v>
      </c>
      <c r="G2740" t="s">
        <v>31</v>
      </c>
      <c r="H2740" t="s">
        <v>32</v>
      </c>
      <c r="I2740" t="s">
        <v>183</v>
      </c>
      <c r="J2740" t="s">
        <v>45</v>
      </c>
      <c r="K2740" t="s">
        <v>35</v>
      </c>
      <c r="L2740" t="s">
        <v>36</v>
      </c>
      <c r="M2740" t="s">
        <v>46</v>
      </c>
      <c r="N2740">
        <v>5</v>
      </c>
      <c r="O2740">
        <v>3</v>
      </c>
      <c r="P2740">
        <v>0</v>
      </c>
      <c r="Q2740">
        <v>5</v>
      </c>
      <c r="R2740">
        <v>0</v>
      </c>
      <c r="S2740" t="str">
        <f t="shared" si="210"/>
        <v>PX: Baja Crit.</v>
      </c>
      <c r="T2740">
        <f t="shared" si="211"/>
        <v>0</v>
      </c>
      <c r="U2740">
        <f t="shared" si="212"/>
        <v>0</v>
      </c>
      <c r="V2740">
        <f t="shared" si="213"/>
        <v>1</v>
      </c>
      <c r="W2740">
        <f t="shared" si="214"/>
        <v>0</v>
      </c>
      <c r="X2740">
        <v>1</v>
      </c>
      <c r="Y2740" s="2">
        <v>45768</v>
      </c>
      <c r="Z2740" s="3" t="s">
        <v>47</v>
      </c>
      <c r="AA2740" t="s">
        <v>39</v>
      </c>
      <c r="AB2740" t="s">
        <v>40</v>
      </c>
      <c r="AC2740" t="s">
        <v>40</v>
      </c>
      <c r="AD2740" t="s">
        <v>184</v>
      </c>
    </row>
    <row r="2741" spans="2:30">
      <c r="B2741">
        <v>0</v>
      </c>
      <c r="C2741">
        <v>1020</v>
      </c>
      <c r="D2741" t="s">
        <v>181</v>
      </c>
      <c r="E2741">
        <v>14162648</v>
      </c>
      <c r="F2741" t="s">
        <v>2827</v>
      </c>
      <c r="G2741" t="s">
        <v>43</v>
      </c>
      <c r="H2741" t="s">
        <v>60</v>
      </c>
      <c r="I2741" t="s">
        <v>183</v>
      </c>
      <c r="J2741" t="s">
        <v>45</v>
      </c>
      <c r="K2741" t="s">
        <v>35</v>
      </c>
      <c r="L2741" t="s">
        <v>36</v>
      </c>
      <c r="M2741" t="s">
        <v>117</v>
      </c>
      <c r="N2741">
        <v>3</v>
      </c>
      <c r="O2741">
        <v>3</v>
      </c>
      <c r="P2741">
        <v>0</v>
      </c>
      <c r="Q2741">
        <v>3</v>
      </c>
      <c r="R2741">
        <v>0</v>
      </c>
      <c r="S2741" t="str">
        <f t="shared" si="210"/>
        <v>PY: Media Crit.</v>
      </c>
      <c r="T2741">
        <f t="shared" si="211"/>
        <v>0</v>
      </c>
      <c r="U2741">
        <f t="shared" si="212"/>
        <v>0</v>
      </c>
      <c r="V2741">
        <f t="shared" si="213"/>
        <v>1</v>
      </c>
      <c r="W2741">
        <f t="shared" si="214"/>
        <v>0</v>
      </c>
      <c r="X2741">
        <v>1</v>
      </c>
      <c r="Y2741" s="2">
        <v>45768</v>
      </c>
      <c r="Z2741" s="3" t="s">
        <v>118</v>
      </c>
      <c r="AA2741" t="s">
        <v>39</v>
      </c>
      <c r="AB2741" t="s">
        <v>40</v>
      </c>
      <c r="AC2741" t="s">
        <v>40</v>
      </c>
      <c r="AD2741" t="s">
        <v>184</v>
      </c>
    </row>
    <row r="2742" spans="2:30">
      <c r="B2742">
        <v>0</v>
      </c>
      <c r="C2742">
        <v>1020</v>
      </c>
      <c r="D2742" t="s">
        <v>384</v>
      </c>
      <c r="E2742">
        <v>14162898</v>
      </c>
      <c r="F2742" t="s">
        <v>2828</v>
      </c>
      <c r="G2742" t="s">
        <v>52</v>
      </c>
      <c r="H2742" t="s">
        <v>44</v>
      </c>
      <c r="I2742" t="s">
        <v>386</v>
      </c>
      <c r="J2742" t="s">
        <v>45</v>
      </c>
      <c r="K2742" t="s">
        <v>35</v>
      </c>
      <c r="L2742" t="s">
        <v>175</v>
      </c>
      <c r="M2742" t="s">
        <v>117</v>
      </c>
      <c r="N2742">
        <v>0</v>
      </c>
      <c r="O2742">
        <v>0</v>
      </c>
      <c r="P2742">
        <v>0</v>
      </c>
      <c r="Q2742">
        <v>2</v>
      </c>
      <c r="R2742">
        <v>0</v>
      </c>
      <c r="S2742" t="str">
        <f t="shared" si="210"/>
        <v>PZ: Alta Crit.</v>
      </c>
      <c r="T2742">
        <f t="shared" si="211"/>
        <v>0</v>
      </c>
      <c r="U2742">
        <f t="shared" si="212"/>
        <v>0</v>
      </c>
      <c r="V2742">
        <f t="shared" si="213"/>
        <v>0</v>
      </c>
      <c r="W2742">
        <f t="shared" si="214"/>
        <v>1</v>
      </c>
      <c r="X2742">
        <v>1</v>
      </c>
      <c r="Y2742" s="2">
        <v>45768</v>
      </c>
      <c r="Z2742" s="3" t="s">
        <v>118</v>
      </c>
      <c r="AA2742" t="s">
        <v>39</v>
      </c>
      <c r="AB2742" t="s">
        <v>40</v>
      </c>
      <c r="AC2742" t="s">
        <v>40</v>
      </c>
      <c r="AD2742" t="s">
        <v>387</v>
      </c>
    </row>
    <row r="2743" spans="2:30">
      <c r="B2743">
        <v>0</v>
      </c>
      <c r="C2743">
        <v>1020</v>
      </c>
      <c r="D2743" t="s">
        <v>384</v>
      </c>
      <c r="E2743">
        <v>14162899</v>
      </c>
      <c r="F2743" t="s">
        <v>2829</v>
      </c>
      <c r="G2743" t="s">
        <v>52</v>
      </c>
      <c r="H2743" t="s">
        <v>44</v>
      </c>
      <c r="I2743" t="s">
        <v>386</v>
      </c>
      <c r="J2743" t="s">
        <v>45</v>
      </c>
      <c r="K2743" t="s">
        <v>35</v>
      </c>
      <c r="L2743" t="s">
        <v>175</v>
      </c>
      <c r="M2743" t="s">
        <v>117</v>
      </c>
      <c r="N2743">
        <v>0</v>
      </c>
      <c r="O2743">
        <v>0</v>
      </c>
      <c r="P2743">
        <v>0</v>
      </c>
      <c r="Q2743">
        <v>1</v>
      </c>
      <c r="R2743">
        <v>0</v>
      </c>
      <c r="S2743" t="str">
        <f t="shared" si="210"/>
        <v>PZ: Alta Crit.</v>
      </c>
      <c r="T2743">
        <f t="shared" si="211"/>
        <v>0</v>
      </c>
      <c r="U2743">
        <f t="shared" si="212"/>
        <v>0</v>
      </c>
      <c r="V2743">
        <f t="shared" si="213"/>
        <v>0</v>
      </c>
      <c r="W2743">
        <f t="shared" si="214"/>
        <v>1</v>
      </c>
      <c r="X2743">
        <v>1</v>
      </c>
      <c r="Y2743" s="2">
        <v>45768</v>
      </c>
      <c r="Z2743" s="3" t="s">
        <v>118</v>
      </c>
      <c r="AA2743" t="s">
        <v>39</v>
      </c>
      <c r="AB2743" t="s">
        <v>40</v>
      </c>
      <c r="AC2743" t="s">
        <v>40</v>
      </c>
      <c r="AD2743" t="s">
        <v>387</v>
      </c>
    </row>
    <row r="2744" spans="2:30">
      <c r="B2744">
        <v>0</v>
      </c>
      <c r="C2744">
        <v>1020</v>
      </c>
      <c r="D2744" t="s">
        <v>384</v>
      </c>
      <c r="E2744">
        <v>14162901</v>
      </c>
      <c r="F2744" t="s">
        <v>2830</v>
      </c>
      <c r="G2744" t="s">
        <v>52</v>
      </c>
      <c r="H2744" t="s">
        <v>44</v>
      </c>
      <c r="I2744" t="s">
        <v>386</v>
      </c>
      <c r="J2744" t="s">
        <v>45</v>
      </c>
      <c r="K2744" t="s">
        <v>35</v>
      </c>
      <c r="L2744" t="s">
        <v>175</v>
      </c>
      <c r="M2744" t="s">
        <v>117</v>
      </c>
      <c r="N2744">
        <v>0</v>
      </c>
      <c r="O2744">
        <v>0</v>
      </c>
      <c r="P2744">
        <v>0</v>
      </c>
      <c r="Q2744">
        <v>1</v>
      </c>
      <c r="R2744">
        <v>0</v>
      </c>
      <c r="S2744" t="str">
        <f t="shared" si="210"/>
        <v>PZ: Alta Crit.</v>
      </c>
      <c r="T2744">
        <f t="shared" si="211"/>
        <v>0</v>
      </c>
      <c r="U2744">
        <f t="shared" si="212"/>
        <v>0</v>
      </c>
      <c r="V2744">
        <f t="shared" si="213"/>
        <v>0</v>
      </c>
      <c r="W2744">
        <f t="shared" si="214"/>
        <v>1</v>
      </c>
      <c r="X2744">
        <v>1</v>
      </c>
      <c r="Y2744" s="2">
        <v>45768</v>
      </c>
      <c r="Z2744" s="3" t="s">
        <v>118</v>
      </c>
      <c r="AA2744" t="s">
        <v>39</v>
      </c>
      <c r="AB2744" t="s">
        <v>40</v>
      </c>
      <c r="AC2744" t="s">
        <v>40</v>
      </c>
      <c r="AD2744" t="s">
        <v>387</v>
      </c>
    </row>
    <row r="2745" spans="2:30">
      <c r="B2745">
        <v>0</v>
      </c>
      <c r="C2745">
        <v>1020</v>
      </c>
      <c r="D2745" t="s">
        <v>384</v>
      </c>
      <c r="E2745">
        <v>14163013</v>
      </c>
      <c r="F2745" t="s">
        <v>2831</v>
      </c>
      <c r="G2745" t="s">
        <v>52</v>
      </c>
      <c r="H2745" t="s">
        <v>44</v>
      </c>
      <c r="I2745" t="s">
        <v>386</v>
      </c>
      <c r="J2745" t="s">
        <v>45</v>
      </c>
      <c r="K2745" t="s">
        <v>35</v>
      </c>
      <c r="L2745" t="s">
        <v>175</v>
      </c>
      <c r="M2745" t="s">
        <v>117</v>
      </c>
      <c r="N2745">
        <v>0</v>
      </c>
      <c r="O2745">
        <v>0</v>
      </c>
      <c r="P2745">
        <v>0</v>
      </c>
      <c r="Q2745">
        <v>2</v>
      </c>
      <c r="R2745">
        <v>0</v>
      </c>
      <c r="S2745" t="str">
        <f t="shared" si="210"/>
        <v>PZ: Alta Crit.</v>
      </c>
      <c r="T2745">
        <f t="shared" si="211"/>
        <v>0</v>
      </c>
      <c r="U2745">
        <f t="shared" si="212"/>
        <v>0</v>
      </c>
      <c r="V2745">
        <f t="shared" si="213"/>
        <v>0</v>
      </c>
      <c r="W2745">
        <f t="shared" si="214"/>
        <v>1</v>
      </c>
      <c r="X2745">
        <v>1</v>
      </c>
      <c r="Y2745" s="2">
        <v>45768</v>
      </c>
      <c r="Z2745" s="3" t="s">
        <v>118</v>
      </c>
      <c r="AA2745" t="s">
        <v>39</v>
      </c>
      <c r="AB2745" t="s">
        <v>40</v>
      </c>
      <c r="AC2745" t="s">
        <v>40</v>
      </c>
      <c r="AD2745" t="s">
        <v>387</v>
      </c>
    </row>
    <row r="2746" spans="2:30">
      <c r="B2746">
        <v>0</v>
      </c>
      <c r="C2746">
        <v>1020</v>
      </c>
      <c r="D2746" t="s">
        <v>181</v>
      </c>
      <c r="E2746">
        <v>14165086</v>
      </c>
      <c r="F2746" t="s">
        <v>2832</v>
      </c>
      <c r="G2746" t="s">
        <v>31</v>
      </c>
      <c r="H2746" t="s">
        <v>44</v>
      </c>
      <c r="I2746" t="s">
        <v>183</v>
      </c>
      <c r="J2746" t="s">
        <v>45</v>
      </c>
      <c r="K2746" t="s">
        <v>35</v>
      </c>
      <c r="L2746" t="s">
        <v>36</v>
      </c>
      <c r="M2746" t="s">
        <v>46</v>
      </c>
      <c r="N2746">
        <v>4</v>
      </c>
      <c r="O2746">
        <v>3</v>
      </c>
      <c r="P2746">
        <v>0</v>
      </c>
      <c r="Q2746">
        <v>2</v>
      </c>
      <c r="R2746">
        <v>0</v>
      </c>
      <c r="S2746" t="str">
        <f t="shared" si="210"/>
        <v>PX: Baja Crit.</v>
      </c>
      <c r="T2746">
        <f t="shared" si="211"/>
        <v>0</v>
      </c>
      <c r="U2746">
        <f t="shared" si="212"/>
        <v>0</v>
      </c>
      <c r="V2746">
        <f t="shared" si="213"/>
        <v>1</v>
      </c>
      <c r="W2746">
        <f t="shared" si="214"/>
        <v>0</v>
      </c>
      <c r="X2746">
        <v>1</v>
      </c>
      <c r="Y2746" s="2">
        <v>45768</v>
      </c>
      <c r="Z2746" s="3" t="s">
        <v>47</v>
      </c>
      <c r="AA2746" t="s">
        <v>39</v>
      </c>
      <c r="AB2746" t="s">
        <v>49</v>
      </c>
      <c r="AC2746" s="5" t="s">
        <v>50</v>
      </c>
      <c r="AD2746" t="s">
        <v>184</v>
      </c>
    </row>
    <row r="2747" spans="2:30">
      <c r="B2747">
        <v>0</v>
      </c>
      <c r="C2747">
        <v>1020</v>
      </c>
      <c r="D2747" t="s">
        <v>181</v>
      </c>
      <c r="E2747">
        <v>14165223</v>
      </c>
      <c r="F2747" t="s">
        <v>2833</v>
      </c>
      <c r="G2747" t="s">
        <v>43</v>
      </c>
      <c r="H2747" t="s">
        <v>60</v>
      </c>
      <c r="I2747" t="s">
        <v>183</v>
      </c>
      <c r="J2747" t="s">
        <v>45</v>
      </c>
      <c r="K2747" t="s">
        <v>252</v>
      </c>
      <c r="L2747" t="s">
        <v>36</v>
      </c>
      <c r="M2747" t="s">
        <v>37</v>
      </c>
      <c r="N2747">
        <v>70</v>
      </c>
      <c r="O2747">
        <v>70</v>
      </c>
      <c r="P2747">
        <v>0</v>
      </c>
      <c r="Q2747">
        <v>70</v>
      </c>
      <c r="R2747">
        <v>0</v>
      </c>
      <c r="S2747" t="str">
        <f t="shared" si="210"/>
        <v>PY: Media Crit.</v>
      </c>
      <c r="T2747">
        <f t="shared" si="211"/>
        <v>0</v>
      </c>
      <c r="U2747">
        <f t="shared" si="212"/>
        <v>0</v>
      </c>
      <c r="V2747">
        <f t="shared" si="213"/>
        <v>1</v>
      </c>
      <c r="W2747">
        <f t="shared" si="214"/>
        <v>0</v>
      </c>
      <c r="X2747">
        <v>1</v>
      </c>
      <c r="Y2747" s="2">
        <v>45768</v>
      </c>
      <c r="Z2747" s="3" t="s">
        <v>38</v>
      </c>
      <c r="AA2747" t="s">
        <v>39</v>
      </c>
      <c r="AB2747" t="s">
        <v>40</v>
      </c>
      <c r="AC2747" t="s">
        <v>40</v>
      </c>
      <c r="AD2747" t="s">
        <v>184</v>
      </c>
    </row>
    <row r="2748" spans="2:30">
      <c r="B2748">
        <v>0</v>
      </c>
      <c r="C2748">
        <v>1020</v>
      </c>
      <c r="D2748" t="s">
        <v>181</v>
      </c>
      <c r="E2748">
        <v>14166212</v>
      </c>
      <c r="F2748" t="s">
        <v>2834</v>
      </c>
      <c r="G2748" t="s">
        <v>43</v>
      </c>
      <c r="H2748" t="s">
        <v>60</v>
      </c>
      <c r="I2748" t="s">
        <v>183</v>
      </c>
      <c r="J2748" t="s">
        <v>45</v>
      </c>
      <c r="K2748" t="s">
        <v>35</v>
      </c>
      <c r="L2748" t="s">
        <v>36</v>
      </c>
      <c r="M2748" t="s">
        <v>69</v>
      </c>
      <c r="N2748">
        <v>1</v>
      </c>
      <c r="O2748">
        <v>1</v>
      </c>
      <c r="P2748">
        <v>1</v>
      </c>
      <c r="Q2748">
        <v>1</v>
      </c>
      <c r="R2748">
        <v>0</v>
      </c>
      <c r="S2748" t="str">
        <f t="shared" si="210"/>
        <v>PY: Media Crit.</v>
      </c>
      <c r="T2748">
        <f t="shared" si="211"/>
        <v>0</v>
      </c>
      <c r="U2748">
        <f t="shared" si="212"/>
        <v>1</v>
      </c>
      <c r="V2748">
        <f t="shared" si="213"/>
        <v>0</v>
      </c>
      <c r="W2748">
        <f t="shared" si="214"/>
        <v>0</v>
      </c>
      <c r="X2748">
        <v>1</v>
      </c>
      <c r="Y2748" s="2">
        <v>45768</v>
      </c>
      <c r="Z2748" s="3" t="s">
        <v>70</v>
      </c>
      <c r="AA2748" t="s">
        <v>39</v>
      </c>
      <c r="AB2748" t="s">
        <v>40</v>
      </c>
      <c r="AC2748" t="s">
        <v>40</v>
      </c>
      <c r="AD2748" t="s">
        <v>184</v>
      </c>
    </row>
    <row r="2749" spans="2:30">
      <c r="B2749">
        <v>0</v>
      </c>
      <c r="C2749">
        <v>1020</v>
      </c>
      <c r="D2749" t="s">
        <v>181</v>
      </c>
      <c r="E2749">
        <v>14166456</v>
      </c>
      <c r="F2749" t="s">
        <v>2835</v>
      </c>
      <c r="G2749" t="s">
        <v>43</v>
      </c>
      <c r="H2749" t="s">
        <v>60</v>
      </c>
      <c r="I2749" t="s">
        <v>183</v>
      </c>
      <c r="J2749" t="s">
        <v>45</v>
      </c>
      <c r="K2749" t="s">
        <v>35</v>
      </c>
      <c r="L2749" t="s">
        <v>36</v>
      </c>
      <c r="M2749" t="s">
        <v>117</v>
      </c>
      <c r="N2749">
        <v>1</v>
      </c>
      <c r="O2749">
        <v>1</v>
      </c>
      <c r="P2749">
        <v>0</v>
      </c>
      <c r="Q2749">
        <v>1</v>
      </c>
      <c r="R2749">
        <v>0</v>
      </c>
      <c r="S2749" t="str">
        <f t="shared" si="210"/>
        <v>PY: Media Crit.</v>
      </c>
      <c r="T2749">
        <f t="shared" si="211"/>
        <v>0</v>
      </c>
      <c r="U2749">
        <f t="shared" si="212"/>
        <v>0</v>
      </c>
      <c r="V2749">
        <f t="shared" si="213"/>
        <v>1</v>
      </c>
      <c r="W2749">
        <f t="shared" si="214"/>
        <v>0</v>
      </c>
      <c r="X2749">
        <v>1</v>
      </c>
      <c r="Y2749" s="2">
        <v>45768</v>
      </c>
      <c r="Z2749" s="3" t="s">
        <v>118</v>
      </c>
      <c r="AA2749" t="s">
        <v>39</v>
      </c>
      <c r="AB2749" t="s">
        <v>40</v>
      </c>
      <c r="AC2749" t="s">
        <v>40</v>
      </c>
      <c r="AD2749" t="s">
        <v>184</v>
      </c>
    </row>
    <row r="2750" spans="2:30">
      <c r="B2750">
        <v>0</v>
      </c>
      <c r="C2750">
        <v>1020</v>
      </c>
      <c r="D2750" t="s">
        <v>181</v>
      </c>
      <c r="E2750">
        <v>14166457</v>
      </c>
      <c r="F2750" t="s">
        <v>2836</v>
      </c>
      <c r="G2750" t="s">
        <v>43</v>
      </c>
      <c r="H2750" t="s">
        <v>60</v>
      </c>
      <c r="I2750" t="s">
        <v>183</v>
      </c>
      <c r="J2750" t="s">
        <v>45</v>
      </c>
      <c r="K2750" t="s">
        <v>35</v>
      </c>
      <c r="L2750" t="s">
        <v>36</v>
      </c>
      <c r="M2750" t="s">
        <v>117</v>
      </c>
      <c r="N2750">
        <v>1</v>
      </c>
      <c r="O2750">
        <v>1</v>
      </c>
      <c r="P2750">
        <v>0</v>
      </c>
      <c r="Q2750">
        <v>1</v>
      </c>
      <c r="R2750">
        <v>0</v>
      </c>
      <c r="S2750" t="str">
        <f t="shared" si="210"/>
        <v>PY: Media Crit.</v>
      </c>
      <c r="T2750">
        <f t="shared" si="211"/>
        <v>0</v>
      </c>
      <c r="U2750">
        <f t="shared" si="212"/>
        <v>0</v>
      </c>
      <c r="V2750">
        <f t="shared" si="213"/>
        <v>1</v>
      </c>
      <c r="W2750">
        <f t="shared" si="214"/>
        <v>0</v>
      </c>
      <c r="X2750">
        <v>1</v>
      </c>
      <c r="Y2750" s="2">
        <v>45768</v>
      </c>
      <c r="Z2750" s="3" t="s">
        <v>118</v>
      </c>
      <c r="AA2750" t="s">
        <v>39</v>
      </c>
      <c r="AB2750" t="s">
        <v>40</v>
      </c>
      <c r="AC2750" t="s">
        <v>40</v>
      </c>
      <c r="AD2750" t="s">
        <v>184</v>
      </c>
    </row>
    <row r="2751" spans="2:30">
      <c r="B2751">
        <v>0</v>
      </c>
      <c r="C2751">
        <v>1020</v>
      </c>
      <c r="D2751" t="s">
        <v>181</v>
      </c>
      <c r="E2751">
        <v>14166460</v>
      </c>
      <c r="F2751" t="s">
        <v>2837</v>
      </c>
      <c r="G2751" t="s">
        <v>43</v>
      </c>
      <c r="H2751" t="s">
        <v>60</v>
      </c>
      <c r="I2751" t="s">
        <v>183</v>
      </c>
      <c r="J2751" t="s">
        <v>45</v>
      </c>
      <c r="K2751" t="s">
        <v>35</v>
      </c>
      <c r="L2751" t="s">
        <v>36</v>
      </c>
      <c r="M2751" t="s">
        <v>117</v>
      </c>
      <c r="N2751">
        <v>1</v>
      </c>
      <c r="O2751">
        <v>1</v>
      </c>
      <c r="P2751">
        <v>0</v>
      </c>
      <c r="Q2751">
        <v>1</v>
      </c>
      <c r="R2751">
        <v>0</v>
      </c>
      <c r="S2751" t="str">
        <f t="shared" si="210"/>
        <v>PY: Media Crit.</v>
      </c>
      <c r="T2751">
        <f t="shared" si="211"/>
        <v>0</v>
      </c>
      <c r="U2751">
        <f t="shared" si="212"/>
        <v>0</v>
      </c>
      <c r="V2751">
        <f t="shared" si="213"/>
        <v>1</v>
      </c>
      <c r="W2751">
        <f t="shared" si="214"/>
        <v>0</v>
      </c>
      <c r="X2751">
        <v>1</v>
      </c>
      <c r="Y2751" s="2">
        <v>45768</v>
      </c>
      <c r="Z2751" s="3" t="s">
        <v>118</v>
      </c>
      <c r="AA2751" t="s">
        <v>39</v>
      </c>
      <c r="AB2751" t="s">
        <v>40</v>
      </c>
      <c r="AC2751" t="s">
        <v>40</v>
      </c>
      <c r="AD2751" t="s">
        <v>184</v>
      </c>
    </row>
    <row r="2752" spans="2:30">
      <c r="B2752">
        <v>0</v>
      </c>
      <c r="C2752">
        <v>1020</v>
      </c>
      <c r="D2752" t="s">
        <v>181</v>
      </c>
      <c r="E2752">
        <v>14166880</v>
      </c>
      <c r="F2752" t="s">
        <v>2838</v>
      </c>
      <c r="G2752" t="s">
        <v>43</v>
      </c>
      <c r="H2752" t="s">
        <v>60</v>
      </c>
      <c r="I2752" t="s">
        <v>183</v>
      </c>
      <c r="J2752" t="s">
        <v>45</v>
      </c>
      <c r="K2752" t="s">
        <v>35</v>
      </c>
      <c r="L2752" t="s">
        <v>36</v>
      </c>
      <c r="M2752" t="s">
        <v>117</v>
      </c>
      <c r="N2752">
        <v>1</v>
      </c>
      <c r="O2752">
        <v>1</v>
      </c>
      <c r="P2752">
        <v>0</v>
      </c>
      <c r="Q2752">
        <v>1</v>
      </c>
      <c r="R2752">
        <v>0</v>
      </c>
      <c r="S2752" t="str">
        <f t="shared" si="210"/>
        <v>PY: Media Crit.</v>
      </c>
      <c r="T2752">
        <f t="shared" si="211"/>
        <v>0</v>
      </c>
      <c r="U2752">
        <f t="shared" si="212"/>
        <v>0</v>
      </c>
      <c r="V2752">
        <f t="shared" si="213"/>
        <v>1</v>
      </c>
      <c r="W2752">
        <f t="shared" si="214"/>
        <v>0</v>
      </c>
      <c r="X2752">
        <v>1</v>
      </c>
      <c r="Y2752" s="2">
        <v>45768</v>
      </c>
      <c r="Z2752" s="3" t="s">
        <v>118</v>
      </c>
      <c r="AA2752" t="s">
        <v>39</v>
      </c>
      <c r="AB2752" t="s">
        <v>40</v>
      </c>
      <c r="AC2752" t="s">
        <v>40</v>
      </c>
      <c r="AD2752" t="s">
        <v>184</v>
      </c>
    </row>
    <row r="2753" spans="2:30">
      <c r="B2753">
        <v>0</v>
      </c>
      <c r="C2753">
        <v>1020</v>
      </c>
      <c r="D2753" t="s">
        <v>388</v>
      </c>
      <c r="E2753">
        <v>14167647</v>
      </c>
      <c r="F2753" t="s">
        <v>2839</v>
      </c>
      <c r="G2753" t="s">
        <v>52</v>
      </c>
      <c r="H2753" t="s">
        <v>44</v>
      </c>
      <c r="I2753" t="s">
        <v>390</v>
      </c>
      <c r="J2753" t="s">
        <v>45</v>
      </c>
      <c r="K2753" t="s">
        <v>35</v>
      </c>
      <c r="L2753" t="s">
        <v>175</v>
      </c>
      <c r="M2753" t="s">
        <v>69</v>
      </c>
      <c r="N2753">
        <v>0</v>
      </c>
      <c r="O2753">
        <v>0</v>
      </c>
      <c r="P2753">
        <v>1</v>
      </c>
      <c r="Q2753">
        <v>1</v>
      </c>
      <c r="R2753">
        <v>0</v>
      </c>
      <c r="S2753" t="str">
        <f t="shared" si="210"/>
        <v>PZ: Alta Crit.</v>
      </c>
      <c r="T2753">
        <f t="shared" si="211"/>
        <v>0</v>
      </c>
      <c r="U2753">
        <f t="shared" si="212"/>
        <v>1</v>
      </c>
      <c r="V2753">
        <f t="shared" si="213"/>
        <v>0</v>
      </c>
      <c r="W2753">
        <f t="shared" si="214"/>
        <v>1</v>
      </c>
      <c r="X2753">
        <v>1</v>
      </c>
      <c r="Y2753" s="2">
        <v>45768</v>
      </c>
      <c r="Z2753" s="3" t="s">
        <v>70</v>
      </c>
      <c r="AA2753" t="s">
        <v>39</v>
      </c>
      <c r="AB2753" t="s">
        <v>40</v>
      </c>
      <c r="AC2753" t="s">
        <v>40</v>
      </c>
      <c r="AD2753" t="s">
        <v>391</v>
      </c>
    </row>
    <row r="2754" spans="2:30">
      <c r="B2754">
        <v>0</v>
      </c>
      <c r="C2754">
        <v>1020</v>
      </c>
      <c r="D2754" t="s">
        <v>181</v>
      </c>
      <c r="E2754">
        <v>14167758</v>
      </c>
      <c r="F2754" t="s">
        <v>2840</v>
      </c>
      <c r="G2754" t="s">
        <v>52</v>
      </c>
      <c r="H2754" t="s">
        <v>44</v>
      </c>
      <c r="I2754" t="s">
        <v>183</v>
      </c>
      <c r="J2754" t="s">
        <v>45</v>
      </c>
      <c r="K2754" t="s">
        <v>35</v>
      </c>
      <c r="L2754" t="s">
        <v>36</v>
      </c>
      <c r="M2754" t="s">
        <v>46</v>
      </c>
      <c r="N2754">
        <v>2</v>
      </c>
      <c r="O2754">
        <v>1</v>
      </c>
      <c r="P2754">
        <v>0</v>
      </c>
      <c r="Q2754">
        <v>2</v>
      </c>
      <c r="R2754">
        <v>0</v>
      </c>
      <c r="S2754" t="str">
        <f t="shared" ref="S2754:S2817" si="215">+IF(G2754="PZ", "PZ: Alta Crit.",IF(G2754="PY","PY: Media Crit.", "PX: Baja Crit."))</f>
        <v>PZ: Alta Crit.</v>
      </c>
      <c r="T2754">
        <f t="shared" ref="T2754:T2817" si="216">+IF(Q2754=0,1,0)</f>
        <v>0</v>
      </c>
      <c r="U2754">
        <f t="shared" ref="U2754:U2817" si="217">+IF(AND(Q2754&lt;=P2754,Q2754&gt;0),1,0)</f>
        <v>0</v>
      </c>
      <c r="V2754">
        <f t="shared" ref="V2754:V2817" si="218">+IF(AND(Q2754&gt;P2754,Q2754&lt;=N2754),1,0)</f>
        <v>1</v>
      </c>
      <c r="W2754">
        <f t="shared" ref="W2754:W2817" si="219">+IF(Q2754&gt;N2754,1,0)</f>
        <v>0</v>
      </c>
      <c r="X2754">
        <v>1</v>
      </c>
      <c r="Y2754" s="2">
        <v>45768</v>
      </c>
      <c r="Z2754" s="3" t="s">
        <v>47</v>
      </c>
      <c r="AA2754" t="s">
        <v>39</v>
      </c>
      <c r="AB2754" t="s">
        <v>40</v>
      </c>
      <c r="AC2754" t="s">
        <v>40</v>
      </c>
      <c r="AD2754" t="s">
        <v>184</v>
      </c>
    </row>
    <row r="2755" spans="2:30">
      <c r="B2755">
        <v>0</v>
      </c>
      <c r="C2755">
        <v>1020</v>
      </c>
      <c r="D2755" t="s">
        <v>384</v>
      </c>
      <c r="E2755">
        <v>14170650</v>
      </c>
      <c r="F2755" t="s">
        <v>2841</v>
      </c>
      <c r="G2755" t="s">
        <v>31</v>
      </c>
      <c r="H2755" t="s">
        <v>32</v>
      </c>
      <c r="I2755" t="s">
        <v>386</v>
      </c>
      <c r="J2755" t="s">
        <v>45</v>
      </c>
      <c r="K2755" t="s">
        <v>35</v>
      </c>
      <c r="L2755" t="s">
        <v>175</v>
      </c>
      <c r="M2755" t="s">
        <v>117</v>
      </c>
      <c r="N2755">
        <v>0</v>
      </c>
      <c r="O2755">
        <v>0</v>
      </c>
      <c r="P2755">
        <v>0</v>
      </c>
      <c r="Q2755">
        <v>1</v>
      </c>
      <c r="R2755">
        <v>0</v>
      </c>
      <c r="S2755" t="str">
        <f t="shared" si="215"/>
        <v>PX: Baja Crit.</v>
      </c>
      <c r="T2755">
        <f t="shared" si="216"/>
        <v>0</v>
      </c>
      <c r="U2755">
        <f t="shared" si="217"/>
        <v>0</v>
      </c>
      <c r="V2755">
        <f t="shared" si="218"/>
        <v>0</v>
      </c>
      <c r="W2755">
        <f t="shared" si="219"/>
        <v>1</v>
      </c>
      <c r="X2755">
        <v>1</v>
      </c>
      <c r="Y2755" s="2">
        <v>45768</v>
      </c>
      <c r="Z2755" s="3" t="s">
        <v>118</v>
      </c>
      <c r="AA2755" t="s">
        <v>39</v>
      </c>
      <c r="AB2755" t="s">
        <v>40</v>
      </c>
      <c r="AC2755" t="s">
        <v>40</v>
      </c>
      <c r="AD2755" t="s">
        <v>387</v>
      </c>
    </row>
    <row r="2756" spans="2:30">
      <c r="B2756">
        <v>0</v>
      </c>
      <c r="C2756">
        <v>1020</v>
      </c>
      <c r="D2756" t="s">
        <v>384</v>
      </c>
      <c r="E2756">
        <v>14170653</v>
      </c>
      <c r="F2756" t="s">
        <v>2842</v>
      </c>
      <c r="G2756" t="s">
        <v>52</v>
      </c>
      <c r="H2756" t="s">
        <v>44</v>
      </c>
      <c r="I2756" t="s">
        <v>386</v>
      </c>
      <c r="J2756" t="s">
        <v>45</v>
      </c>
      <c r="K2756" t="s">
        <v>35</v>
      </c>
      <c r="L2756" t="s">
        <v>175</v>
      </c>
      <c r="M2756" t="s">
        <v>117</v>
      </c>
      <c r="N2756">
        <v>0</v>
      </c>
      <c r="O2756">
        <v>0</v>
      </c>
      <c r="P2756">
        <v>0</v>
      </c>
      <c r="Q2756">
        <v>1</v>
      </c>
      <c r="R2756">
        <v>0</v>
      </c>
      <c r="S2756" t="str">
        <f t="shared" si="215"/>
        <v>PZ: Alta Crit.</v>
      </c>
      <c r="T2756">
        <f t="shared" si="216"/>
        <v>0</v>
      </c>
      <c r="U2756">
        <f t="shared" si="217"/>
        <v>0</v>
      </c>
      <c r="V2756">
        <f t="shared" si="218"/>
        <v>0</v>
      </c>
      <c r="W2756">
        <f t="shared" si="219"/>
        <v>1</v>
      </c>
      <c r="X2756">
        <v>1</v>
      </c>
      <c r="Y2756" s="2">
        <v>45768</v>
      </c>
      <c r="Z2756" s="3" t="s">
        <v>118</v>
      </c>
      <c r="AA2756" t="s">
        <v>39</v>
      </c>
      <c r="AB2756" t="s">
        <v>40</v>
      </c>
      <c r="AC2756" t="s">
        <v>40</v>
      </c>
      <c r="AD2756" t="s">
        <v>387</v>
      </c>
    </row>
    <row r="2757" spans="2:30">
      <c r="B2757">
        <v>0</v>
      </c>
      <c r="C2757">
        <v>1020</v>
      </c>
      <c r="D2757" t="s">
        <v>388</v>
      </c>
      <c r="E2757">
        <v>14171474</v>
      </c>
      <c r="F2757" t="s">
        <v>2843</v>
      </c>
      <c r="G2757" t="s">
        <v>43</v>
      </c>
      <c r="H2757" t="s">
        <v>60</v>
      </c>
      <c r="I2757" t="s">
        <v>390</v>
      </c>
      <c r="J2757" t="s">
        <v>45</v>
      </c>
      <c r="K2757" t="s">
        <v>35</v>
      </c>
      <c r="L2757" t="s">
        <v>175</v>
      </c>
      <c r="M2757" t="s">
        <v>69</v>
      </c>
      <c r="N2757">
        <v>0</v>
      </c>
      <c r="O2757">
        <v>0</v>
      </c>
      <c r="P2757">
        <v>1</v>
      </c>
      <c r="Q2757">
        <v>1</v>
      </c>
      <c r="R2757">
        <v>0</v>
      </c>
      <c r="S2757" t="str">
        <f t="shared" si="215"/>
        <v>PY: Media Crit.</v>
      </c>
      <c r="T2757">
        <f t="shared" si="216"/>
        <v>0</v>
      </c>
      <c r="U2757">
        <f t="shared" si="217"/>
        <v>1</v>
      </c>
      <c r="V2757">
        <f t="shared" si="218"/>
        <v>0</v>
      </c>
      <c r="W2757">
        <f t="shared" si="219"/>
        <v>1</v>
      </c>
      <c r="X2757">
        <v>1</v>
      </c>
      <c r="Y2757" s="2">
        <v>45768</v>
      </c>
      <c r="Z2757" s="3" t="s">
        <v>70</v>
      </c>
      <c r="AA2757" t="s">
        <v>39</v>
      </c>
      <c r="AB2757" t="s">
        <v>40</v>
      </c>
      <c r="AC2757" t="s">
        <v>40</v>
      </c>
      <c r="AD2757" t="s">
        <v>391</v>
      </c>
    </row>
    <row r="2758" spans="2:30">
      <c r="B2758">
        <v>0</v>
      </c>
      <c r="C2758">
        <v>1020</v>
      </c>
      <c r="D2758" t="s">
        <v>181</v>
      </c>
      <c r="E2758">
        <v>14175813</v>
      </c>
      <c r="F2758" t="s">
        <v>2844</v>
      </c>
      <c r="G2758" t="s">
        <v>52</v>
      </c>
      <c r="H2758" t="s">
        <v>44</v>
      </c>
      <c r="I2758" t="s">
        <v>183</v>
      </c>
      <c r="J2758" t="s">
        <v>45</v>
      </c>
      <c r="K2758" t="s">
        <v>35</v>
      </c>
      <c r="L2758" t="s">
        <v>36</v>
      </c>
      <c r="M2758" t="s">
        <v>69</v>
      </c>
      <c r="N2758">
        <v>1</v>
      </c>
      <c r="O2758">
        <v>1</v>
      </c>
      <c r="P2758">
        <v>1</v>
      </c>
      <c r="Q2758">
        <v>1</v>
      </c>
      <c r="R2758" s="4">
        <v>24507.83</v>
      </c>
      <c r="S2758" t="str">
        <f t="shared" si="215"/>
        <v>PZ: Alta Crit.</v>
      </c>
      <c r="T2758">
        <f t="shared" si="216"/>
        <v>0</v>
      </c>
      <c r="U2758">
        <f t="shared" si="217"/>
        <v>1</v>
      </c>
      <c r="V2758">
        <f t="shared" si="218"/>
        <v>0</v>
      </c>
      <c r="W2758">
        <f t="shared" si="219"/>
        <v>0</v>
      </c>
      <c r="X2758">
        <v>1</v>
      </c>
      <c r="Y2758" s="2">
        <v>45768</v>
      </c>
      <c r="Z2758" s="3" t="s">
        <v>70</v>
      </c>
      <c r="AA2758" t="s">
        <v>39</v>
      </c>
      <c r="AB2758" t="s">
        <v>40</v>
      </c>
      <c r="AC2758" t="s">
        <v>40</v>
      </c>
      <c r="AD2758" t="s">
        <v>184</v>
      </c>
    </row>
    <row r="2759" spans="2:30">
      <c r="B2759">
        <v>0</v>
      </c>
      <c r="C2759">
        <v>1020</v>
      </c>
      <c r="D2759" t="s">
        <v>181</v>
      </c>
      <c r="E2759">
        <v>14175814</v>
      </c>
      <c r="F2759" t="s">
        <v>2845</v>
      </c>
      <c r="G2759" t="s">
        <v>43</v>
      </c>
      <c r="H2759" t="s">
        <v>44</v>
      </c>
      <c r="I2759" t="s">
        <v>183</v>
      </c>
      <c r="J2759" t="s">
        <v>45</v>
      </c>
      <c r="K2759" t="s">
        <v>35</v>
      </c>
      <c r="L2759" t="s">
        <v>36</v>
      </c>
      <c r="M2759" t="s">
        <v>69</v>
      </c>
      <c r="N2759">
        <v>1</v>
      </c>
      <c r="O2759">
        <v>1</v>
      </c>
      <c r="P2759">
        <v>1</v>
      </c>
      <c r="Q2759">
        <v>1</v>
      </c>
      <c r="R2759" s="4">
        <v>6867.41</v>
      </c>
      <c r="S2759" t="str">
        <f t="shared" si="215"/>
        <v>PY: Media Crit.</v>
      </c>
      <c r="T2759">
        <f t="shared" si="216"/>
        <v>0</v>
      </c>
      <c r="U2759">
        <f t="shared" si="217"/>
        <v>1</v>
      </c>
      <c r="V2759">
        <f t="shared" si="218"/>
        <v>0</v>
      </c>
      <c r="W2759">
        <f t="shared" si="219"/>
        <v>0</v>
      </c>
      <c r="X2759">
        <v>1</v>
      </c>
      <c r="Y2759" s="2">
        <v>45768</v>
      </c>
      <c r="Z2759" s="3" t="s">
        <v>70</v>
      </c>
      <c r="AA2759" t="s">
        <v>39</v>
      </c>
      <c r="AB2759" t="s">
        <v>40</v>
      </c>
      <c r="AC2759" t="s">
        <v>40</v>
      </c>
      <c r="AD2759" t="s">
        <v>184</v>
      </c>
    </row>
    <row r="2760" spans="2:30">
      <c r="B2760">
        <v>0</v>
      </c>
      <c r="C2760">
        <v>1020</v>
      </c>
      <c r="D2760" t="s">
        <v>181</v>
      </c>
      <c r="E2760">
        <v>14181749</v>
      </c>
      <c r="F2760" t="s">
        <v>2846</v>
      </c>
      <c r="G2760" t="s">
        <v>52</v>
      </c>
      <c r="H2760" t="s">
        <v>44</v>
      </c>
      <c r="I2760" t="s">
        <v>183</v>
      </c>
      <c r="J2760" t="s">
        <v>45</v>
      </c>
      <c r="K2760" t="s">
        <v>35</v>
      </c>
      <c r="L2760" t="s">
        <v>36</v>
      </c>
      <c r="M2760" t="s">
        <v>46</v>
      </c>
      <c r="N2760">
        <v>2</v>
      </c>
      <c r="O2760">
        <v>1</v>
      </c>
      <c r="P2760">
        <v>1</v>
      </c>
      <c r="Q2760">
        <v>2</v>
      </c>
      <c r="R2760">
        <v>0</v>
      </c>
      <c r="S2760" t="str">
        <f t="shared" si="215"/>
        <v>PZ: Alta Crit.</v>
      </c>
      <c r="T2760">
        <f t="shared" si="216"/>
        <v>0</v>
      </c>
      <c r="U2760">
        <f t="shared" si="217"/>
        <v>0</v>
      </c>
      <c r="V2760">
        <f t="shared" si="218"/>
        <v>1</v>
      </c>
      <c r="W2760">
        <f t="shared" si="219"/>
        <v>0</v>
      </c>
      <c r="X2760">
        <v>1</v>
      </c>
      <c r="Y2760" s="2">
        <v>45768</v>
      </c>
      <c r="Z2760" s="3" t="s">
        <v>47</v>
      </c>
      <c r="AA2760" t="s">
        <v>39</v>
      </c>
      <c r="AB2760" t="s">
        <v>40</v>
      </c>
      <c r="AC2760" t="s">
        <v>40</v>
      </c>
      <c r="AD2760" t="s">
        <v>184</v>
      </c>
    </row>
    <row r="2761" spans="2:30">
      <c r="B2761">
        <v>0</v>
      </c>
      <c r="C2761">
        <v>1020</v>
      </c>
      <c r="D2761" t="s">
        <v>181</v>
      </c>
      <c r="E2761">
        <v>14182216</v>
      </c>
      <c r="F2761" t="s">
        <v>2847</v>
      </c>
      <c r="G2761" t="s">
        <v>52</v>
      </c>
      <c r="H2761" t="s">
        <v>60</v>
      </c>
      <c r="I2761" t="s">
        <v>183</v>
      </c>
      <c r="J2761" t="s">
        <v>45</v>
      </c>
      <c r="K2761" t="s">
        <v>35</v>
      </c>
      <c r="L2761" t="s">
        <v>36</v>
      </c>
      <c r="M2761" t="s">
        <v>37</v>
      </c>
      <c r="N2761">
        <v>2</v>
      </c>
      <c r="O2761">
        <v>1</v>
      </c>
      <c r="P2761">
        <v>0</v>
      </c>
      <c r="Q2761">
        <v>2</v>
      </c>
      <c r="R2761">
        <v>0</v>
      </c>
      <c r="S2761" t="str">
        <f t="shared" si="215"/>
        <v>PZ: Alta Crit.</v>
      </c>
      <c r="T2761">
        <f t="shared" si="216"/>
        <v>0</v>
      </c>
      <c r="U2761">
        <f t="shared" si="217"/>
        <v>0</v>
      </c>
      <c r="V2761">
        <f t="shared" si="218"/>
        <v>1</v>
      </c>
      <c r="W2761">
        <f t="shared" si="219"/>
        <v>0</v>
      </c>
      <c r="X2761">
        <v>1</v>
      </c>
      <c r="Y2761" s="2">
        <v>45768</v>
      </c>
      <c r="Z2761" s="3" t="s">
        <v>38</v>
      </c>
      <c r="AA2761" t="s">
        <v>39</v>
      </c>
      <c r="AB2761" t="s">
        <v>40</v>
      </c>
      <c r="AC2761" t="s">
        <v>40</v>
      </c>
      <c r="AD2761" t="s">
        <v>184</v>
      </c>
    </row>
    <row r="2762" spans="2:30">
      <c r="B2762">
        <v>0</v>
      </c>
      <c r="C2762">
        <v>1020</v>
      </c>
      <c r="D2762" t="s">
        <v>181</v>
      </c>
      <c r="E2762">
        <v>14183704</v>
      </c>
      <c r="F2762" t="s">
        <v>2848</v>
      </c>
      <c r="G2762" t="s">
        <v>43</v>
      </c>
      <c r="H2762" t="s">
        <v>60</v>
      </c>
      <c r="I2762" t="s">
        <v>183</v>
      </c>
      <c r="J2762" t="s">
        <v>45</v>
      </c>
      <c r="K2762" t="s">
        <v>35</v>
      </c>
      <c r="L2762" t="s">
        <v>36</v>
      </c>
      <c r="M2762" t="s">
        <v>46</v>
      </c>
      <c r="N2762">
        <v>2</v>
      </c>
      <c r="O2762">
        <v>2</v>
      </c>
      <c r="P2762">
        <v>1</v>
      </c>
      <c r="Q2762">
        <v>0</v>
      </c>
      <c r="R2762">
        <v>0</v>
      </c>
      <c r="S2762" t="str">
        <f t="shared" si="215"/>
        <v>PY: Media Crit.</v>
      </c>
      <c r="T2762">
        <f t="shared" si="216"/>
        <v>1</v>
      </c>
      <c r="U2762">
        <f t="shared" si="217"/>
        <v>0</v>
      </c>
      <c r="V2762">
        <f t="shared" si="218"/>
        <v>0</v>
      </c>
      <c r="W2762">
        <f t="shared" si="219"/>
        <v>0</v>
      </c>
      <c r="X2762">
        <v>1</v>
      </c>
      <c r="Y2762" s="2">
        <v>45768</v>
      </c>
      <c r="Z2762" s="3" t="s">
        <v>47</v>
      </c>
      <c r="AA2762" t="s">
        <v>39</v>
      </c>
      <c r="AB2762" t="s">
        <v>49</v>
      </c>
      <c r="AC2762" s="5" t="s">
        <v>50</v>
      </c>
      <c r="AD2762" t="s">
        <v>184</v>
      </c>
    </row>
    <row r="2763" spans="2:30">
      <c r="B2763">
        <v>0</v>
      </c>
      <c r="C2763">
        <v>1020</v>
      </c>
      <c r="D2763" t="s">
        <v>181</v>
      </c>
      <c r="E2763">
        <v>14183705</v>
      </c>
      <c r="F2763" t="s">
        <v>2849</v>
      </c>
      <c r="G2763" t="s">
        <v>43</v>
      </c>
      <c r="H2763" t="s">
        <v>60</v>
      </c>
      <c r="I2763" t="s">
        <v>183</v>
      </c>
      <c r="J2763" t="s">
        <v>45</v>
      </c>
      <c r="K2763" t="s">
        <v>35</v>
      </c>
      <c r="L2763" t="s">
        <v>36</v>
      </c>
      <c r="M2763" t="s">
        <v>46</v>
      </c>
      <c r="N2763">
        <v>2</v>
      </c>
      <c r="O2763">
        <v>2</v>
      </c>
      <c r="P2763">
        <v>1</v>
      </c>
      <c r="Q2763">
        <v>0</v>
      </c>
      <c r="R2763">
        <v>0</v>
      </c>
      <c r="S2763" t="str">
        <f t="shared" si="215"/>
        <v>PY: Media Crit.</v>
      </c>
      <c r="T2763">
        <f t="shared" si="216"/>
        <v>1</v>
      </c>
      <c r="U2763">
        <f t="shared" si="217"/>
        <v>0</v>
      </c>
      <c r="V2763">
        <f t="shared" si="218"/>
        <v>0</v>
      </c>
      <c r="W2763">
        <f t="shared" si="219"/>
        <v>0</v>
      </c>
      <c r="X2763">
        <v>1</v>
      </c>
      <c r="Y2763" s="2">
        <v>45768</v>
      </c>
      <c r="Z2763" s="3" t="s">
        <v>47</v>
      </c>
      <c r="AA2763" t="s">
        <v>39</v>
      </c>
      <c r="AB2763" t="s">
        <v>49</v>
      </c>
      <c r="AC2763" s="5" t="s">
        <v>50</v>
      </c>
      <c r="AD2763" t="s">
        <v>184</v>
      </c>
    </row>
    <row r="2764" spans="2:30">
      <c r="B2764">
        <v>0</v>
      </c>
      <c r="C2764">
        <v>1020</v>
      </c>
      <c r="D2764" t="s">
        <v>181</v>
      </c>
      <c r="E2764">
        <v>14183706</v>
      </c>
      <c r="F2764" t="s">
        <v>2850</v>
      </c>
      <c r="G2764" t="s">
        <v>43</v>
      </c>
      <c r="H2764" t="s">
        <v>60</v>
      </c>
      <c r="I2764" t="s">
        <v>183</v>
      </c>
      <c r="J2764" t="s">
        <v>45</v>
      </c>
      <c r="K2764" t="s">
        <v>35</v>
      </c>
      <c r="L2764" t="s">
        <v>36</v>
      </c>
      <c r="M2764" t="s">
        <v>117</v>
      </c>
      <c r="N2764">
        <v>2</v>
      </c>
      <c r="O2764">
        <v>2</v>
      </c>
      <c r="P2764">
        <v>1</v>
      </c>
      <c r="Q2764">
        <v>0</v>
      </c>
      <c r="R2764">
        <v>0</v>
      </c>
      <c r="S2764" t="str">
        <f t="shared" si="215"/>
        <v>PY: Media Crit.</v>
      </c>
      <c r="T2764">
        <f t="shared" si="216"/>
        <v>1</v>
      </c>
      <c r="U2764">
        <f t="shared" si="217"/>
        <v>0</v>
      </c>
      <c r="V2764">
        <f t="shared" si="218"/>
        <v>0</v>
      </c>
      <c r="W2764">
        <f t="shared" si="219"/>
        <v>0</v>
      </c>
      <c r="X2764">
        <v>1</v>
      </c>
      <c r="Y2764" s="2">
        <v>45768</v>
      </c>
      <c r="Z2764" s="3" t="s">
        <v>118</v>
      </c>
      <c r="AA2764" t="s">
        <v>39</v>
      </c>
      <c r="AB2764" t="s">
        <v>49</v>
      </c>
      <c r="AC2764" s="5" t="s">
        <v>50</v>
      </c>
      <c r="AD2764" t="s">
        <v>184</v>
      </c>
    </row>
    <row r="2765" spans="2:30">
      <c r="B2765">
        <v>0</v>
      </c>
      <c r="C2765">
        <v>1020</v>
      </c>
      <c r="D2765" t="s">
        <v>181</v>
      </c>
      <c r="E2765">
        <v>14183708</v>
      </c>
      <c r="F2765" t="s">
        <v>2851</v>
      </c>
      <c r="G2765" t="s">
        <v>43</v>
      </c>
      <c r="H2765" t="s">
        <v>60</v>
      </c>
      <c r="I2765" t="s">
        <v>183</v>
      </c>
      <c r="J2765" t="s">
        <v>45</v>
      </c>
      <c r="K2765" t="s">
        <v>35</v>
      </c>
      <c r="L2765" t="s">
        <v>36</v>
      </c>
      <c r="M2765" t="s">
        <v>46</v>
      </c>
      <c r="N2765">
        <v>2</v>
      </c>
      <c r="O2765">
        <v>2</v>
      </c>
      <c r="P2765">
        <v>1</v>
      </c>
      <c r="Q2765">
        <v>0</v>
      </c>
      <c r="R2765">
        <v>0</v>
      </c>
      <c r="S2765" t="str">
        <f t="shared" si="215"/>
        <v>PY: Media Crit.</v>
      </c>
      <c r="T2765">
        <f t="shared" si="216"/>
        <v>1</v>
      </c>
      <c r="U2765">
        <f t="shared" si="217"/>
        <v>0</v>
      </c>
      <c r="V2765">
        <f t="shared" si="218"/>
        <v>0</v>
      </c>
      <c r="W2765">
        <f t="shared" si="219"/>
        <v>0</v>
      </c>
      <c r="X2765">
        <v>1</v>
      </c>
      <c r="Y2765" s="2">
        <v>45768</v>
      </c>
      <c r="Z2765" s="3" t="s">
        <v>47</v>
      </c>
      <c r="AA2765" t="s">
        <v>39</v>
      </c>
      <c r="AB2765" t="s">
        <v>49</v>
      </c>
      <c r="AC2765" s="5" t="s">
        <v>50</v>
      </c>
      <c r="AD2765" t="s">
        <v>184</v>
      </c>
    </row>
    <row r="2766" spans="2:30">
      <c r="B2766">
        <v>0</v>
      </c>
      <c r="C2766">
        <v>1020</v>
      </c>
      <c r="D2766" t="s">
        <v>181</v>
      </c>
      <c r="E2766">
        <v>14183709</v>
      </c>
      <c r="F2766" t="s">
        <v>2852</v>
      </c>
      <c r="G2766" t="s">
        <v>43</v>
      </c>
      <c r="H2766" t="s">
        <v>60</v>
      </c>
      <c r="I2766" t="s">
        <v>183</v>
      </c>
      <c r="J2766" t="s">
        <v>45</v>
      </c>
      <c r="K2766" t="s">
        <v>35</v>
      </c>
      <c r="L2766" t="s">
        <v>36</v>
      </c>
      <c r="M2766" t="s">
        <v>46</v>
      </c>
      <c r="N2766">
        <v>2</v>
      </c>
      <c r="O2766">
        <v>2</v>
      </c>
      <c r="P2766">
        <v>1</v>
      </c>
      <c r="Q2766">
        <v>0</v>
      </c>
      <c r="R2766">
        <v>0</v>
      </c>
      <c r="S2766" t="str">
        <f t="shared" si="215"/>
        <v>PY: Media Crit.</v>
      </c>
      <c r="T2766">
        <f t="shared" si="216"/>
        <v>1</v>
      </c>
      <c r="U2766">
        <f t="shared" si="217"/>
        <v>0</v>
      </c>
      <c r="V2766">
        <f t="shared" si="218"/>
        <v>0</v>
      </c>
      <c r="W2766">
        <f t="shared" si="219"/>
        <v>0</v>
      </c>
      <c r="X2766">
        <v>1</v>
      </c>
      <c r="Y2766" s="2">
        <v>45768</v>
      </c>
      <c r="Z2766" s="3" t="s">
        <v>47</v>
      </c>
      <c r="AA2766" t="s">
        <v>39</v>
      </c>
      <c r="AB2766" t="s">
        <v>49</v>
      </c>
      <c r="AC2766" s="5" t="s">
        <v>50</v>
      </c>
      <c r="AD2766" t="s">
        <v>184</v>
      </c>
    </row>
    <row r="2767" spans="2:30">
      <c r="B2767">
        <v>0</v>
      </c>
      <c r="C2767">
        <v>1020</v>
      </c>
      <c r="D2767" t="s">
        <v>181</v>
      </c>
      <c r="E2767">
        <v>14183710</v>
      </c>
      <c r="F2767" t="s">
        <v>2853</v>
      </c>
      <c r="G2767" t="s">
        <v>43</v>
      </c>
      <c r="H2767" t="s">
        <v>60</v>
      </c>
      <c r="I2767" t="s">
        <v>183</v>
      </c>
      <c r="J2767" t="s">
        <v>45</v>
      </c>
      <c r="K2767" t="s">
        <v>35</v>
      </c>
      <c r="L2767" t="s">
        <v>36</v>
      </c>
      <c r="M2767" t="s">
        <v>46</v>
      </c>
      <c r="N2767">
        <v>2</v>
      </c>
      <c r="O2767">
        <v>2</v>
      </c>
      <c r="P2767">
        <v>1</v>
      </c>
      <c r="Q2767">
        <v>0</v>
      </c>
      <c r="R2767">
        <v>0</v>
      </c>
      <c r="S2767" t="str">
        <f t="shared" si="215"/>
        <v>PY: Media Crit.</v>
      </c>
      <c r="T2767">
        <f t="shared" si="216"/>
        <v>1</v>
      </c>
      <c r="U2767">
        <f t="shared" si="217"/>
        <v>0</v>
      </c>
      <c r="V2767">
        <f t="shared" si="218"/>
        <v>0</v>
      </c>
      <c r="W2767">
        <f t="shared" si="219"/>
        <v>0</v>
      </c>
      <c r="X2767">
        <v>1</v>
      </c>
      <c r="Y2767" s="2">
        <v>45768</v>
      </c>
      <c r="Z2767" s="3" t="s">
        <v>47</v>
      </c>
      <c r="AA2767" t="s">
        <v>39</v>
      </c>
      <c r="AB2767" t="s">
        <v>49</v>
      </c>
      <c r="AC2767" s="5" t="s">
        <v>50</v>
      </c>
      <c r="AD2767" t="s">
        <v>184</v>
      </c>
    </row>
    <row r="2768" spans="2:30">
      <c r="B2768">
        <v>0</v>
      </c>
      <c r="C2768">
        <v>1020</v>
      </c>
      <c r="D2768" t="s">
        <v>181</v>
      </c>
      <c r="E2768">
        <v>14183714</v>
      </c>
      <c r="F2768" t="s">
        <v>2854</v>
      </c>
      <c r="G2768" t="s">
        <v>43</v>
      </c>
      <c r="H2768" t="s">
        <v>60</v>
      </c>
      <c r="I2768" t="s">
        <v>183</v>
      </c>
      <c r="J2768" t="s">
        <v>45</v>
      </c>
      <c r="K2768" t="s">
        <v>35</v>
      </c>
      <c r="L2768" t="s">
        <v>36</v>
      </c>
      <c r="M2768" t="s">
        <v>117</v>
      </c>
      <c r="N2768">
        <v>2</v>
      </c>
      <c r="O2768">
        <v>2</v>
      </c>
      <c r="P2768">
        <v>1</v>
      </c>
      <c r="Q2768">
        <v>0</v>
      </c>
      <c r="R2768">
        <v>0</v>
      </c>
      <c r="S2768" t="str">
        <f t="shared" si="215"/>
        <v>PY: Media Crit.</v>
      </c>
      <c r="T2768">
        <f t="shared" si="216"/>
        <v>1</v>
      </c>
      <c r="U2768">
        <f t="shared" si="217"/>
        <v>0</v>
      </c>
      <c r="V2768">
        <f t="shared" si="218"/>
        <v>0</v>
      </c>
      <c r="W2768">
        <f t="shared" si="219"/>
        <v>0</v>
      </c>
      <c r="X2768">
        <v>1</v>
      </c>
      <c r="Y2768" s="2">
        <v>45768</v>
      </c>
      <c r="Z2768" s="3" t="s">
        <v>118</v>
      </c>
      <c r="AA2768" t="s">
        <v>39</v>
      </c>
      <c r="AB2768" t="s">
        <v>49</v>
      </c>
      <c r="AC2768" s="5" t="s">
        <v>50</v>
      </c>
      <c r="AD2768" t="s">
        <v>184</v>
      </c>
    </row>
    <row r="2769" spans="2:30">
      <c r="B2769">
        <v>0</v>
      </c>
      <c r="C2769">
        <v>1020</v>
      </c>
      <c r="D2769" t="s">
        <v>181</v>
      </c>
      <c r="E2769">
        <v>14183716</v>
      </c>
      <c r="F2769" t="s">
        <v>2855</v>
      </c>
      <c r="G2769" t="s">
        <v>43</v>
      </c>
      <c r="H2769" t="s">
        <v>60</v>
      </c>
      <c r="I2769" t="s">
        <v>183</v>
      </c>
      <c r="J2769" t="s">
        <v>45</v>
      </c>
      <c r="K2769" t="s">
        <v>35</v>
      </c>
      <c r="L2769" t="s">
        <v>36</v>
      </c>
      <c r="M2769" t="s">
        <v>117</v>
      </c>
      <c r="N2769">
        <v>2</v>
      </c>
      <c r="O2769">
        <v>2</v>
      </c>
      <c r="P2769">
        <v>1</v>
      </c>
      <c r="Q2769">
        <v>0</v>
      </c>
      <c r="R2769">
        <v>0</v>
      </c>
      <c r="S2769" t="str">
        <f t="shared" si="215"/>
        <v>PY: Media Crit.</v>
      </c>
      <c r="T2769">
        <f t="shared" si="216"/>
        <v>1</v>
      </c>
      <c r="U2769">
        <f t="shared" si="217"/>
        <v>0</v>
      </c>
      <c r="V2769">
        <f t="shared" si="218"/>
        <v>0</v>
      </c>
      <c r="W2769">
        <f t="shared" si="219"/>
        <v>0</v>
      </c>
      <c r="X2769">
        <v>1</v>
      </c>
      <c r="Y2769" s="2">
        <v>45768</v>
      </c>
      <c r="Z2769" s="3" t="s">
        <v>118</v>
      </c>
      <c r="AA2769" t="s">
        <v>39</v>
      </c>
      <c r="AB2769" t="s">
        <v>49</v>
      </c>
      <c r="AC2769" s="5" t="s">
        <v>50</v>
      </c>
      <c r="AD2769" t="s">
        <v>184</v>
      </c>
    </row>
    <row r="2770" spans="2:30">
      <c r="B2770">
        <v>0</v>
      </c>
      <c r="C2770">
        <v>1020</v>
      </c>
      <c r="D2770" t="s">
        <v>181</v>
      </c>
      <c r="E2770">
        <v>14183718</v>
      </c>
      <c r="F2770" t="s">
        <v>2856</v>
      </c>
      <c r="G2770" t="s">
        <v>43</v>
      </c>
      <c r="H2770" t="s">
        <v>60</v>
      </c>
      <c r="I2770" t="s">
        <v>183</v>
      </c>
      <c r="J2770" t="s">
        <v>45</v>
      </c>
      <c r="K2770" t="s">
        <v>35</v>
      </c>
      <c r="L2770" t="s">
        <v>36</v>
      </c>
      <c r="M2770" t="s">
        <v>117</v>
      </c>
      <c r="N2770">
        <v>2</v>
      </c>
      <c r="O2770">
        <v>2</v>
      </c>
      <c r="P2770">
        <v>1</v>
      </c>
      <c r="Q2770">
        <v>0</v>
      </c>
      <c r="R2770">
        <v>0</v>
      </c>
      <c r="S2770" t="str">
        <f t="shared" si="215"/>
        <v>PY: Media Crit.</v>
      </c>
      <c r="T2770">
        <f t="shared" si="216"/>
        <v>1</v>
      </c>
      <c r="U2770">
        <f t="shared" si="217"/>
        <v>0</v>
      </c>
      <c r="V2770">
        <f t="shared" si="218"/>
        <v>0</v>
      </c>
      <c r="W2770">
        <f t="shared" si="219"/>
        <v>0</v>
      </c>
      <c r="X2770">
        <v>1</v>
      </c>
      <c r="Y2770" s="2">
        <v>45768</v>
      </c>
      <c r="Z2770" s="3" t="s">
        <v>118</v>
      </c>
      <c r="AA2770" t="s">
        <v>39</v>
      </c>
      <c r="AB2770" t="s">
        <v>49</v>
      </c>
      <c r="AC2770" s="5" t="s">
        <v>50</v>
      </c>
      <c r="AD2770" t="s">
        <v>184</v>
      </c>
    </row>
    <row r="2771" spans="2:30">
      <c r="B2771">
        <v>0</v>
      </c>
      <c r="C2771">
        <v>1020</v>
      </c>
      <c r="D2771" t="s">
        <v>181</v>
      </c>
      <c r="E2771">
        <v>14183721</v>
      </c>
      <c r="F2771" t="s">
        <v>2857</v>
      </c>
      <c r="G2771" t="s">
        <v>43</v>
      </c>
      <c r="H2771" t="s">
        <v>60</v>
      </c>
      <c r="I2771" t="s">
        <v>183</v>
      </c>
      <c r="J2771" t="s">
        <v>45</v>
      </c>
      <c r="K2771" t="s">
        <v>35</v>
      </c>
      <c r="L2771" t="s">
        <v>36</v>
      </c>
      <c r="M2771" t="s">
        <v>46</v>
      </c>
      <c r="N2771">
        <v>2</v>
      </c>
      <c r="O2771">
        <v>2</v>
      </c>
      <c r="P2771">
        <v>1</v>
      </c>
      <c r="Q2771">
        <v>0</v>
      </c>
      <c r="R2771">
        <v>0</v>
      </c>
      <c r="S2771" t="str">
        <f t="shared" si="215"/>
        <v>PY: Media Crit.</v>
      </c>
      <c r="T2771">
        <f t="shared" si="216"/>
        <v>1</v>
      </c>
      <c r="U2771">
        <f t="shared" si="217"/>
        <v>0</v>
      </c>
      <c r="V2771">
        <f t="shared" si="218"/>
        <v>0</v>
      </c>
      <c r="W2771">
        <f t="shared" si="219"/>
        <v>0</v>
      </c>
      <c r="X2771">
        <v>1</v>
      </c>
      <c r="Y2771" s="2">
        <v>45768</v>
      </c>
      <c r="Z2771" s="3" t="s">
        <v>47</v>
      </c>
      <c r="AA2771" t="s">
        <v>39</v>
      </c>
      <c r="AB2771" t="s">
        <v>49</v>
      </c>
      <c r="AC2771" s="5" t="s">
        <v>50</v>
      </c>
      <c r="AD2771" t="s">
        <v>184</v>
      </c>
    </row>
    <row r="2772" spans="2:30">
      <c r="B2772">
        <v>0</v>
      </c>
      <c r="C2772">
        <v>1020</v>
      </c>
      <c r="D2772" t="s">
        <v>181</v>
      </c>
      <c r="E2772">
        <v>14183722</v>
      </c>
      <c r="F2772" t="s">
        <v>2858</v>
      </c>
      <c r="G2772" t="s">
        <v>43</v>
      </c>
      <c r="H2772" t="s">
        <v>44</v>
      </c>
      <c r="I2772" t="s">
        <v>183</v>
      </c>
      <c r="J2772" t="s">
        <v>45</v>
      </c>
      <c r="K2772" t="s">
        <v>35</v>
      </c>
      <c r="L2772" t="s">
        <v>36</v>
      </c>
      <c r="M2772" t="s">
        <v>46</v>
      </c>
      <c r="N2772">
        <v>2</v>
      </c>
      <c r="O2772">
        <v>2</v>
      </c>
      <c r="P2772">
        <v>1</v>
      </c>
      <c r="Q2772">
        <v>0</v>
      </c>
      <c r="R2772">
        <v>0</v>
      </c>
      <c r="S2772" t="str">
        <f t="shared" si="215"/>
        <v>PY: Media Crit.</v>
      </c>
      <c r="T2772">
        <f t="shared" si="216"/>
        <v>1</v>
      </c>
      <c r="U2772">
        <f t="shared" si="217"/>
        <v>0</v>
      </c>
      <c r="V2772">
        <f t="shared" si="218"/>
        <v>0</v>
      </c>
      <c r="W2772">
        <f t="shared" si="219"/>
        <v>0</v>
      </c>
      <c r="X2772">
        <v>1</v>
      </c>
      <c r="Y2772" s="2">
        <v>45768</v>
      </c>
      <c r="Z2772" s="3" t="s">
        <v>47</v>
      </c>
      <c r="AA2772" t="s">
        <v>39</v>
      </c>
      <c r="AB2772" t="s">
        <v>49</v>
      </c>
      <c r="AC2772" s="5" t="s">
        <v>50</v>
      </c>
      <c r="AD2772" t="s">
        <v>184</v>
      </c>
    </row>
    <row r="2773" spans="2:30">
      <c r="B2773">
        <v>0</v>
      </c>
      <c r="C2773">
        <v>1020</v>
      </c>
      <c r="D2773" t="s">
        <v>181</v>
      </c>
      <c r="E2773">
        <v>14183725</v>
      </c>
      <c r="F2773" t="s">
        <v>2859</v>
      </c>
      <c r="G2773" t="s">
        <v>43</v>
      </c>
      <c r="H2773" t="s">
        <v>60</v>
      </c>
      <c r="I2773" t="s">
        <v>183</v>
      </c>
      <c r="J2773" t="s">
        <v>45</v>
      </c>
      <c r="K2773" t="s">
        <v>35</v>
      </c>
      <c r="L2773" t="s">
        <v>36</v>
      </c>
      <c r="M2773" t="s">
        <v>117</v>
      </c>
      <c r="N2773">
        <v>2</v>
      </c>
      <c r="O2773">
        <v>2</v>
      </c>
      <c r="P2773">
        <v>1</v>
      </c>
      <c r="Q2773">
        <v>0</v>
      </c>
      <c r="R2773">
        <v>0</v>
      </c>
      <c r="S2773" t="str">
        <f t="shared" si="215"/>
        <v>PY: Media Crit.</v>
      </c>
      <c r="T2773">
        <f t="shared" si="216"/>
        <v>1</v>
      </c>
      <c r="U2773">
        <f t="shared" si="217"/>
        <v>0</v>
      </c>
      <c r="V2773">
        <f t="shared" si="218"/>
        <v>0</v>
      </c>
      <c r="W2773">
        <f t="shared" si="219"/>
        <v>0</v>
      </c>
      <c r="X2773">
        <v>1</v>
      </c>
      <c r="Y2773" s="2">
        <v>45768</v>
      </c>
      <c r="Z2773" s="3" t="s">
        <v>118</v>
      </c>
      <c r="AA2773" t="s">
        <v>39</v>
      </c>
      <c r="AB2773" t="s">
        <v>49</v>
      </c>
      <c r="AC2773" s="5" t="s">
        <v>50</v>
      </c>
      <c r="AD2773" t="s">
        <v>184</v>
      </c>
    </row>
    <row r="2774" spans="2:30">
      <c r="B2774">
        <v>0</v>
      </c>
      <c r="C2774">
        <v>1020</v>
      </c>
      <c r="D2774" t="s">
        <v>181</v>
      </c>
      <c r="E2774">
        <v>14183726</v>
      </c>
      <c r="F2774" t="s">
        <v>2860</v>
      </c>
      <c r="G2774" t="s">
        <v>43</v>
      </c>
      <c r="H2774" t="s">
        <v>60</v>
      </c>
      <c r="I2774" t="s">
        <v>183</v>
      </c>
      <c r="J2774" t="s">
        <v>45</v>
      </c>
      <c r="K2774" t="s">
        <v>35</v>
      </c>
      <c r="L2774" t="s">
        <v>36</v>
      </c>
      <c r="M2774" t="s">
        <v>117</v>
      </c>
      <c r="N2774">
        <v>2</v>
      </c>
      <c r="O2774">
        <v>2</v>
      </c>
      <c r="P2774">
        <v>1</v>
      </c>
      <c r="Q2774">
        <v>0</v>
      </c>
      <c r="R2774">
        <v>0</v>
      </c>
      <c r="S2774" t="str">
        <f t="shared" si="215"/>
        <v>PY: Media Crit.</v>
      </c>
      <c r="T2774">
        <f t="shared" si="216"/>
        <v>1</v>
      </c>
      <c r="U2774">
        <f t="shared" si="217"/>
        <v>0</v>
      </c>
      <c r="V2774">
        <f t="shared" si="218"/>
        <v>0</v>
      </c>
      <c r="W2774">
        <f t="shared" si="219"/>
        <v>0</v>
      </c>
      <c r="X2774">
        <v>1</v>
      </c>
      <c r="Y2774" s="2">
        <v>45768</v>
      </c>
      <c r="Z2774" s="3" t="s">
        <v>118</v>
      </c>
      <c r="AA2774" t="s">
        <v>39</v>
      </c>
      <c r="AB2774" t="s">
        <v>49</v>
      </c>
      <c r="AC2774" s="5" t="s">
        <v>50</v>
      </c>
      <c r="AD2774" t="s">
        <v>184</v>
      </c>
    </row>
    <row r="2775" spans="2:30">
      <c r="B2775">
        <v>0</v>
      </c>
      <c r="C2775">
        <v>1020</v>
      </c>
      <c r="D2775" t="s">
        <v>181</v>
      </c>
      <c r="E2775">
        <v>14183732</v>
      </c>
      <c r="F2775" t="s">
        <v>2861</v>
      </c>
      <c r="G2775" t="s">
        <v>43</v>
      </c>
      <c r="H2775" t="s">
        <v>60</v>
      </c>
      <c r="I2775" t="s">
        <v>183</v>
      </c>
      <c r="J2775" t="s">
        <v>45</v>
      </c>
      <c r="K2775" t="s">
        <v>35</v>
      </c>
      <c r="L2775" t="s">
        <v>36</v>
      </c>
      <c r="M2775" t="s">
        <v>117</v>
      </c>
      <c r="N2775">
        <v>2</v>
      </c>
      <c r="O2775">
        <v>2</v>
      </c>
      <c r="P2775">
        <v>1</v>
      </c>
      <c r="Q2775">
        <v>0</v>
      </c>
      <c r="R2775">
        <v>0</v>
      </c>
      <c r="S2775" t="str">
        <f t="shared" si="215"/>
        <v>PY: Media Crit.</v>
      </c>
      <c r="T2775">
        <f t="shared" si="216"/>
        <v>1</v>
      </c>
      <c r="U2775">
        <f t="shared" si="217"/>
        <v>0</v>
      </c>
      <c r="V2775">
        <f t="shared" si="218"/>
        <v>0</v>
      </c>
      <c r="W2775">
        <f t="shared" si="219"/>
        <v>0</v>
      </c>
      <c r="X2775">
        <v>1</v>
      </c>
      <c r="Y2775" s="2">
        <v>45768</v>
      </c>
      <c r="Z2775" s="3" t="s">
        <v>118</v>
      </c>
      <c r="AA2775" t="s">
        <v>39</v>
      </c>
      <c r="AB2775" t="s">
        <v>49</v>
      </c>
      <c r="AC2775" s="5" t="s">
        <v>50</v>
      </c>
      <c r="AD2775" t="s">
        <v>184</v>
      </c>
    </row>
    <row r="2776" spans="2:30">
      <c r="B2776">
        <v>0</v>
      </c>
      <c r="C2776">
        <v>1020</v>
      </c>
      <c r="D2776" t="s">
        <v>181</v>
      </c>
      <c r="E2776">
        <v>14183734</v>
      </c>
      <c r="F2776" t="s">
        <v>2862</v>
      </c>
      <c r="G2776" t="s">
        <v>43</v>
      </c>
      <c r="H2776" t="s">
        <v>60</v>
      </c>
      <c r="I2776" t="s">
        <v>183</v>
      </c>
      <c r="J2776" t="s">
        <v>45</v>
      </c>
      <c r="K2776" t="s">
        <v>35</v>
      </c>
      <c r="L2776" t="s">
        <v>36</v>
      </c>
      <c r="M2776" t="s">
        <v>117</v>
      </c>
      <c r="N2776">
        <v>2</v>
      </c>
      <c r="O2776">
        <v>2</v>
      </c>
      <c r="P2776">
        <v>1</v>
      </c>
      <c r="Q2776">
        <v>0</v>
      </c>
      <c r="R2776">
        <v>0</v>
      </c>
      <c r="S2776" t="str">
        <f t="shared" si="215"/>
        <v>PY: Media Crit.</v>
      </c>
      <c r="T2776">
        <f t="shared" si="216"/>
        <v>1</v>
      </c>
      <c r="U2776">
        <f t="shared" si="217"/>
        <v>0</v>
      </c>
      <c r="V2776">
        <f t="shared" si="218"/>
        <v>0</v>
      </c>
      <c r="W2776">
        <f t="shared" si="219"/>
        <v>0</v>
      </c>
      <c r="X2776">
        <v>1</v>
      </c>
      <c r="Y2776" s="2">
        <v>45768</v>
      </c>
      <c r="Z2776" s="3" t="s">
        <v>118</v>
      </c>
      <c r="AA2776" t="s">
        <v>39</v>
      </c>
      <c r="AB2776" t="s">
        <v>49</v>
      </c>
      <c r="AC2776" s="5" t="s">
        <v>50</v>
      </c>
      <c r="AD2776" t="s">
        <v>184</v>
      </c>
    </row>
    <row r="2777" spans="2:30">
      <c r="B2777">
        <v>0</v>
      </c>
      <c r="C2777">
        <v>1020</v>
      </c>
      <c r="D2777" t="s">
        <v>181</v>
      </c>
      <c r="E2777">
        <v>14183736</v>
      </c>
      <c r="F2777" t="s">
        <v>2863</v>
      </c>
      <c r="G2777" t="s">
        <v>43</v>
      </c>
      <c r="H2777" t="s">
        <v>60</v>
      </c>
      <c r="I2777" t="s">
        <v>183</v>
      </c>
      <c r="J2777" t="s">
        <v>45</v>
      </c>
      <c r="K2777" t="s">
        <v>35</v>
      </c>
      <c r="L2777" t="s">
        <v>36</v>
      </c>
      <c r="M2777" t="s">
        <v>117</v>
      </c>
      <c r="N2777">
        <v>2</v>
      </c>
      <c r="O2777">
        <v>2</v>
      </c>
      <c r="P2777">
        <v>1</v>
      </c>
      <c r="Q2777">
        <v>0</v>
      </c>
      <c r="R2777">
        <v>0</v>
      </c>
      <c r="S2777" t="str">
        <f t="shared" si="215"/>
        <v>PY: Media Crit.</v>
      </c>
      <c r="T2777">
        <f t="shared" si="216"/>
        <v>1</v>
      </c>
      <c r="U2777">
        <f t="shared" si="217"/>
        <v>0</v>
      </c>
      <c r="V2777">
        <f t="shared" si="218"/>
        <v>0</v>
      </c>
      <c r="W2777">
        <f t="shared" si="219"/>
        <v>0</v>
      </c>
      <c r="X2777">
        <v>1</v>
      </c>
      <c r="Y2777" s="2">
        <v>45768</v>
      </c>
      <c r="Z2777" s="3" t="s">
        <v>118</v>
      </c>
      <c r="AA2777" t="s">
        <v>39</v>
      </c>
      <c r="AB2777" t="s">
        <v>49</v>
      </c>
      <c r="AC2777" s="5" t="s">
        <v>50</v>
      </c>
      <c r="AD2777" t="s">
        <v>184</v>
      </c>
    </row>
    <row r="2778" spans="2:30">
      <c r="B2778">
        <v>0</v>
      </c>
      <c r="C2778">
        <v>1020</v>
      </c>
      <c r="D2778" t="s">
        <v>181</v>
      </c>
      <c r="E2778">
        <v>14183737</v>
      </c>
      <c r="F2778" t="s">
        <v>2864</v>
      </c>
      <c r="G2778" t="s">
        <v>43</v>
      </c>
      <c r="H2778" t="s">
        <v>60</v>
      </c>
      <c r="I2778" t="s">
        <v>183</v>
      </c>
      <c r="J2778" t="s">
        <v>45</v>
      </c>
      <c r="K2778" t="s">
        <v>35</v>
      </c>
      <c r="L2778" t="s">
        <v>36</v>
      </c>
      <c r="M2778" t="s">
        <v>117</v>
      </c>
      <c r="N2778">
        <v>2</v>
      </c>
      <c r="O2778">
        <v>2</v>
      </c>
      <c r="P2778">
        <v>1</v>
      </c>
      <c r="Q2778">
        <v>0</v>
      </c>
      <c r="R2778">
        <v>0</v>
      </c>
      <c r="S2778" t="str">
        <f t="shared" si="215"/>
        <v>PY: Media Crit.</v>
      </c>
      <c r="T2778">
        <f t="shared" si="216"/>
        <v>1</v>
      </c>
      <c r="U2778">
        <f t="shared" si="217"/>
        <v>0</v>
      </c>
      <c r="V2778">
        <f t="shared" si="218"/>
        <v>0</v>
      </c>
      <c r="W2778">
        <f t="shared" si="219"/>
        <v>0</v>
      </c>
      <c r="X2778">
        <v>1</v>
      </c>
      <c r="Y2778" s="2">
        <v>45768</v>
      </c>
      <c r="Z2778" s="3" t="s">
        <v>118</v>
      </c>
      <c r="AA2778" t="s">
        <v>39</v>
      </c>
      <c r="AB2778" t="s">
        <v>49</v>
      </c>
      <c r="AC2778" s="5" t="s">
        <v>50</v>
      </c>
      <c r="AD2778" t="s">
        <v>184</v>
      </c>
    </row>
    <row r="2779" spans="2:30">
      <c r="B2779">
        <v>0</v>
      </c>
      <c r="C2779">
        <v>1020</v>
      </c>
      <c r="D2779" t="s">
        <v>181</v>
      </c>
      <c r="E2779">
        <v>14183738</v>
      </c>
      <c r="F2779" t="s">
        <v>2865</v>
      </c>
      <c r="G2779" t="s">
        <v>43</v>
      </c>
      <c r="H2779" t="s">
        <v>60</v>
      </c>
      <c r="I2779" t="s">
        <v>183</v>
      </c>
      <c r="J2779" t="s">
        <v>45</v>
      </c>
      <c r="K2779" t="s">
        <v>35</v>
      </c>
      <c r="L2779" t="s">
        <v>36</v>
      </c>
      <c r="M2779" t="s">
        <v>46</v>
      </c>
      <c r="N2779">
        <v>2</v>
      </c>
      <c r="O2779">
        <v>2</v>
      </c>
      <c r="P2779">
        <v>1</v>
      </c>
      <c r="Q2779">
        <v>0</v>
      </c>
      <c r="R2779">
        <v>0</v>
      </c>
      <c r="S2779" t="str">
        <f t="shared" si="215"/>
        <v>PY: Media Crit.</v>
      </c>
      <c r="T2779">
        <f t="shared" si="216"/>
        <v>1</v>
      </c>
      <c r="U2779">
        <f t="shared" si="217"/>
        <v>0</v>
      </c>
      <c r="V2779">
        <f t="shared" si="218"/>
        <v>0</v>
      </c>
      <c r="W2779">
        <f t="shared" si="219"/>
        <v>0</v>
      </c>
      <c r="X2779">
        <v>1</v>
      </c>
      <c r="Y2779" s="2">
        <v>45768</v>
      </c>
      <c r="Z2779" s="3" t="s">
        <v>47</v>
      </c>
      <c r="AA2779" t="s">
        <v>39</v>
      </c>
      <c r="AB2779" t="s">
        <v>49</v>
      </c>
      <c r="AC2779" s="5" t="s">
        <v>50</v>
      </c>
      <c r="AD2779" t="s">
        <v>184</v>
      </c>
    </row>
    <row r="2780" spans="2:30">
      <c r="B2780">
        <v>0</v>
      </c>
      <c r="C2780">
        <v>1020</v>
      </c>
      <c r="D2780" t="s">
        <v>181</v>
      </c>
      <c r="E2780">
        <v>14183740</v>
      </c>
      <c r="F2780" t="s">
        <v>2866</v>
      </c>
      <c r="G2780" t="s">
        <v>43</v>
      </c>
      <c r="H2780" t="s">
        <v>60</v>
      </c>
      <c r="I2780" t="s">
        <v>183</v>
      </c>
      <c r="J2780" t="s">
        <v>45</v>
      </c>
      <c r="K2780" t="s">
        <v>35</v>
      </c>
      <c r="L2780" t="s">
        <v>36</v>
      </c>
      <c r="M2780" t="s">
        <v>117</v>
      </c>
      <c r="N2780">
        <v>2</v>
      </c>
      <c r="O2780">
        <v>2</v>
      </c>
      <c r="P2780">
        <v>1</v>
      </c>
      <c r="Q2780">
        <v>0</v>
      </c>
      <c r="R2780">
        <v>0</v>
      </c>
      <c r="S2780" t="str">
        <f t="shared" si="215"/>
        <v>PY: Media Crit.</v>
      </c>
      <c r="T2780">
        <f t="shared" si="216"/>
        <v>1</v>
      </c>
      <c r="U2780">
        <f t="shared" si="217"/>
        <v>0</v>
      </c>
      <c r="V2780">
        <f t="shared" si="218"/>
        <v>0</v>
      </c>
      <c r="W2780">
        <f t="shared" si="219"/>
        <v>0</v>
      </c>
      <c r="X2780">
        <v>1</v>
      </c>
      <c r="Y2780" s="2">
        <v>45768</v>
      </c>
      <c r="Z2780" s="3" t="s">
        <v>118</v>
      </c>
      <c r="AA2780" t="s">
        <v>39</v>
      </c>
      <c r="AB2780" t="s">
        <v>49</v>
      </c>
      <c r="AC2780" s="5" t="s">
        <v>50</v>
      </c>
      <c r="AD2780" t="s">
        <v>184</v>
      </c>
    </row>
    <row r="2781" spans="2:30">
      <c r="B2781">
        <v>0</v>
      </c>
      <c r="C2781">
        <v>1020</v>
      </c>
      <c r="D2781" t="s">
        <v>181</v>
      </c>
      <c r="E2781">
        <v>14183743</v>
      </c>
      <c r="F2781" t="s">
        <v>2867</v>
      </c>
      <c r="G2781" t="s">
        <v>43</v>
      </c>
      <c r="H2781" t="s">
        <v>60</v>
      </c>
      <c r="I2781" t="s">
        <v>183</v>
      </c>
      <c r="J2781" t="s">
        <v>45</v>
      </c>
      <c r="K2781" t="s">
        <v>35</v>
      </c>
      <c r="L2781" t="s">
        <v>36</v>
      </c>
      <c r="M2781" t="s">
        <v>46</v>
      </c>
      <c r="N2781">
        <v>2</v>
      </c>
      <c r="O2781">
        <v>2</v>
      </c>
      <c r="P2781">
        <v>1</v>
      </c>
      <c r="Q2781">
        <v>0</v>
      </c>
      <c r="R2781">
        <v>0</v>
      </c>
      <c r="S2781" t="str">
        <f t="shared" si="215"/>
        <v>PY: Media Crit.</v>
      </c>
      <c r="T2781">
        <f t="shared" si="216"/>
        <v>1</v>
      </c>
      <c r="U2781">
        <f t="shared" si="217"/>
        <v>0</v>
      </c>
      <c r="V2781">
        <f t="shared" si="218"/>
        <v>0</v>
      </c>
      <c r="W2781">
        <f t="shared" si="219"/>
        <v>0</v>
      </c>
      <c r="X2781">
        <v>1</v>
      </c>
      <c r="Y2781" s="2">
        <v>45768</v>
      </c>
      <c r="Z2781" s="3" t="s">
        <v>47</v>
      </c>
      <c r="AA2781" t="s">
        <v>39</v>
      </c>
      <c r="AB2781" t="s">
        <v>49</v>
      </c>
      <c r="AC2781" s="5" t="s">
        <v>50</v>
      </c>
      <c r="AD2781" t="s">
        <v>184</v>
      </c>
    </row>
    <row r="2782" spans="2:30">
      <c r="B2782">
        <v>0</v>
      </c>
      <c r="C2782">
        <v>1020</v>
      </c>
      <c r="D2782" t="s">
        <v>181</v>
      </c>
      <c r="E2782">
        <v>14183744</v>
      </c>
      <c r="F2782" t="s">
        <v>2868</v>
      </c>
      <c r="G2782" t="s">
        <v>43</v>
      </c>
      <c r="H2782" t="s">
        <v>60</v>
      </c>
      <c r="I2782" t="s">
        <v>183</v>
      </c>
      <c r="J2782" t="s">
        <v>45</v>
      </c>
      <c r="K2782" t="s">
        <v>35</v>
      </c>
      <c r="L2782" t="s">
        <v>36</v>
      </c>
      <c r="M2782" t="s">
        <v>46</v>
      </c>
      <c r="N2782">
        <v>2</v>
      </c>
      <c r="O2782">
        <v>2</v>
      </c>
      <c r="P2782">
        <v>1</v>
      </c>
      <c r="Q2782">
        <v>0</v>
      </c>
      <c r="R2782">
        <v>0</v>
      </c>
      <c r="S2782" t="str">
        <f t="shared" si="215"/>
        <v>PY: Media Crit.</v>
      </c>
      <c r="T2782">
        <f t="shared" si="216"/>
        <v>1</v>
      </c>
      <c r="U2782">
        <f t="shared" si="217"/>
        <v>0</v>
      </c>
      <c r="V2782">
        <f t="shared" si="218"/>
        <v>0</v>
      </c>
      <c r="W2782">
        <f t="shared" si="219"/>
        <v>0</v>
      </c>
      <c r="X2782">
        <v>1</v>
      </c>
      <c r="Y2782" s="2">
        <v>45768</v>
      </c>
      <c r="Z2782" s="3" t="s">
        <v>47</v>
      </c>
      <c r="AA2782" t="s">
        <v>39</v>
      </c>
      <c r="AB2782" t="s">
        <v>49</v>
      </c>
      <c r="AC2782" s="5" t="s">
        <v>50</v>
      </c>
      <c r="AD2782" t="s">
        <v>184</v>
      </c>
    </row>
    <row r="2783" spans="2:30">
      <c r="B2783">
        <v>0</v>
      </c>
      <c r="C2783">
        <v>1020</v>
      </c>
      <c r="D2783" t="s">
        <v>181</v>
      </c>
      <c r="E2783">
        <v>14183750</v>
      </c>
      <c r="F2783" t="s">
        <v>2869</v>
      </c>
      <c r="G2783" t="s">
        <v>43</v>
      </c>
      <c r="H2783" t="s">
        <v>60</v>
      </c>
      <c r="I2783" t="s">
        <v>183</v>
      </c>
      <c r="J2783" t="s">
        <v>45</v>
      </c>
      <c r="K2783" t="s">
        <v>35</v>
      </c>
      <c r="L2783" t="s">
        <v>36</v>
      </c>
      <c r="M2783" t="s">
        <v>117</v>
      </c>
      <c r="N2783">
        <v>2</v>
      </c>
      <c r="O2783">
        <v>2</v>
      </c>
      <c r="P2783">
        <v>1</v>
      </c>
      <c r="Q2783">
        <v>0</v>
      </c>
      <c r="R2783">
        <v>0</v>
      </c>
      <c r="S2783" t="str">
        <f t="shared" si="215"/>
        <v>PY: Media Crit.</v>
      </c>
      <c r="T2783">
        <f t="shared" si="216"/>
        <v>1</v>
      </c>
      <c r="U2783">
        <f t="shared" si="217"/>
        <v>0</v>
      </c>
      <c r="V2783">
        <f t="shared" si="218"/>
        <v>0</v>
      </c>
      <c r="W2783">
        <f t="shared" si="219"/>
        <v>0</v>
      </c>
      <c r="X2783">
        <v>1</v>
      </c>
      <c r="Y2783" s="2">
        <v>45768</v>
      </c>
      <c r="Z2783" s="3" t="s">
        <v>118</v>
      </c>
      <c r="AA2783" t="s">
        <v>39</v>
      </c>
      <c r="AB2783" t="s">
        <v>49</v>
      </c>
      <c r="AC2783" s="5" t="s">
        <v>50</v>
      </c>
      <c r="AD2783" t="s">
        <v>184</v>
      </c>
    </row>
    <row r="2784" spans="2:30">
      <c r="B2784">
        <v>0</v>
      </c>
      <c r="C2784">
        <v>1020</v>
      </c>
      <c r="D2784" t="s">
        <v>181</v>
      </c>
      <c r="E2784">
        <v>14183752</v>
      </c>
      <c r="F2784" t="s">
        <v>2870</v>
      </c>
      <c r="G2784" t="s">
        <v>43</v>
      </c>
      <c r="H2784" t="s">
        <v>60</v>
      </c>
      <c r="I2784" t="s">
        <v>183</v>
      </c>
      <c r="J2784" t="s">
        <v>45</v>
      </c>
      <c r="K2784" t="s">
        <v>35</v>
      </c>
      <c r="L2784" t="s">
        <v>36</v>
      </c>
      <c r="M2784" t="s">
        <v>46</v>
      </c>
      <c r="N2784">
        <v>2</v>
      </c>
      <c r="O2784">
        <v>2</v>
      </c>
      <c r="P2784">
        <v>1</v>
      </c>
      <c r="Q2784">
        <v>0</v>
      </c>
      <c r="R2784">
        <v>0</v>
      </c>
      <c r="S2784" t="str">
        <f t="shared" si="215"/>
        <v>PY: Media Crit.</v>
      </c>
      <c r="T2784">
        <f t="shared" si="216"/>
        <v>1</v>
      </c>
      <c r="U2784">
        <f t="shared" si="217"/>
        <v>0</v>
      </c>
      <c r="V2784">
        <f t="shared" si="218"/>
        <v>0</v>
      </c>
      <c r="W2784">
        <f t="shared" si="219"/>
        <v>0</v>
      </c>
      <c r="X2784">
        <v>1</v>
      </c>
      <c r="Y2784" s="2">
        <v>45768</v>
      </c>
      <c r="Z2784" s="3" t="s">
        <v>47</v>
      </c>
      <c r="AA2784" t="s">
        <v>39</v>
      </c>
      <c r="AB2784" t="s">
        <v>49</v>
      </c>
      <c r="AC2784" s="5" t="s">
        <v>50</v>
      </c>
      <c r="AD2784" t="s">
        <v>184</v>
      </c>
    </row>
    <row r="2785" spans="2:30">
      <c r="B2785">
        <v>0</v>
      </c>
      <c r="C2785">
        <v>1020</v>
      </c>
      <c r="D2785" t="s">
        <v>181</v>
      </c>
      <c r="E2785">
        <v>14183753</v>
      </c>
      <c r="F2785" t="s">
        <v>2871</v>
      </c>
      <c r="G2785" t="s">
        <v>43</v>
      </c>
      <c r="H2785" t="s">
        <v>60</v>
      </c>
      <c r="I2785" t="s">
        <v>183</v>
      </c>
      <c r="J2785" t="s">
        <v>45</v>
      </c>
      <c r="K2785" t="s">
        <v>35</v>
      </c>
      <c r="L2785" t="s">
        <v>36</v>
      </c>
      <c r="M2785" t="s">
        <v>117</v>
      </c>
      <c r="N2785">
        <v>2</v>
      </c>
      <c r="O2785">
        <v>2</v>
      </c>
      <c r="P2785">
        <v>1</v>
      </c>
      <c r="Q2785">
        <v>0</v>
      </c>
      <c r="R2785">
        <v>0</v>
      </c>
      <c r="S2785" t="str">
        <f t="shared" si="215"/>
        <v>PY: Media Crit.</v>
      </c>
      <c r="T2785">
        <f t="shared" si="216"/>
        <v>1</v>
      </c>
      <c r="U2785">
        <f t="shared" si="217"/>
        <v>0</v>
      </c>
      <c r="V2785">
        <f t="shared" si="218"/>
        <v>0</v>
      </c>
      <c r="W2785">
        <f t="shared" si="219"/>
        <v>0</v>
      </c>
      <c r="X2785">
        <v>1</v>
      </c>
      <c r="Y2785" s="2">
        <v>45768</v>
      </c>
      <c r="Z2785" s="3" t="s">
        <v>118</v>
      </c>
      <c r="AA2785" t="s">
        <v>39</v>
      </c>
      <c r="AB2785" t="s">
        <v>49</v>
      </c>
      <c r="AC2785" s="5" t="s">
        <v>50</v>
      </c>
      <c r="AD2785" t="s">
        <v>184</v>
      </c>
    </row>
    <row r="2786" spans="2:30">
      <c r="B2786">
        <v>0</v>
      </c>
      <c r="C2786">
        <v>1020</v>
      </c>
      <c r="D2786" t="s">
        <v>181</v>
      </c>
      <c r="E2786">
        <v>14183754</v>
      </c>
      <c r="F2786" t="s">
        <v>2872</v>
      </c>
      <c r="G2786" t="s">
        <v>43</v>
      </c>
      <c r="H2786" t="s">
        <v>60</v>
      </c>
      <c r="I2786" t="s">
        <v>183</v>
      </c>
      <c r="J2786" t="s">
        <v>45</v>
      </c>
      <c r="K2786" t="s">
        <v>35</v>
      </c>
      <c r="L2786" t="s">
        <v>36</v>
      </c>
      <c r="M2786" t="s">
        <v>46</v>
      </c>
      <c r="N2786">
        <v>2</v>
      </c>
      <c r="O2786">
        <v>2</v>
      </c>
      <c r="P2786">
        <v>1</v>
      </c>
      <c r="Q2786">
        <v>0</v>
      </c>
      <c r="R2786">
        <v>0</v>
      </c>
      <c r="S2786" t="str">
        <f t="shared" si="215"/>
        <v>PY: Media Crit.</v>
      </c>
      <c r="T2786">
        <f t="shared" si="216"/>
        <v>1</v>
      </c>
      <c r="U2786">
        <f t="shared" si="217"/>
        <v>0</v>
      </c>
      <c r="V2786">
        <f t="shared" si="218"/>
        <v>0</v>
      </c>
      <c r="W2786">
        <f t="shared" si="219"/>
        <v>0</v>
      </c>
      <c r="X2786">
        <v>1</v>
      </c>
      <c r="Y2786" s="2">
        <v>45768</v>
      </c>
      <c r="Z2786" s="3" t="s">
        <v>47</v>
      </c>
      <c r="AA2786" t="s">
        <v>39</v>
      </c>
      <c r="AB2786" t="s">
        <v>49</v>
      </c>
      <c r="AC2786" s="5" t="s">
        <v>50</v>
      </c>
      <c r="AD2786" t="s">
        <v>184</v>
      </c>
    </row>
    <row r="2787" spans="2:30">
      <c r="B2787">
        <v>0</v>
      </c>
      <c r="C2787">
        <v>1020</v>
      </c>
      <c r="D2787" t="s">
        <v>181</v>
      </c>
      <c r="E2787">
        <v>14183755</v>
      </c>
      <c r="F2787" t="s">
        <v>2873</v>
      </c>
      <c r="G2787" t="s">
        <v>43</v>
      </c>
      <c r="H2787" t="s">
        <v>60</v>
      </c>
      <c r="I2787" t="s">
        <v>183</v>
      </c>
      <c r="J2787" t="s">
        <v>45</v>
      </c>
      <c r="K2787" t="s">
        <v>35</v>
      </c>
      <c r="L2787" t="s">
        <v>36</v>
      </c>
      <c r="M2787" t="s">
        <v>117</v>
      </c>
      <c r="N2787">
        <v>2</v>
      </c>
      <c r="O2787">
        <v>2</v>
      </c>
      <c r="P2787">
        <v>1</v>
      </c>
      <c r="Q2787">
        <v>0</v>
      </c>
      <c r="R2787">
        <v>0</v>
      </c>
      <c r="S2787" t="str">
        <f t="shared" si="215"/>
        <v>PY: Media Crit.</v>
      </c>
      <c r="T2787">
        <f t="shared" si="216"/>
        <v>1</v>
      </c>
      <c r="U2787">
        <f t="shared" si="217"/>
        <v>0</v>
      </c>
      <c r="V2787">
        <f t="shared" si="218"/>
        <v>0</v>
      </c>
      <c r="W2787">
        <f t="shared" si="219"/>
        <v>0</v>
      </c>
      <c r="X2787">
        <v>1</v>
      </c>
      <c r="Y2787" s="2">
        <v>45768</v>
      </c>
      <c r="Z2787" s="3" t="s">
        <v>118</v>
      </c>
      <c r="AA2787" t="s">
        <v>39</v>
      </c>
      <c r="AB2787" t="s">
        <v>49</v>
      </c>
      <c r="AC2787" s="5" t="s">
        <v>50</v>
      </c>
      <c r="AD2787" t="s">
        <v>184</v>
      </c>
    </row>
    <row r="2788" spans="2:30">
      <c r="B2788">
        <v>0</v>
      </c>
      <c r="C2788">
        <v>1020</v>
      </c>
      <c r="D2788" t="s">
        <v>181</v>
      </c>
      <c r="E2788">
        <v>14183756</v>
      </c>
      <c r="F2788" t="s">
        <v>2874</v>
      </c>
      <c r="G2788" t="s">
        <v>43</v>
      </c>
      <c r="H2788" t="s">
        <v>60</v>
      </c>
      <c r="I2788" t="s">
        <v>183</v>
      </c>
      <c r="J2788" t="s">
        <v>45</v>
      </c>
      <c r="K2788" t="s">
        <v>35</v>
      </c>
      <c r="L2788" t="s">
        <v>36</v>
      </c>
      <c r="M2788" t="s">
        <v>46</v>
      </c>
      <c r="N2788">
        <v>2</v>
      </c>
      <c r="O2788">
        <v>2</v>
      </c>
      <c r="P2788">
        <v>1</v>
      </c>
      <c r="Q2788">
        <v>0</v>
      </c>
      <c r="R2788">
        <v>0</v>
      </c>
      <c r="S2788" t="str">
        <f t="shared" si="215"/>
        <v>PY: Media Crit.</v>
      </c>
      <c r="T2788">
        <f t="shared" si="216"/>
        <v>1</v>
      </c>
      <c r="U2788">
        <f t="shared" si="217"/>
        <v>0</v>
      </c>
      <c r="V2788">
        <f t="shared" si="218"/>
        <v>0</v>
      </c>
      <c r="W2788">
        <f t="shared" si="219"/>
        <v>0</v>
      </c>
      <c r="X2788">
        <v>1</v>
      </c>
      <c r="Y2788" s="2">
        <v>45768</v>
      </c>
      <c r="Z2788" s="3" t="s">
        <v>47</v>
      </c>
      <c r="AA2788" t="s">
        <v>39</v>
      </c>
      <c r="AB2788" t="s">
        <v>49</v>
      </c>
      <c r="AC2788" s="5" t="s">
        <v>50</v>
      </c>
      <c r="AD2788" t="s">
        <v>184</v>
      </c>
    </row>
    <row r="2789" spans="2:30">
      <c r="B2789">
        <v>0</v>
      </c>
      <c r="C2789">
        <v>1020</v>
      </c>
      <c r="D2789" t="s">
        <v>181</v>
      </c>
      <c r="E2789">
        <v>14183758</v>
      </c>
      <c r="F2789" t="s">
        <v>2875</v>
      </c>
      <c r="G2789" t="s">
        <v>43</v>
      </c>
      <c r="H2789" t="s">
        <v>60</v>
      </c>
      <c r="I2789" t="s">
        <v>183</v>
      </c>
      <c r="J2789" t="s">
        <v>45</v>
      </c>
      <c r="K2789" t="s">
        <v>35</v>
      </c>
      <c r="L2789" t="s">
        <v>36</v>
      </c>
      <c r="M2789" t="s">
        <v>46</v>
      </c>
      <c r="N2789">
        <v>2</v>
      </c>
      <c r="O2789">
        <v>2</v>
      </c>
      <c r="P2789">
        <v>1</v>
      </c>
      <c r="Q2789">
        <v>0</v>
      </c>
      <c r="R2789">
        <v>0</v>
      </c>
      <c r="S2789" t="str">
        <f t="shared" si="215"/>
        <v>PY: Media Crit.</v>
      </c>
      <c r="T2789">
        <f t="shared" si="216"/>
        <v>1</v>
      </c>
      <c r="U2789">
        <f t="shared" si="217"/>
        <v>0</v>
      </c>
      <c r="V2789">
        <f t="shared" si="218"/>
        <v>0</v>
      </c>
      <c r="W2789">
        <f t="shared" si="219"/>
        <v>0</v>
      </c>
      <c r="X2789">
        <v>1</v>
      </c>
      <c r="Y2789" s="2">
        <v>45768</v>
      </c>
      <c r="Z2789" s="3" t="s">
        <v>47</v>
      </c>
      <c r="AA2789" t="s">
        <v>39</v>
      </c>
      <c r="AB2789" t="s">
        <v>49</v>
      </c>
      <c r="AC2789" s="5" t="s">
        <v>50</v>
      </c>
      <c r="AD2789" t="s">
        <v>184</v>
      </c>
    </row>
    <row r="2790" spans="2:30">
      <c r="B2790">
        <v>0</v>
      </c>
      <c r="C2790">
        <v>1020</v>
      </c>
      <c r="D2790" t="s">
        <v>181</v>
      </c>
      <c r="E2790">
        <v>14183759</v>
      </c>
      <c r="F2790" t="s">
        <v>2876</v>
      </c>
      <c r="G2790" t="s">
        <v>43</v>
      </c>
      <c r="H2790" t="s">
        <v>60</v>
      </c>
      <c r="I2790" t="s">
        <v>183</v>
      </c>
      <c r="J2790" t="s">
        <v>45</v>
      </c>
      <c r="K2790" t="s">
        <v>35</v>
      </c>
      <c r="L2790" t="s">
        <v>36</v>
      </c>
      <c r="M2790" t="s">
        <v>117</v>
      </c>
      <c r="N2790">
        <v>2</v>
      </c>
      <c r="O2790">
        <v>2</v>
      </c>
      <c r="P2790">
        <v>1</v>
      </c>
      <c r="Q2790">
        <v>0</v>
      </c>
      <c r="R2790">
        <v>0</v>
      </c>
      <c r="S2790" t="str">
        <f t="shared" si="215"/>
        <v>PY: Media Crit.</v>
      </c>
      <c r="T2790">
        <f t="shared" si="216"/>
        <v>1</v>
      </c>
      <c r="U2790">
        <f t="shared" si="217"/>
        <v>0</v>
      </c>
      <c r="V2790">
        <f t="shared" si="218"/>
        <v>0</v>
      </c>
      <c r="W2790">
        <f t="shared" si="219"/>
        <v>0</v>
      </c>
      <c r="X2790">
        <v>1</v>
      </c>
      <c r="Y2790" s="2">
        <v>45768</v>
      </c>
      <c r="Z2790" s="3" t="s">
        <v>118</v>
      </c>
      <c r="AA2790" t="s">
        <v>39</v>
      </c>
      <c r="AB2790" t="s">
        <v>49</v>
      </c>
      <c r="AC2790" s="5" t="s">
        <v>50</v>
      </c>
      <c r="AD2790" t="s">
        <v>184</v>
      </c>
    </row>
    <row r="2791" spans="2:30">
      <c r="B2791">
        <v>0</v>
      </c>
      <c r="C2791">
        <v>1020</v>
      </c>
      <c r="D2791" t="s">
        <v>181</v>
      </c>
      <c r="E2791">
        <v>14183761</v>
      </c>
      <c r="F2791" t="s">
        <v>2877</v>
      </c>
      <c r="G2791" t="s">
        <v>43</v>
      </c>
      <c r="H2791" t="s">
        <v>60</v>
      </c>
      <c r="I2791" t="s">
        <v>183</v>
      </c>
      <c r="J2791" t="s">
        <v>45</v>
      </c>
      <c r="K2791" t="s">
        <v>35</v>
      </c>
      <c r="L2791" t="s">
        <v>36</v>
      </c>
      <c r="M2791" t="s">
        <v>117</v>
      </c>
      <c r="N2791">
        <v>2</v>
      </c>
      <c r="O2791">
        <v>2</v>
      </c>
      <c r="P2791">
        <v>1</v>
      </c>
      <c r="Q2791">
        <v>0</v>
      </c>
      <c r="R2791">
        <v>0</v>
      </c>
      <c r="S2791" t="str">
        <f t="shared" si="215"/>
        <v>PY: Media Crit.</v>
      </c>
      <c r="T2791">
        <f t="shared" si="216"/>
        <v>1</v>
      </c>
      <c r="U2791">
        <f t="shared" si="217"/>
        <v>0</v>
      </c>
      <c r="V2791">
        <f t="shared" si="218"/>
        <v>0</v>
      </c>
      <c r="W2791">
        <f t="shared" si="219"/>
        <v>0</v>
      </c>
      <c r="X2791">
        <v>1</v>
      </c>
      <c r="Y2791" s="2">
        <v>45768</v>
      </c>
      <c r="Z2791" s="3" t="s">
        <v>118</v>
      </c>
      <c r="AA2791" t="s">
        <v>39</v>
      </c>
      <c r="AB2791" t="s">
        <v>49</v>
      </c>
      <c r="AC2791" s="5" t="s">
        <v>50</v>
      </c>
      <c r="AD2791" t="s">
        <v>184</v>
      </c>
    </row>
    <row r="2792" spans="2:30">
      <c r="B2792">
        <v>0</v>
      </c>
      <c r="C2792">
        <v>1020</v>
      </c>
      <c r="D2792" t="s">
        <v>181</v>
      </c>
      <c r="E2792">
        <v>14183762</v>
      </c>
      <c r="F2792" t="s">
        <v>2878</v>
      </c>
      <c r="G2792" t="s">
        <v>43</v>
      </c>
      <c r="H2792" t="s">
        <v>60</v>
      </c>
      <c r="I2792" t="s">
        <v>183</v>
      </c>
      <c r="J2792" t="s">
        <v>45</v>
      </c>
      <c r="K2792" t="s">
        <v>35</v>
      </c>
      <c r="L2792" t="s">
        <v>36</v>
      </c>
      <c r="M2792" t="s">
        <v>117</v>
      </c>
      <c r="N2792">
        <v>2</v>
      </c>
      <c r="O2792">
        <v>2</v>
      </c>
      <c r="P2792">
        <v>1</v>
      </c>
      <c r="Q2792">
        <v>0</v>
      </c>
      <c r="R2792">
        <v>0</v>
      </c>
      <c r="S2792" t="str">
        <f t="shared" si="215"/>
        <v>PY: Media Crit.</v>
      </c>
      <c r="T2792">
        <f t="shared" si="216"/>
        <v>1</v>
      </c>
      <c r="U2792">
        <f t="shared" si="217"/>
        <v>0</v>
      </c>
      <c r="V2792">
        <f t="shared" si="218"/>
        <v>0</v>
      </c>
      <c r="W2792">
        <f t="shared" si="219"/>
        <v>0</v>
      </c>
      <c r="X2792">
        <v>1</v>
      </c>
      <c r="Y2792" s="2">
        <v>45768</v>
      </c>
      <c r="Z2792" s="3" t="s">
        <v>118</v>
      </c>
      <c r="AA2792" t="s">
        <v>39</v>
      </c>
      <c r="AB2792" t="s">
        <v>49</v>
      </c>
      <c r="AC2792" s="5" t="s">
        <v>50</v>
      </c>
      <c r="AD2792" t="s">
        <v>184</v>
      </c>
    </row>
    <row r="2793" spans="2:30">
      <c r="B2793">
        <v>0</v>
      </c>
      <c r="C2793">
        <v>1020</v>
      </c>
      <c r="D2793" t="s">
        <v>181</v>
      </c>
      <c r="E2793">
        <v>14183764</v>
      </c>
      <c r="F2793" t="s">
        <v>2879</v>
      </c>
      <c r="G2793" t="s">
        <v>43</v>
      </c>
      <c r="H2793" t="s">
        <v>60</v>
      </c>
      <c r="I2793" t="s">
        <v>183</v>
      </c>
      <c r="J2793" t="s">
        <v>45</v>
      </c>
      <c r="K2793" t="s">
        <v>35</v>
      </c>
      <c r="L2793" t="s">
        <v>36</v>
      </c>
      <c r="M2793" t="s">
        <v>117</v>
      </c>
      <c r="N2793">
        <v>2</v>
      </c>
      <c r="O2793">
        <v>2</v>
      </c>
      <c r="P2793">
        <v>1</v>
      </c>
      <c r="Q2793">
        <v>0</v>
      </c>
      <c r="R2793">
        <v>0</v>
      </c>
      <c r="S2793" t="str">
        <f t="shared" si="215"/>
        <v>PY: Media Crit.</v>
      </c>
      <c r="T2793">
        <f t="shared" si="216"/>
        <v>1</v>
      </c>
      <c r="U2793">
        <f t="shared" si="217"/>
        <v>0</v>
      </c>
      <c r="V2793">
        <f t="shared" si="218"/>
        <v>0</v>
      </c>
      <c r="W2793">
        <f t="shared" si="219"/>
        <v>0</v>
      </c>
      <c r="X2793">
        <v>1</v>
      </c>
      <c r="Y2793" s="2">
        <v>45768</v>
      </c>
      <c r="Z2793" s="3" t="s">
        <v>118</v>
      </c>
      <c r="AA2793" t="s">
        <v>39</v>
      </c>
      <c r="AB2793" t="s">
        <v>49</v>
      </c>
      <c r="AC2793" s="5" t="s">
        <v>50</v>
      </c>
      <c r="AD2793" t="s">
        <v>184</v>
      </c>
    </row>
    <row r="2794" spans="2:30">
      <c r="B2794">
        <v>0</v>
      </c>
      <c r="C2794">
        <v>1020</v>
      </c>
      <c r="D2794" t="s">
        <v>181</v>
      </c>
      <c r="E2794">
        <v>14183765</v>
      </c>
      <c r="F2794" t="s">
        <v>2880</v>
      </c>
      <c r="G2794" t="s">
        <v>43</v>
      </c>
      <c r="H2794" t="s">
        <v>60</v>
      </c>
      <c r="I2794" t="s">
        <v>183</v>
      </c>
      <c r="J2794" t="s">
        <v>45</v>
      </c>
      <c r="K2794" t="s">
        <v>35</v>
      </c>
      <c r="L2794" t="s">
        <v>36</v>
      </c>
      <c r="M2794" t="s">
        <v>117</v>
      </c>
      <c r="N2794">
        <v>2</v>
      </c>
      <c r="O2794">
        <v>2</v>
      </c>
      <c r="P2794">
        <v>1</v>
      </c>
      <c r="Q2794">
        <v>0</v>
      </c>
      <c r="R2794">
        <v>0</v>
      </c>
      <c r="S2794" t="str">
        <f t="shared" si="215"/>
        <v>PY: Media Crit.</v>
      </c>
      <c r="T2794">
        <f t="shared" si="216"/>
        <v>1</v>
      </c>
      <c r="U2794">
        <f t="shared" si="217"/>
        <v>0</v>
      </c>
      <c r="V2794">
        <f t="shared" si="218"/>
        <v>0</v>
      </c>
      <c r="W2794">
        <f t="shared" si="219"/>
        <v>0</v>
      </c>
      <c r="X2794">
        <v>1</v>
      </c>
      <c r="Y2794" s="2">
        <v>45768</v>
      </c>
      <c r="Z2794" s="3" t="s">
        <v>118</v>
      </c>
      <c r="AA2794" t="s">
        <v>39</v>
      </c>
      <c r="AB2794" t="s">
        <v>49</v>
      </c>
      <c r="AC2794" s="5" t="s">
        <v>50</v>
      </c>
      <c r="AD2794" t="s">
        <v>184</v>
      </c>
    </row>
    <row r="2795" spans="2:30">
      <c r="B2795">
        <v>0</v>
      </c>
      <c r="C2795">
        <v>1020</v>
      </c>
      <c r="D2795" t="s">
        <v>181</v>
      </c>
      <c r="E2795">
        <v>14183767</v>
      </c>
      <c r="F2795" t="s">
        <v>2881</v>
      </c>
      <c r="G2795" t="s">
        <v>43</v>
      </c>
      <c r="H2795" t="s">
        <v>60</v>
      </c>
      <c r="I2795" t="s">
        <v>183</v>
      </c>
      <c r="J2795" t="s">
        <v>45</v>
      </c>
      <c r="K2795" t="s">
        <v>35</v>
      </c>
      <c r="L2795" t="s">
        <v>36</v>
      </c>
      <c r="M2795" t="s">
        <v>117</v>
      </c>
      <c r="N2795">
        <v>2</v>
      </c>
      <c r="O2795">
        <v>2</v>
      </c>
      <c r="P2795">
        <v>1</v>
      </c>
      <c r="Q2795">
        <v>0</v>
      </c>
      <c r="R2795">
        <v>0</v>
      </c>
      <c r="S2795" t="str">
        <f t="shared" si="215"/>
        <v>PY: Media Crit.</v>
      </c>
      <c r="T2795">
        <f t="shared" si="216"/>
        <v>1</v>
      </c>
      <c r="U2795">
        <f t="shared" si="217"/>
        <v>0</v>
      </c>
      <c r="V2795">
        <f t="shared" si="218"/>
        <v>0</v>
      </c>
      <c r="W2795">
        <f t="shared" si="219"/>
        <v>0</v>
      </c>
      <c r="X2795">
        <v>1</v>
      </c>
      <c r="Y2795" s="2">
        <v>45768</v>
      </c>
      <c r="Z2795" s="3" t="s">
        <v>118</v>
      </c>
      <c r="AA2795" t="s">
        <v>39</v>
      </c>
      <c r="AB2795" t="s">
        <v>49</v>
      </c>
      <c r="AC2795" s="5" t="s">
        <v>50</v>
      </c>
      <c r="AD2795" t="s">
        <v>184</v>
      </c>
    </row>
    <row r="2796" spans="2:30">
      <c r="B2796">
        <v>0</v>
      </c>
      <c r="C2796">
        <v>1020</v>
      </c>
      <c r="D2796" t="s">
        <v>181</v>
      </c>
      <c r="E2796">
        <v>14183768</v>
      </c>
      <c r="F2796" t="s">
        <v>2882</v>
      </c>
      <c r="G2796" t="s">
        <v>43</v>
      </c>
      <c r="H2796" t="s">
        <v>60</v>
      </c>
      <c r="I2796" t="s">
        <v>183</v>
      </c>
      <c r="J2796" t="s">
        <v>45</v>
      </c>
      <c r="K2796" t="s">
        <v>35</v>
      </c>
      <c r="L2796" t="s">
        <v>36</v>
      </c>
      <c r="M2796" t="s">
        <v>117</v>
      </c>
      <c r="N2796">
        <v>2</v>
      </c>
      <c r="O2796">
        <v>2</v>
      </c>
      <c r="P2796">
        <v>1</v>
      </c>
      <c r="Q2796">
        <v>0</v>
      </c>
      <c r="R2796">
        <v>0</v>
      </c>
      <c r="S2796" t="str">
        <f t="shared" si="215"/>
        <v>PY: Media Crit.</v>
      </c>
      <c r="T2796">
        <f t="shared" si="216"/>
        <v>1</v>
      </c>
      <c r="U2796">
        <f t="shared" si="217"/>
        <v>0</v>
      </c>
      <c r="V2796">
        <f t="shared" si="218"/>
        <v>0</v>
      </c>
      <c r="W2796">
        <f t="shared" si="219"/>
        <v>0</v>
      </c>
      <c r="X2796">
        <v>1</v>
      </c>
      <c r="Y2796" s="2">
        <v>45768</v>
      </c>
      <c r="Z2796" s="3" t="s">
        <v>118</v>
      </c>
      <c r="AA2796" t="s">
        <v>39</v>
      </c>
      <c r="AB2796" t="s">
        <v>49</v>
      </c>
      <c r="AC2796" s="5" t="s">
        <v>50</v>
      </c>
      <c r="AD2796" t="s">
        <v>184</v>
      </c>
    </row>
    <row r="2797" spans="2:30">
      <c r="B2797">
        <v>0</v>
      </c>
      <c r="C2797">
        <v>1020</v>
      </c>
      <c r="D2797" t="s">
        <v>181</v>
      </c>
      <c r="E2797">
        <v>14183769</v>
      </c>
      <c r="F2797" t="s">
        <v>2883</v>
      </c>
      <c r="G2797" t="s">
        <v>43</v>
      </c>
      <c r="H2797" t="s">
        <v>60</v>
      </c>
      <c r="I2797" t="s">
        <v>183</v>
      </c>
      <c r="J2797" t="s">
        <v>45</v>
      </c>
      <c r="K2797" t="s">
        <v>35</v>
      </c>
      <c r="L2797" t="s">
        <v>36</v>
      </c>
      <c r="M2797" t="s">
        <v>117</v>
      </c>
      <c r="N2797">
        <v>2</v>
      </c>
      <c r="O2797">
        <v>2</v>
      </c>
      <c r="P2797">
        <v>1</v>
      </c>
      <c r="Q2797">
        <v>0</v>
      </c>
      <c r="R2797">
        <v>0</v>
      </c>
      <c r="S2797" t="str">
        <f t="shared" si="215"/>
        <v>PY: Media Crit.</v>
      </c>
      <c r="T2797">
        <f t="shared" si="216"/>
        <v>1</v>
      </c>
      <c r="U2797">
        <f t="shared" si="217"/>
        <v>0</v>
      </c>
      <c r="V2797">
        <f t="shared" si="218"/>
        <v>0</v>
      </c>
      <c r="W2797">
        <f t="shared" si="219"/>
        <v>0</v>
      </c>
      <c r="X2797">
        <v>1</v>
      </c>
      <c r="Y2797" s="2">
        <v>45768</v>
      </c>
      <c r="Z2797" s="3" t="s">
        <v>118</v>
      </c>
      <c r="AA2797" t="s">
        <v>39</v>
      </c>
      <c r="AB2797" t="s">
        <v>49</v>
      </c>
      <c r="AC2797" s="5" t="s">
        <v>50</v>
      </c>
      <c r="AD2797" t="s">
        <v>184</v>
      </c>
    </row>
    <row r="2798" spans="2:30">
      <c r="B2798">
        <v>0</v>
      </c>
      <c r="C2798">
        <v>1020</v>
      </c>
      <c r="D2798" t="s">
        <v>181</v>
      </c>
      <c r="E2798">
        <v>14183770</v>
      </c>
      <c r="F2798" t="s">
        <v>2884</v>
      </c>
      <c r="G2798" t="s">
        <v>43</v>
      </c>
      <c r="H2798" t="s">
        <v>60</v>
      </c>
      <c r="I2798" t="s">
        <v>183</v>
      </c>
      <c r="J2798" t="s">
        <v>45</v>
      </c>
      <c r="K2798" t="s">
        <v>35</v>
      </c>
      <c r="L2798" t="s">
        <v>36</v>
      </c>
      <c r="M2798" t="s">
        <v>117</v>
      </c>
      <c r="N2798">
        <v>2</v>
      </c>
      <c r="O2798">
        <v>2</v>
      </c>
      <c r="P2798">
        <v>1</v>
      </c>
      <c r="Q2798">
        <v>0</v>
      </c>
      <c r="R2798">
        <v>0</v>
      </c>
      <c r="S2798" t="str">
        <f t="shared" si="215"/>
        <v>PY: Media Crit.</v>
      </c>
      <c r="T2798">
        <f t="shared" si="216"/>
        <v>1</v>
      </c>
      <c r="U2798">
        <f t="shared" si="217"/>
        <v>0</v>
      </c>
      <c r="V2798">
        <f t="shared" si="218"/>
        <v>0</v>
      </c>
      <c r="W2798">
        <f t="shared" si="219"/>
        <v>0</v>
      </c>
      <c r="X2798">
        <v>1</v>
      </c>
      <c r="Y2798" s="2">
        <v>45768</v>
      </c>
      <c r="Z2798" s="3" t="s">
        <v>118</v>
      </c>
      <c r="AA2798" t="s">
        <v>39</v>
      </c>
      <c r="AB2798" t="s">
        <v>49</v>
      </c>
      <c r="AC2798" s="5" t="s">
        <v>50</v>
      </c>
      <c r="AD2798" t="s">
        <v>184</v>
      </c>
    </row>
    <row r="2799" spans="2:30">
      <c r="B2799">
        <v>0</v>
      </c>
      <c r="C2799">
        <v>1020</v>
      </c>
      <c r="D2799" t="s">
        <v>181</v>
      </c>
      <c r="E2799">
        <v>14183771</v>
      </c>
      <c r="F2799" t="s">
        <v>2885</v>
      </c>
      <c r="G2799" t="s">
        <v>43</v>
      </c>
      <c r="H2799" t="s">
        <v>60</v>
      </c>
      <c r="I2799" t="s">
        <v>183</v>
      </c>
      <c r="J2799" t="s">
        <v>45</v>
      </c>
      <c r="K2799" t="s">
        <v>35</v>
      </c>
      <c r="L2799" t="s">
        <v>36</v>
      </c>
      <c r="M2799" t="s">
        <v>117</v>
      </c>
      <c r="N2799">
        <v>2</v>
      </c>
      <c r="O2799">
        <v>2</v>
      </c>
      <c r="P2799">
        <v>1</v>
      </c>
      <c r="Q2799">
        <v>0</v>
      </c>
      <c r="R2799">
        <v>0</v>
      </c>
      <c r="S2799" t="str">
        <f t="shared" si="215"/>
        <v>PY: Media Crit.</v>
      </c>
      <c r="T2799">
        <f t="shared" si="216"/>
        <v>1</v>
      </c>
      <c r="U2799">
        <f t="shared" si="217"/>
        <v>0</v>
      </c>
      <c r="V2799">
        <f t="shared" si="218"/>
        <v>0</v>
      </c>
      <c r="W2799">
        <f t="shared" si="219"/>
        <v>0</v>
      </c>
      <c r="X2799">
        <v>1</v>
      </c>
      <c r="Y2799" s="2">
        <v>45768</v>
      </c>
      <c r="Z2799" s="3" t="s">
        <v>118</v>
      </c>
      <c r="AA2799" t="s">
        <v>39</v>
      </c>
      <c r="AB2799" t="s">
        <v>49</v>
      </c>
      <c r="AC2799" s="5" t="s">
        <v>50</v>
      </c>
      <c r="AD2799" t="s">
        <v>184</v>
      </c>
    </row>
    <row r="2800" spans="2:30">
      <c r="B2800">
        <v>0</v>
      </c>
      <c r="C2800">
        <v>1020</v>
      </c>
      <c r="D2800" t="s">
        <v>181</v>
      </c>
      <c r="E2800">
        <v>14183773</v>
      </c>
      <c r="F2800" t="s">
        <v>2884</v>
      </c>
      <c r="G2800" t="s">
        <v>43</v>
      </c>
      <c r="H2800" t="s">
        <v>60</v>
      </c>
      <c r="I2800" t="s">
        <v>183</v>
      </c>
      <c r="J2800" t="s">
        <v>45</v>
      </c>
      <c r="K2800" t="s">
        <v>35</v>
      </c>
      <c r="L2800" t="s">
        <v>36</v>
      </c>
      <c r="M2800" t="s">
        <v>117</v>
      </c>
      <c r="N2800">
        <v>2</v>
      </c>
      <c r="O2800">
        <v>2</v>
      </c>
      <c r="P2800">
        <v>1</v>
      </c>
      <c r="Q2800">
        <v>0</v>
      </c>
      <c r="R2800">
        <v>0</v>
      </c>
      <c r="S2800" t="str">
        <f t="shared" si="215"/>
        <v>PY: Media Crit.</v>
      </c>
      <c r="T2800">
        <f t="shared" si="216"/>
        <v>1</v>
      </c>
      <c r="U2800">
        <f t="shared" si="217"/>
        <v>0</v>
      </c>
      <c r="V2800">
        <f t="shared" si="218"/>
        <v>0</v>
      </c>
      <c r="W2800">
        <f t="shared" si="219"/>
        <v>0</v>
      </c>
      <c r="X2800">
        <v>1</v>
      </c>
      <c r="Y2800" s="2">
        <v>45768</v>
      </c>
      <c r="Z2800" s="3" t="s">
        <v>118</v>
      </c>
      <c r="AA2800" t="s">
        <v>39</v>
      </c>
      <c r="AB2800" t="s">
        <v>49</v>
      </c>
      <c r="AC2800" s="5" t="s">
        <v>50</v>
      </c>
      <c r="AD2800" t="s">
        <v>184</v>
      </c>
    </row>
    <row r="2801" spans="2:30">
      <c r="B2801">
        <v>0</v>
      </c>
      <c r="C2801">
        <v>1020</v>
      </c>
      <c r="D2801" t="s">
        <v>388</v>
      </c>
      <c r="E2801">
        <v>14186695</v>
      </c>
      <c r="F2801" t="s">
        <v>2886</v>
      </c>
      <c r="G2801" t="s">
        <v>31</v>
      </c>
      <c r="H2801" t="s">
        <v>44</v>
      </c>
      <c r="I2801" t="s">
        <v>390</v>
      </c>
      <c r="J2801" t="s">
        <v>45</v>
      </c>
      <c r="K2801" t="s">
        <v>35</v>
      </c>
      <c r="L2801" t="s">
        <v>175</v>
      </c>
      <c r="M2801" t="s">
        <v>69</v>
      </c>
      <c r="N2801">
        <v>0</v>
      </c>
      <c r="O2801">
        <v>0</v>
      </c>
      <c r="P2801">
        <v>1</v>
      </c>
      <c r="Q2801">
        <v>1</v>
      </c>
      <c r="R2801">
        <v>0</v>
      </c>
      <c r="S2801" t="str">
        <f t="shared" si="215"/>
        <v>PX: Baja Crit.</v>
      </c>
      <c r="T2801">
        <f t="shared" si="216"/>
        <v>0</v>
      </c>
      <c r="U2801">
        <f t="shared" si="217"/>
        <v>1</v>
      </c>
      <c r="V2801">
        <f t="shared" si="218"/>
        <v>0</v>
      </c>
      <c r="W2801">
        <f t="shared" si="219"/>
        <v>1</v>
      </c>
      <c r="X2801">
        <v>1</v>
      </c>
      <c r="Y2801" s="2">
        <v>45768</v>
      </c>
      <c r="Z2801" s="3" t="s">
        <v>70</v>
      </c>
      <c r="AA2801" t="s">
        <v>39</v>
      </c>
      <c r="AB2801" t="s">
        <v>40</v>
      </c>
      <c r="AC2801" t="s">
        <v>40</v>
      </c>
      <c r="AD2801" t="s">
        <v>391</v>
      </c>
    </row>
    <row r="2802" spans="2:30">
      <c r="B2802">
        <v>0</v>
      </c>
      <c r="C2802">
        <v>1020</v>
      </c>
      <c r="D2802" t="s">
        <v>388</v>
      </c>
      <c r="E2802">
        <v>14187039</v>
      </c>
      <c r="F2802" t="s">
        <v>2887</v>
      </c>
      <c r="G2802" t="s">
        <v>43</v>
      </c>
      <c r="H2802" t="s">
        <v>44</v>
      </c>
      <c r="I2802" t="s">
        <v>390</v>
      </c>
      <c r="J2802" t="s">
        <v>45</v>
      </c>
      <c r="K2802" t="s">
        <v>35</v>
      </c>
      <c r="L2802" t="s">
        <v>175</v>
      </c>
      <c r="M2802" t="s">
        <v>55</v>
      </c>
      <c r="N2802">
        <v>0</v>
      </c>
      <c r="O2802">
        <v>0</v>
      </c>
      <c r="P2802">
        <v>2</v>
      </c>
      <c r="Q2802">
        <v>0</v>
      </c>
      <c r="R2802">
        <v>0</v>
      </c>
      <c r="S2802" t="str">
        <f t="shared" si="215"/>
        <v>PY: Media Crit.</v>
      </c>
      <c r="T2802">
        <f t="shared" si="216"/>
        <v>1</v>
      </c>
      <c r="U2802">
        <f t="shared" si="217"/>
        <v>0</v>
      </c>
      <c r="V2802">
        <f t="shared" si="218"/>
        <v>0</v>
      </c>
      <c r="W2802">
        <f t="shared" si="219"/>
        <v>0</v>
      </c>
      <c r="X2802">
        <v>1</v>
      </c>
      <c r="Y2802" s="2">
        <v>45768</v>
      </c>
      <c r="Z2802" s="3" t="s">
        <v>56</v>
      </c>
      <c r="AA2802" t="s">
        <v>39</v>
      </c>
      <c r="AB2802" t="s">
        <v>76</v>
      </c>
      <c r="AC2802" s="5" t="s">
        <v>77</v>
      </c>
      <c r="AD2802" t="s">
        <v>391</v>
      </c>
    </row>
    <row r="2803" spans="2:30">
      <c r="B2803">
        <v>0</v>
      </c>
      <c r="C2803">
        <v>1020</v>
      </c>
      <c r="D2803" t="s">
        <v>388</v>
      </c>
      <c r="E2803">
        <v>14187042</v>
      </c>
      <c r="F2803" t="s">
        <v>2888</v>
      </c>
      <c r="G2803" t="s">
        <v>43</v>
      </c>
      <c r="H2803" t="s">
        <v>44</v>
      </c>
      <c r="I2803" t="s">
        <v>390</v>
      </c>
      <c r="J2803" t="s">
        <v>45</v>
      </c>
      <c r="K2803" t="s">
        <v>35</v>
      </c>
      <c r="L2803" t="s">
        <v>175</v>
      </c>
      <c r="M2803" t="s">
        <v>55</v>
      </c>
      <c r="N2803">
        <v>0</v>
      </c>
      <c r="O2803">
        <v>0</v>
      </c>
      <c r="P2803">
        <v>2</v>
      </c>
      <c r="Q2803">
        <v>0</v>
      </c>
      <c r="R2803">
        <v>0</v>
      </c>
      <c r="S2803" t="str">
        <f t="shared" si="215"/>
        <v>PY: Media Crit.</v>
      </c>
      <c r="T2803">
        <f t="shared" si="216"/>
        <v>1</v>
      </c>
      <c r="U2803">
        <f t="shared" si="217"/>
        <v>0</v>
      </c>
      <c r="V2803">
        <f t="shared" si="218"/>
        <v>0</v>
      </c>
      <c r="W2803">
        <f t="shared" si="219"/>
        <v>0</v>
      </c>
      <c r="X2803">
        <v>1</v>
      </c>
      <c r="Y2803" s="2">
        <v>45768</v>
      </c>
      <c r="Z2803" s="3" t="s">
        <v>56</v>
      </c>
      <c r="AA2803" t="s">
        <v>39</v>
      </c>
      <c r="AB2803" t="s">
        <v>76</v>
      </c>
      <c r="AC2803" s="5" t="s">
        <v>77</v>
      </c>
      <c r="AD2803" t="s">
        <v>391</v>
      </c>
    </row>
    <row r="2804" spans="2:30">
      <c r="B2804">
        <v>0</v>
      </c>
      <c r="C2804">
        <v>1020</v>
      </c>
      <c r="D2804" t="s">
        <v>388</v>
      </c>
      <c r="E2804">
        <v>14187044</v>
      </c>
      <c r="F2804" t="s">
        <v>2889</v>
      </c>
      <c r="G2804" t="s">
        <v>43</v>
      </c>
      <c r="H2804" t="s">
        <v>44</v>
      </c>
      <c r="I2804" t="s">
        <v>390</v>
      </c>
      <c r="J2804" t="s">
        <v>45</v>
      </c>
      <c r="K2804" t="s">
        <v>35</v>
      </c>
      <c r="L2804" t="s">
        <v>175</v>
      </c>
      <c r="M2804" t="s">
        <v>55</v>
      </c>
      <c r="N2804">
        <v>0</v>
      </c>
      <c r="O2804">
        <v>0</v>
      </c>
      <c r="P2804">
        <v>2</v>
      </c>
      <c r="Q2804">
        <v>0</v>
      </c>
      <c r="R2804">
        <v>0</v>
      </c>
      <c r="S2804" t="str">
        <f t="shared" si="215"/>
        <v>PY: Media Crit.</v>
      </c>
      <c r="T2804">
        <f t="shared" si="216"/>
        <v>1</v>
      </c>
      <c r="U2804">
        <f t="shared" si="217"/>
        <v>0</v>
      </c>
      <c r="V2804">
        <f t="shared" si="218"/>
        <v>0</v>
      </c>
      <c r="W2804">
        <f t="shared" si="219"/>
        <v>0</v>
      </c>
      <c r="X2804">
        <v>1</v>
      </c>
      <c r="Y2804" s="2">
        <v>45768</v>
      </c>
      <c r="Z2804" s="3" t="s">
        <v>56</v>
      </c>
      <c r="AA2804" t="s">
        <v>39</v>
      </c>
      <c r="AB2804" t="s">
        <v>76</v>
      </c>
      <c r="AC2804" s="5" t="s">
        <v>77</v>
      </c>
      <c r="AD2804" t="s">
        <v>391</v>
      </c>
    </row>
    <row r="2805" spans="2:30">
      <c r="B2805">
        <v>0</v>
      </c>
      <c r="C2805">
        <v>1020</v>
      </c>
      <c r="D2805" t="s">
        <v>388</v>
      </c>
      <c r="E2805">
        <v>14188213</v>
      </c>
      <c r="F2805" t="s">
        <v>2890</v>
      </c>
      <c r="G2805" t="s">
        <v>43</v>
      </c>
      <c r="H2805" t="s">
        <v>44</v>
      </c>
      <c r="I2805" t="s">
        <v>390</v>
      </c>
      <c r="J2805" t="s">
        <v>45</v>
      </c>
      <c r="K2805" t="s">
        <v>35</v>
      </c>
      <c r="L2805" t="s">
        <v>175</v>
      </c>
      <c r="M2805" t="s">
        <v>69</v>
      </c>
      <c r="N2805">
        <v>0</v>
      </c>
      <c r="O2805">
        <v>0</v>
      </c>
      <c r="P2805">
        <v>1</v>
      </c>
      <c r="Q2805">
        <v>1</v>
      </c>
      <c r="R2805">
        <v>0</v>
      </c>
      <c r="S2805" t="str">
        <f t="shared" si="215"/>
        <v>PY: Media Crit.</v>
      </c>
      <c r="T2805">
        <f t="shared" si="216"/>
        <v>0</v>
      </c>
      <c r="U2805">
        <f t="shared" si="217"/>
        <v>1</v>
      </c>
      <c r="V2805">
        <f t="shared" si="218"/>
        <v>0</v>
      </c>
      <c r="W2805">
        <f t="shared" si="219"/>
        <v>1</v>
      </c>
      <c r="X2805">
        <v>1</v>
      </c>
      <c r="Y2805" s="2">
        <v>45768</v>
      </c>
      <c r="Z2805" s="3" t="s">
        <v>70</v>
      </c>
      <c r="AA2805" t="s">
        <v>39</v>
      </c>
      <c r="AB2805" t="s">
        <v>40</v>
      </c>
      <c r="AC2805" t="s">
        <v>40</v>
      </c>
      <c r="AD2805" t="s">
        <v>391</v>
      </c>
    </row>
    <row r="2806" spans="2:30">
      <c r="B2806">
        <v>0</v>
      </c>
      <c r="C2806">
        <v>1020</v>
      </c>
      <c r="D2806" t="s">
        <v>388</v>
      </c>
      <c r="E2806">
        <v>14188868</v>
      </c>
      <c r="F2806" t="s">
        <v>2891</v>
      </c>
      <c r="G2806" t="s">
        <v>31</v>
      </c>
      <c r="H2806" t="s">
        <v>44</v>
      </c>
      <c r="I2806" t="s">
        <v>390</v>
      </c>
      <c r="J2806" t="s">
        <v>45</v>
      </c>
      <c r="K2806" t="s">
        <v>35</v>
      </c>
      <c r="L2806" t="s">
        <v>175</v>
      </c>
      <c r="M2806" t="s">
        <v>117</v>
      </c>
      <c r="N2806">
        <v>0</v>
      </c>
      <c r="O2806">
        <v>0</v>
      </c>
      <c r="P2806">
        <v>1</v>
      </c>
      <c r="Q2806">
        <v>2</v>
      </c>
      <c r="R2806" s="4">
        <v>14686.05</v>
      </c>
      <c r="S2806" t="str">
        <f t="shared" si="215"/>
        <v>PX: Baja Crit.</v>
      </c>
      <c r="T2806">
        <f t="shared" si="216"/>
        <v>0</v>
      </c>
      <c r="U2806">
        <f t="shared" si="217"/>
        <v>0</v>
      </c>
      <c r="V2806">
        <f t="shared" si="218"/>
        <v>0</v>
      </c>
      <c r="W2806">
        <f t="shared" si="219"/>
        <v>1</v>
      </c>
      <c r="X2806">
        <v>1</v>
      </c>
      <c r="Y2806" s="2">
        <v>45768</v>
      </c>
      <c r="Z2806" s="3" t="s">
        <v>118</v>
      </c>
      <c r="AA2806" t="s">
        <v>39</v>
      </c>
      <c r="AB2806" t="s">
        <v>40</v>
      </c>
      <c r="AC2806" t="s">
        <v>40</v>
      </c>
      <c r="AD2806" t="s">
        <v>391</v>
      </c>
    </row>
    <row r="2807" spans="2:30">
      <c r="B2807">
        <v>0</v>
      </c>
      <c r="C2807">
        <v>1020</v>
      </c>
      <c r="D2807" t="s">
        <v>388</v>
      </c>
      <c r="E2807">
        <v>14189186</v>
      </c>
      <c r="F2807" t="s">
        <v>2892</v>
      </c>
      <c r="G2807" t="s">
        <v>43</v>
      </c>
      <c r="H2807" t="s">
        <v>44</v>
      </c>
      <c r="I2807" t="s">
        <v>390</v>
      </c>
      <c r="J2807" t="s">
        <v>45</v>
      </c>
      <c r="K2807" t="s">
        <v>35</v>
      </c>
      <c r="L2807" t="s">
        <v>175</v>
      </c>
      <c r="M2807" t="s">
        <v>69</v>
      </c>
      <c r="N2807">
        <v>0</v>
      </c>
      <c r="O2807">
        <v>0</v>
      </c>
      <c r="P2807">
        <v>1</v>
      </c>
      <c r="Q2807">
        <v>1</v>
      </c>
      <c r="R2807">
        <v>0</v>
      </c>
      <c r="S2807" t="str">
        <f t="shared" si="215"/>
        <v>PY: Media Crit.</v>
      </c>
      <c r="T2807">
        <f t="shared" si="216"/>
        <v>0</v>
      </c>
      <c r="U2807">
        <f t="shared" si="217"/>
        <v>1</v>
      </c>
      <c r="V2807">
        <f t="shared" si="218"/>
        <v>0</v>
      </c>
      <c r="W2807">
        <f t="shared" si="219"/>
        <v>1</v>
      </c>
      <c r="X2807">
        <v>1</v>
      </c>
      <c r="Y2807" s="2">
        <v>45768</v>
      </c>
      <c r="Z2807" s="3" t="s">
        <v>70</v>
      </c>
      <c r="AA2807" t="s">
        <v>39</v>
      </c>
      <c r="AB2807" t="s">
        <v>40</v>
      </c>
      <c r="AC2807" t="s">
        <v>40</v>
      </c>
      <c r="AD2807" t="s">
        <v>391</v>
      </c>
    </row>
    <row r="2808" spans="2:30">
      <c r="B2808">
        <v>0</v>
      </c>
      <c r="C2808">
        <v>1020</v>
      </c>
      <c r="D2808" t="s">
        <v>388</v>
      </c>
      <c r="E2808">
        <v>14189192</v>
      </c>
      <c r="F2808" t="s">
        <v>2893</v>
      </c>
      <c r="G2808" t="s">
        <v>52</v>
      </c>
      <c r="H2808" t="s">
        <v>44</v>
      </c>
      <c r="I2808" t="s">
        <v>390</v>
      </c>
      <c r="J2808" t="s">
        <v>45</v>
      </c>
      <c r="K2808" t="s">
        <v>35</v>
      </c>
      <c r="L2808" t="s">
        <v>175</v>
      </c>
      <c r="M2808" t="s">
        <v>69</v>
      </c>
      <c r="N2808">
        <v>0</v>
      </c>
      <c r="O2808">
        <v>0</v>
      </c>
      <c r="P2808">
        <v>1</v>
      </c>
      <c r="Q2808">
        <v>1</v>
      </c>
      <c r="R2808">
        <v>0</v>
      </c>
      <c r="S2808" t="str">
        <f t="shared" si="215"/>
        <v>PZ: Alta Crit.</v>
      </c>
      <c r="T2808">
        <f t="shared" si="216"/>
        <v>0</v>
      </c>
      <c r="U2808">
        <f t="shared" si="217"/>
        <v>1</v>
      </c>
      <c r="V2808">
        <f t="shared" si="218"/>
        <v>0</v>
      </c>
      <c r="W2808">
        <f t="shared" si="219"/>
        <v>1</v>
      </c>
      <c r="X2808">
        <v>1</v>
      </c>
      <c r="Y2808" s="2">
        <v>45768</v>
      </c>
      <c r="Z2808" s="3" t="s">
        <v>70</v>
      </c>
      <c r="AA2808" t="s">
        <v>39</v>
      </c>
      <c r="AB2808" t="s">
        <v>40</v>
      </c>
      <c r="AC2808" t="s">
        <v>40</v>
      </c>
      <c r="AD2808" t="s">
        <v>391</v>
      </c>
    </row>
    <row r="2809" spans="2:30">
      <c r="B2809">
        <v>0</v>
      </c>
      <c r="C2809">
        <v>1020</v>
      </c>
      <c r="D2809" t="s">
        <v>388</v>
      </c>
      <c r="E2809">
        <v>14196821</v>
      </c>
      <c r="F2809" t="s">
        <v>2894</v>
      </c>
      <c r="G2809" t="s">
        <v>52</v>
      </c>
      <c r="H2809" t="s">
        <v>44</v>
      </c>
      <c r="I2809" t="s">
        <v>390</v>
      </c>
      <c r="J2809" t="s">
        <v>45</v>
      </c>
      <c r="K2809" t="s">
        <v>35</v>
      </c>
      <c r="L2809" t="s">
        <v>175</v>
      </c>
      <c r="M2809" t="s">
        <v>46</v>
      </c>
      <c r="N2809">
        <v>0</v>
      </c>
      <c r="O2809">
        <v>0</v>
      </c>
      <c r="P2809">
        <v>1</v>
      </c>
      <c r="Q2809">
        <v>1</v>
      </c>
      <c r="R2809">
        <v>0</v>
      </c>
      <c r="S2809" t="str">
        <f t="shared" si="215"/>
        <v>PZ: Alta Crit.</v>
      </c>
      <c r="T2809">
        <f t="shared" si="216"/>
        <v>0</v>
      </c>
      <c r="U2809">
        <f t="shared" si="217"/>
        <v>1</v>
      </c>
      <c r="V2809">
        <f t="shared" si="218"/>
        <v>0</v>
      </c>
      <c r="W2809">
        <f t="shared" si="219"/>
        <v>1</v>
      </c>
      <c r="X2809">
        <v>1</v>
      </c>
      <c r="Y2809" s="2">
        <v>45768</v>
      </c>
      <c r="Z2809" s="3" t="s">
        <v>47</v>
      </c>
      <c r="AA2809" t="s">
        <v>39</v>
      </c>
      <c r="AB2809" t="s">
        <v>40</v>
      </c>
      <c r="AC2809" t="s">
        <v>40</v>
      </c>
      <c r="AD2809" t="s">
        <v>391</v>
      </c>
    </row>
    <row r="2810" spans="2:30">
      <c r="B2810">
        <v>0</v>
      </c>
      <c r="C2810">
        <v>1020</v>
      </c>
      <c r="D2810" t="s">
        <v>388</v>
      </c>
      <c r="E2810">
        <v>14197482</v>
      </c>
      <c r="F2810" t="s">
        <v>2895</v>
      </c>
      <c r="G2810" t="s">
        <v>31</v>
      </c>
      <c r="H2810" t="s">
        <v>44</v>
      </c>
      <c r="I2810" t="s">
        <v>390</v>
      </c>
      <c r="J2810" t="s">
        <v>45</v>
      </c>
      <c r="K2810" t="s">
        <v>35</v>
      </c>
      <c r="L2810" t="s">
        <v>175</v>
      </c>
      <c r="M2810" t="s">
        <v>46</v>
      </c>
      <c r="N2810">
        <v>0</v>
      </c>
      <c r="O2810">
        <v>0</v>
      </c>
      <c r="P2810">
        <v>2</v>
      </c>
      <c r="Q2810">
        <v>2</v>
      </c>
      <c r="R2810">
        <v>0</v>
      </c>
      <c r="S2810" t="str">
        <f t="shared" si="215"/>
        <v>PX: Baja Crit.</v>
      </c>
      <c r="T2810">
        <f t="shared" si="216"/>
        <v>0</v>
      </c>
      <c r="U2810">
        <f t="shared" si="217"/>
        <v>1</v>
      </c>
      <c r="V2810">
        <f t="shared" si="218"/>
        <v>0</v>
      </c>
      <c r="W2810">
        <f t="shared" si="219"/>
        <v>1</v>
      </c>
      <c r="X2810">
        <v>1</v>
      </c>
      <c r="Y2810" s="2">
        <v>45768</v>
      </c>
      <c r="Z2810" s="3" t="s">
        <v>47</v>
      </c>
      <c r="AA2810" t="s">
        <v>39</v>
      </c>
      <c r="AB2810" t="s">
        <v>40</v>
      </c>
      <c r="AC2810" t="s">
        <v>40</v>
      </c>
      <c r="AD2810" t="s">
        <v>391</v>
      </c>
    </row>
    <row r="2811" spans="2:30">
      <c r="B2811">
        <v>0</v>
      </c>
      <c r="C2811">
        <v>1020</v>
      </c>
      <c r="D2811" t="s">
        <v>181</v>
      </c>
      <c r="E2811">
        <v>14201567</v>
      </c>
      <c r="F2811" t="s">
        <v>2896</v>
      </c>
      <c r="G2811" t="s">
        <v>43</v>
      </c>
      <c r="H2811" t="s">
        <v>44</v>
      </c>
      <c r="I2811" t="s">
        <v>183</v>
      </c>
      <c r="J2811" t="s">
        <v>45</v>
      </c>
      <c r="K2811" t="s">
        <v>35</v>
      </c>
      <c r="L2811" t="s">
        <v>36</v>
      </c>
      <c r="M2811" t="s">
        <v>37</v>
      </c>
      <c r="N2811">
        <v>4</v>
      </c>
      <c r="O2811">
        <v>2</v>
      </c>
      <c r="P2811">
        <v>0</v>
      </c>
      <c r="Q2811">
        <v>6</v>
      </c>
      <c r="R2811">
        <v>0</v>
      </c>
      <c r="S2811" t="str">
        <f t="shared" si="215"/>
        <v>PY: Media Crit.</v>
      </c>
      <c r="T2811">
        <f t="shared" si="216"/>
        <v>0</v>
      </c>
      <c r="U2811">
        <f t="shared" si="217"/>
        <v>0</v>
      </c>
      <c r="V2811">
        <f t="shared" si="218"/>
        <v>0</v>
      </c>
      <c r="W2811">
        <f t="shared" si="219"/>
        <v>1</v>
      </c>
      <c r="X2811">
        <v>1</v>
      </c>
      <c r="Y2811" s="2">
        <v>45768</v>
      </c>
      <c r="Z2811" s="3" t="s">
        <v>38</v>
      </c>
      <c r="AA2811" t="s">
        <v>39</v>
      </c>
      <c r="AB2811" t="s">
        <v>40</v>
      </c>
      <c r="AC2811" t="s">
        <v>40</v>
      </c>
      <c r="AD2811" t="s">
        <v>184</v>
      </c>
    </row>
    <row r="2812" spans="2:30">
      <c r="B2812">
        <v>0</v>
      </c>
      <c r="C2812">
        <v>1020</v>
      </c>
      <c r="D2812" t="s">
        <v>181</v>
      </c>
      <c r="E2812">
        <v>14202169</v>
      </c>
      <c r="F2812" t="s">
        <v>2897</v>
      </c>
      <c r="G2812" t="s">
        <v>52</v>
      </c>
      <c r="H2812" t="s">
        <v>32</v>
      </c>
      <c r="I2812" t="s">
        <v>183</v>
      </c>
      <c r="J2812" t="s">
        <v>45</v>
      </c>
      <c r="K2812" t="s">
        <v>35</v>
      </c>
      <c r="L2812" t="s">
        <v>36</v>
      </c>
      <c r="M2812" t="s">
        <v>46</v>
      </c>
      <c r="N2812">
        <v>1</v>
      </c>
      <c r="O2812">
        <v>1</v>
      </c>
      <c r="P2812">
        <v>0</v>
      </c>
      <c r="Q2812">
        <v>1</v>
      </c>
      <c r="R2812">
        <v>0</v>
      </c>
      <c r="S2812" t="str">
        <f t="shared" si="215"/>
        <v>PZ: Alta Crit.</v>
      </c>
      <c r="T2812">
        <f t="shared" si="216"/>
        <v>0</v>
      </c>
      <c r="U2812">
        <f t="shared" si="217"/>
        <v>0</v>
      </c>
      <c r="V2812">
        <f t="shared" si="218"/>
        <v>1</v>
      </c>
      <c r="W2812">
        <f t="shared" si="219"/>
        <v>0</v>
      </c>
      <c r="X2812">
        <v>1</v>
      </c>
      <c r="Y2812" s="2">
        <v>45768</v>
      </c>
      <c r="Z2812" s="3" t="s">
        <v>47</v>
      </c>
      <c r="AA2812" t="s">
        <v>39</v>
      </c>
      <c r="AB2812" t="s">
        <v>40</v>
      </c>
      <c r="AC2812" t="s">
        <v>40</v>
      </c>
      <c r="AD2812" t="s">
        <v>184</v>
      </c>
    </row>
    <row r="2813" spans="2:30">
      <c r="B2813">
        <v>0</v>
      </c>
      <c r="C2813">
        <v>1020</v>
      </c>
      <c r="D2813" t="s">
        <v>181</v>
      </c>
      <c r="E2813">
        <v>14202218</v>
      </c>
      <c r="F2813" t="s">
        <v>2898</v>
      </c>
      <c r="G2813" t="s">
        <v>31</v>
      </c>
      <c r="H2813" t="s">
        <v>44</v>
      </c>
      <c r="I2813" t="s">
        <v>183</v>
      </c>
      <c r="J2813" t="s">
        <v>45</v>
      </c>
      <c r="K2813" t="s">
        <v>35</v>
      </c>
      <c r="L2813" t="s">
        <v>36</v>
      </c>
      <c r="M2813" t="s">
        <v>46</v>
      </c>
      <c r="N2813">
        <v>1</v>
      </c>
      <c r="O2813">
        <v>1</v>
      </c>
      <c r="P2813">
        <v>0</v>
      </c>
      <c r="Q2813">
        <v>1</v>
      </c>
      <c r="R2813">
        <v>0</v>
      </c>
      <c r="S2813" t="str">
        <f t="shared" si="215"/>
        <v>PX: Baja Crit.</v>
      </c>
      <c r="T2813">
        <f t="shared" si="216"/>
        <v>0</v>
      </c>
      <c r="U2813">
        <f t="shared" si="217"/>
        <v>0</v>
      </c>
      <c r="V2813">
        <f t="shared" si="218"/>
        <v>1</v>
      </c>
      <c r="W2813">
        <f t="shared" si="219"/>
        <v>0</v>
      </c>
      <c r="X2813">
        <v>1</v>
      </c>
      <c r="Y2813" s="2">
        <v>45768</v>
      </c>
      <c r="Z2813" s="3" t="s">
        <v>47</v>
      </c>
      <c r="AA2813" t="s">
        <v>39</v>
      </c>
      <c r="AB2813" t="s">
        <v>40</v>
      </c>
      <c r="AC2813" t="s">
        <v>40</v>
      </c>
      <c r="AD2813" t="s">
        <v>184</v>
      </c>
    </row>
    <row r="2814" spans="2:30">
      <c r="B2814">
        <v>0</v>
      </c>
      <c r="C2814">
        <v>1020</v>
      </c>
      <c r="D2814" t="s">
        <v>181</v>
      </c>
      <c r="E2814">
        <v>14202221</v>
      </c>
      <c r="F2814" t="s">
        <v>2899</v>
      </c>
      <c r="G2814" t="s">
        <v>52</v>
      </c>
      <c r="H2814" t="s">
        <v>44</v>
      </c>
      <c r="I2814" t="s">
        <v>183</v>
      </c>
      <c r="J2814" t="s">
        <v>45</v>
      </c>
      <c r="K2814" t="s">
        <v>35</v>
      </c>
      <c r="L2814" t="s">
        <v>36</v>
      </c>
      <c r="M2814" t="s">
        <v>46</v>
      </c>
      <c r="N2814">
        <v>1</v>
      </c>
      <c r="O2814">
        <v>1</v>
      </c>
      <c r="P2814">
        <v>0</v>
      </c>
      <c r="Q2814">
        <v>1</v>
      </c>
      <c r="R2814">
        <v>0</v>
      </c>
      <c r="S2814" t="str">
        <f t="shared" si="215"/>
        <v>PZ: Alta Crit.</v>
      </c>
      <c r="T2814">
        <f t="shared" si="216"/>
        <v>0</v>
      </c>
      <c r="U2814">
        <f t="shared" si="217"/>
        <v>0</v>
      </c>
      <c r="V2814">
        <f t="shared" si="218"/>
        <v>1</v>
      </c>
      <c r="W2814">
        <f t="shared" si="219"/>
        <v>0</v>
      </c>
      <c r="X2814">
        <v>1</v>
      </c>
      <c r="Y2814" s="2">
        <v>45768</v>
      </c>
      <c r="Z2814" s="3" t="s">
        <v>47</v>
      </c>
      <c r="AA2814" t="s">
        <v>39</v>
      </c>
      <c r="AB2814" t="s">
        <v>40</v>
      </c>
      <c r="AC2814" t="s">
        <v>40</v>
      </c>
      <c r="AD2814" t="s">
        <v>184</v>
      </c>
    </row>
    <row r="2815" spans="2:30">
      <c r="B2815">
        <v>0</v>
      </c>
      <c r="C2815">
        <v>1020</v>
      </c>
      <c r="D2815" t="s">
        <v>181</v>
      </c>
      <c r="E2815">
        <v>14208146</v>
      </c>
      <c r="F2815" t="s">
        <v>2900</v>
      </c>
      <c r="G2815" t="s">
        <v>43</v>
      </c>
      <c r="H2815" t="s">
        <v>60</v>
      </c>
      <c r="I2815" t="s">
        <v>183</v>
      </c>
      <c r="J2815" t="s">
        <v>45</v>
      </c>
      <c r="K2815" t="s">
        <v>35</v>
      </c>
      <c r="L2815" t="s">
        <v>36</v>
      </c>
      <c r="M2815" t="s">
        <v>117</v>
      </c>
      <c r="N2815">
        <v>60</v>
      </c>
      <c r="O2815">
        <v>40</v>
      </c>
      <c r="P2815">
        <v>0</v>
      </c>
      <c r="Q2815">
        <v>60</v>
      </c>
      <c r="R2815" s="4">
        <v>2400</v>
      </c>
      <c r="S2815" t="str">
        <f t="shared" si="215"/>
        <v>PY: Media Crit.</v>
      </c>
      <c r="T2815">
        <f t="shared" si="216"/>
        <v>0</v>
      </c>
      <c r="U2815">
        <f t="shared" si="217"/>
        <v>0</v>
      </c>
      <c r="V2815">
        <f t="shared" si="218"/>
        <v>1</v>
      </c>
      <c r="W2815">
        <f t="shared" si="219"/>
        <v>0</v>
      </c>
      <c r="X2815">
        <v>1</v>
      </c>
      <c r="Y2815" s="2">
        <v>45768</v>
      </c>
      <c r="Z2815" s="3" t="s">
        <v>118</v>
      </c>
      <c r="AA2815" t="s">
        <v>39</v>
      </c>
      <c r="AB2815" t="s">
        <v>40</v>
      </c>
      <c r="AC2815" t="s">
        <v>40</v>
      </c>
      <c r="AD2815" t="s">
        <v>184</v>
      </c>
    </row>
    <row r="2816" spans="2:30">
      <c r="B2816">
        <v>0</v>
      </c>
      <c r="C2816">
        <v>1020</v>
      </c>
      <c r="D2816" t="s">
        <v>181</v>
      </c>
      <c r="E2816">
        <v>14212903</v>
      </c>
      <c r="F2816" t="s">
        <v>2901</v>
      </c>
      <c r="G2816" t="s">
        <v>31</v>
      </c>
      <c r="H2816" t="s">
        <v>44</v>
      </c>
      <c r="I2816" t="s">
        <v>183</v>
      </c>
      <c r="J2816" t="s">
        <v>45</v>
      </c>
      <c r="K2816" t="s">
        <v>35</v>
      </c>
      <c r="L2816" t="s">
        <v>36</v>
      </c>
      <c r="M2816" t="s">
        <v>46</v>
      </c>
      <c r="N2816">
        <v>1</v>
      </c>
      <c r="O2816">
        <v>1</v>
      </c>
      <c r="P2816">
        <v>0</v>
      </c>
      <c r="Q2816">
        <v>1</v>
      </c>
      <c r="R2816">
        <v>0</v>
      </c>
      <c r="S2816" t="str">
        <f t="shared" si="215"/>
        <v>PX: Baja Crit.</v>
      </c>
      <c r="T2816">
        <f t="shared" si="216"/>
        <v>0</v>
      </c>
      <c r="U2816">
        <f t="shared" si="217"/>
        <v>0</v>
      </c>
      <c r="V2816">
        <f t="shared" si="218"/>
        <v>1</v>
      </c>
      <c r="W2816">
        <f t="shared" si="219"/>
        <v>0</v>
      </c>
      <c r="X2816">
        <v>1</v>
      </c>
      <c r="Y2816" s="2">
        <v>45768</v>
      </c>
      <c r="Z2816" s="3" t="s">
        <v>47</v>
      </c>
      <c r="AA2816" t="s">
        <v>39</v>
      </c>
      <c r="AB2816" t="s">
        <v>40</v>
      </c>
      <c r="AC2816" t="s">
        <v>40</v>
      </c>
      <c r="AD2816" t="s">
        <v>184</v>
      </c>
    </row>
    <row r="2817" spans="2:30">
      <c r="B2817">
        <v>0</v>
      </c>
      <c r="C2817">
        <v>1020</v>
      </c>
      <c r="D2817" t="s">
        <v>181</v>
      </c>
      <c r="E2817">
        <v>14215514</v>
      </c>
      <c r="F2817" t="s">
        <v>2902</v>
      </c>
      <c r="G2817" t="s">
        <v>43</v>
      </c>
      <c r="H2817" t="s">
        <v>60</v>
      </c>
      <c r="I2817" t="s">
        <v>183</v>
      </c>
      <c r="J2817" t="s">
        <v>45</v>
      </c>
      <c r="K2817" t="s">
        <v>35</v>
      </c>
      <c r="L2817" t="s">
        <v>36</v>
      </c>
      <c r="M2817" t="s">
        <v>88</v>
      </c>
      <c r="N2817">
        <v>1</v>
      </c>
      <c r="O2817">
        <v>1</v>
      </c>
      <c r="P2817">
        <v>0</v>
      </c>
      <c r="Q2817">
        <v>1</v>
      </c>
      <c r="R2817" s="4">
        <v>2666.97</v>
      </c>
      <c r="S2817" t="str">
        <f t="shared" si="215"/>
        <v>PY: Media Crit.</v>
      </c>
      <c r="T2817">
        <f t="shared" si="216"/>
        <v>0</v>
      </c>
      <c r="U2817">
        <f t="shared" si="217"/>
        <v>0</v>
      </c>
      <c r="V2817">
        <f t="shared" si="218"/>
        <v>1</v>
      </c>
      <c r="W2817">
        <f t="shared" si="219"/>
        <v>0</v>
      </c>
      <c r="X2817">
        <v>1</v>
      </c>
      <c r="Y2817" s="2">
        <v>45768</v>
      </c>
      <c r="Z2817" s="3" t="s">
        <v>89</v>
      </c>
      <c r="AA2817" t="s">
        <v>39</v>
      </c>
      <c r="AB2817" t="s">
        <v>40</v>
      </c>
      <c r="AC2817" t="s">
        <v>40</v>
      </c>
      <c r="AD2817" t="s">
        <v>184</v>
      </c>
    </row>
    <row r="2818" spans="2:30">
      <c r="B2818">
        <v>0</v>
      </c>
      <c r="C2818">
        <v>1020</v>
      </c>
      <c r="D2818" t="s">
        <v>172</v>
      </c>
      <c r="E2818">
        <v>14217443</v>
      </c>
      <c r="F2818" t="s">
        <v>2903</v>
      </c>
      <c r="G2818" t="s">
        <v>52</v>
      </c>
      <c r="H2818" t="s">
        <v>44</v>
      </c>
      <c r="I2818" t="s">
        <v>584</v>
      </c>
      <c r="J2818" t="s">
        <v>45</v>
      </c>
      <c r="K2818" t="s">
        <v>35</v>
      </c>
      <c r="L2818" t="s">
        <v>175</v>
      </c>
      <c r="M2818" t="s">
        <v>117</v>
      </c>
      <c r="N2818">
        <v>0</v>
      </c>
      <c r="O2818">
        <v>0</v>
      </c>
      <c r="P2818">
        <v>0</v>
      </c>
      <c r="Q2818">
        <v>0</v>
      </c>
      <c r="R2818">
        <v>0</v>
      </c>
      <c r="S2818" t="str">
        <f t="shared" ref="S2818:S2881" si="220">+IF(G2818="PZ", "PZ: Alta Crit.",IF(G2818="PY","PY: Media Crit.", "PX: Baja Crit."))</f>
        <v>PZ: Alta Crit.</v>
      </c>
      <c r="T2818">
        <f t="shared" ref="T2818:T2881" si="221">+IF(Q2818=0,1,0)</f>
        <v>1</v>
      </c>
      <c r="U2818">
        <f t="shared" ref="U2818:U2881" si="222">+IF(AND(Q2818&lt;=P2818,Q2818&gt;0),1,0)</f>
        <v>0</v>
      </c>
      <c r="V2818">
        <f t="shared" ref="V2818:V2881" si="223">+IF(AND(Q2818&gt;P2818,Q2818&lt;=N2818),1,0)</f>
        <v>0</v>
      </c>
      <c r="W2818">
        <f t="shared" ref="W2818:W2881" si="224">+IF(Q2818&gt;N2818,1,0)</f>
        <v>0</v>
      </c>
      <c r="X2818">
        <v>1</v>
      </c>
      <c r="Y2818" s="2">
        <v>45768</v>
      </c>
      <c r="Z2818" s="3" t="s">
        <v>118</v>
      </c>
      <c r="AA2818" t="s">
        <v>39</v>
      </c>
      <c r="AB2818" t="s">
        <v>40</v>
      </c>
      <c r="AC2818" t="s">
        <v>40</v>
      </c>
      <c r="AD2818" t="s">
        <v>585</v>
      </c>
    </row>
    <row r="2819" spans="2:30">
      <c r="B2819">
        <v>0</v>
      </c>
      <c r="C2819">
        <v>1020</v>
      </c>
      <c r="D2819" t="s">
        <v>172</v>
      </c>
      <c r="E2819">
        <v>14217445</v>
      </c>
      <c r="F2819" t="s">
        <v>2903</v>
      </c>
      <c r="G2819" t="s">
        <v>52</v>
      </c>
      <c r="H2819" t="s">
        <v>32</v>
      </c>
      <c r="I2819" t="s">
        <v>584</v>
      </c>
      <c r="J2819" t="s">
        <v>45</v>
      </c>
      <c r="K2819" t="s">
        <v>35</v>
      </c>
      <c r="L2819" t="s">
        <v>175</v>
      </c>
      <c r="M2819" t="s">
        <v>117</v>
      </c>
      <c r="N2819">
        <v>0</v>
      </c>
      <c r="O2819">
        <v>0</v>
      </c>
      <c r="P2819">
        <v>0</v>
      </c>
      <c r="Q2819">
        <v>0</v>
      </c>
      <c r="R2819">
        <v>0</v>
      </c>
      <c r="S2819" t="str">
        <f t="shared" si="220"/>
        <v>PZ: Alta Crit.</v>
      </c>
      <c r="T2819">
        <f t="shared" si="221"/>
        <v>1</v>
      </c>
      <c r="U2819">
        <f t="shared" si="222"/>
        <v>0</v>
      </c>
      <c r="V2819">
        <f t="shared" si="223"/>
        <v>0</v>
      </c>
      <c r="W2819">
        <f t="shared" si="224"/>
        <v>0</v>
      </c>
      <c r="X2819">
        <v>1</v>
      </c>
      <c r="Y2819" s="2">
        <v>45768</v>
      </c>
      <c r="Z2819" s="3" t="s">
        <v>118</v>
      </c>
      <c r="AA2819" t="s">
        <v>39</v>
      </c>
      <c r="AB2819" t="s">
        <v>40</v>
      </c>
      <c r="AC2819" t="s">
        <v>40</v>
      </c>
      <c r="AD2819" t="s">
        <v>585</v>
      </c>
    </row>
    <row r="2820" spans="2:30">
      <c r="B2820">
        <v>0</v>
      </c>
      <c r="C2820">
        <v>1020</v>
      </c>
      <c r="D2820" t="s">
        <v>181</v>
      </c>
      <c r="E2820">
        <v>14219612</v>
      </c>
      <c r="F2820" t="s">
        <v>2904</v>
      </c>
      <c r="G2820" t="s">
        <v>52</v>
      </c>
      <c r="H2820" t="s">
        <v>44</v>
      </c>
      <c r="I2820" t="s">
        <v>183</v>
      </c>
      <c r="J2820" t="s">
        <v>45</v>
      </c>
      <c r="K2820" t="s">
        <v>35</v>
      </c>
      <c r="L2820" t="s">
        <v>36</v>
      </c>
      <c r="M2820" t="s">
        <v>69</v>
      </c>
      <c r="N2820">
        <v>10</v>
      </c>
      <c r="O2820">
        <v>5</v>
      </c>
      <c r="P2820">
        <v>0</v>
      </c>
      <c r="Q2820">
        <v>10</v>
      </c>
      <c r="R2820" s="4">
        <v>5714.43</v>
      </c>
      <c r="S2820" t="str">
        <f t="shared" si="220"/>
        <v>PZ: Alta Crit.</v>
      </c>
      <c r="T2820">
        <f t="shared" si="221"/>
        <v>0</v>
      </c>
      <c r="U2820">
        <f t="shared" si="222"/>
        <v>0</v>
      </c>
      <c r="V2820">
        <f t="shared" si="223"/>
        <v>1</v>
      </c>
      <c r="W2820">
        <f t="shared" si="224"/>
        <v>0</v>
      </c>
      <c r="X2820">
        <v>1</v>
      </c>
      <c r="Y2820" s="2">
        <v>45768</v>
      </c>
      <c r="Z2820" s="3" t="s">
        <v>70</v>
      </c>
      <c r="AA2820" t="s">
        <v>39</v>
      </c>
      <c r="AB2820" t="s">
        <v>40</v>
      </c>
      <c r="AC2820" t="s">
        <v>40</v>
      </c>
      <c r="AD2820" t="s">
        <v>184</v>
      </c>
    </row>
    <row r="2821" spans="2:30">
      <c r="B2821">
        <v>0</v>
      </c>
      <c r="C2821">
        <v>1020</v>
      </c>
      <c r="D2821" t="s">
        <v>181</v>
      </c>
      <c r="E2821">
        <v>14219616</v>
      </c>
      <c r="F2821" t="s">
        <v>2905</v>
      </c>
      <c r="G2821" t="s">
        <v>52</v>
      </c>
      <c r="H2821" t="s">
        <v>44</v>
      </c>
      <c r="I2821" t="s">
        <v>183</v>
      </c>
      <c r="J2821" t="s">
        <v>45</v>
      </c>
      <c r="K2821" t="s">
        <v>35</v>
      </c>
      <c r="L2821" t="s">
        <v>36</v>
      </c>
      <c r="M2821" t="s">
        <v>69</v>
      </c>
      <c r="N2821">
        <v>10</v>
      </c>
      <c r="O2821">
        <v>5</v>
      </c>
      <c r="P2821">
        <v>0</v>
      </c>
      <c r="Q2821">
        <v>10</v>
      </c>
      <c r="R2821" s="4">
        <v>11434.72</v>
      </c>
      <c r="S2821" t="str">
        <f t="shared" si="220"/>
        <v>PZ: Alta Crit.</v>
      </c>
      <c r="T2821">
        <f t="shared" si="221"/>
        <v>0</v>
      </c>
      <c r="U2821">
        <f t="shared" si="222"/>
        <v>0</v>
      </c>
      <c r="V2821">
        <f t="shared" si="223"/>
        <v>1</v>
      </c>
      <c r="W2821">
        <f t="shared" si="224"/>
        <v>0</v>
      </c>
      <c r="X2821">
        <v>1</v>
      </c>
      <c r="Y2821" s="2">
        <v>45768</v>
      </c>
      <c r="Z2821" s="3" t="s">
        <v>70</v>
      </c>
      <c r="AA2821" t="s">
        <v>39</v>
      </c>
      <c r="AB2821" t="s">
        <v>40</v>
      </c>
      <c r="AC2821" t="s">
        <v>40</v>
      </c>
      <c r="AD2821" t="s">
        <v>184</v>
      </c>
    </row>
    <row r="2822" spans="2:30">
      <c r="B2822">
        <v>0</v>
      </c>
      <c r="C2822">
        <v>1020</v>
      </c>
      <c r="D2822" t="s">
        <v>181</v>
      </c>
      <c r="E2822">
        <v>14219618</v>
      </c>
      <c r="F2822" t="s">
        <v>2906</v>
      </c>
      <c r="G2822" t="s">
        <v>52</v>
      </c>
      <c r="H2822" t="s">
        <v>44</v>
      </c>
      <c r="I2822" t="s">
        <v>183</v>
      </c>
      <c r="J2822" t="s">
        <v>45</v>
      </c>
      <c r="K2822" t="s">
        <v>35</v>
      </c>
      <c r="L2822" t="s">
        <v>36</v>
      </c>
      <c r="M2822" t="s">
        <v>69</v>
      </c>
      <c r="N2822">
        <v>6</v>
      </c>
      <c r="O2822">
        <v>4</v>
      </c>
      <c r="P2822">
        <v>0</v>
      </c>
      <c r="Q2822">
        <v>6</v>
      </c>
      <c r="R2822" s="4">
        <v>7889.77</v>
      </c>
      <c r="S2822" t="str">
        <f t="shared" si="220"/>
        <v>PZ: Alta Crit.</v>
      </c>
      <c r="T2822">
        <f t="shared" si="221"/>
        <v>0</v>
      </c>
      <c r="U2822">
        <f t="shared" si="222"/>
        <v>0</v>
      </c>
      <c r="V2822">
        <f t="shared" si="223"/>
        <v>1</v>
      </c>
      <c r="W2822">
        <f t="shared" si="224"/>
        <v>0</v>
      </c>
      <c r="X2822">
        <v>1</v>
      </c>
      <c r="Y2822" s="2">
        <v>45768</v>
      </c>
      <c r="Z2822" s="3" t="s">
        <v>70</v>
      </c>
      <c r="AA2822" t="s">
        <v>39</v>
      </c>
      <c r="AB2822" t="s">
        <v>40</v>
      </c>
      <c r="AC2822" t="s">
        <v>40</v>
      </c>
      <c r="AD2822" t="s">
        <v>184</v>
      </c>
    </row>
    <row r="2823" spans="2:30">
      <c r="B2823">
        <v>0</v>
      </c>
      <c r="C2823">
        <v>1020</v>
      </c>
      <c r="D2823" t="s">
        <v>181</v>
      </c>
      <c r="E2823">
        <v>14219623</v>
      </c>
      <c r="F2823" t="s">
        <v>2907</v>
      </c>
      <c r="G2823" t="s">
        <v>52</v>
      </c>
      <c r="H2823" t="s">
        <v>44</v>
      </c>
      <c r="I2823" t="s">
        <v>183</v>
      </c>
      <c r="J2823" t="s">
        <v>45</v>
      </c>
      <c r="K2823" t="s">
        <v>35</v>
      </c>
      <c r="L2823" t="s">
        <v>36</v>
      </c>
      <c r="M2823" t="s">
        <v>69</v>
      </c>
      <c r="N2823">
        <v>6</v>
      </c>
      <c r="O2823">
        <v>4</v>
      </c>
      <c r="P2823">
        <v>0</v>
      </c>
      <c r="Q2823">
        <v>6</v>
      </c>
      <c r="R2823" s="4">
        <v>10007.16</v>
      </c>
      <c r="S2823" t="str">
        <f t="shared" si="220"/>
        <v>PZ: Alta Crit.</v>
      </c>
      <c r="T2823">
        <f t="shared" si="221"/>
        <v>0</v>
      </c>
      <c r="U2823">
        <f t="shared" si="222"/>
        <v>0</v>
      </c>
      <c r="V2823">
        <f t="shared" si="223"/>
        <v>1</v>
      </c>
      <c r="W2823">
        <f t="shared" si="224"/>
        <v>0</v>
      </c>
      <c r="X2823">
        <v>1</v>
      </c>
      <c r="Y2823" s="2">
        <v>45768</v>
      </c>
      <c r="Z2823" s="3" t="s">
        <v>70</v>
      </c>
      <c r="AA2823" t="s">
        <v>39</v>
      </c>
      <c r="AB2823" t="s">
        <v>40</v>
      </c>
      <c r="AC2823" t="s">
        <v>40</v>
      </c>
      <c r="AD2823" t="s">
        <v>184</v>
      </c>
    </row>
    <row r="2824" spans="2:30">
      <c r="B2824">
        <v>0</v>
      </c>
      <c r="C2824">
        <v>1020</v>
      </c>
      <c r="D2824" t="s">
        <v>388</v>
      </c>
      <c r="E2824">
        <v>14220571</v>
      </c>
      <c r="F2824" t="s">
        <v>2908</v>
      </c>
      <c r="G2824" t="s">
        <v>31</v>
      </c>
      <c r="H2824" t="s">
        <v>44</v>
      </c>
      <c r="I2824" t="s">
        <v>390</v>
      </c>
      <c r="J2824" t="s">
        <v>45</v>
      </c>
      <c r="K2824" t="s">
        <v>260</v>
      </c>
      <c r="L2824" t="s">
        <v>175</v>
      </c>
      <c r="M2824" t="s">
        <v>37</v>
      </c>
      <c r="N2824">
        <v>0</v>
      </c>
      <c r="O2824">
        <v>0</v>
      </c>
      <c r="P2824">
        <v>2</v>
      </c>
      <c r="Q2824">
        <v>2</v>
      </c>
      <c r="R2824">
        <v>0</v>
      </c>
      <c r="S2824" t="str">
        <f t="shared" si="220"/>
        <v>PX: Baja Crit.</v>
      </c>
      <c r="T2824">
        <f t="shared" si="221"/>
        <v>0</v>
      </c>
      <c r="U2824">
        <f t="shared" si="222"/>
        <v>1</v>
      </c>
      <c r="V2824">
        <f t="shared" si="223"/>
        <v>0</v>
      </c>
      <c r="W2824">
        <f t="shared" si="224"/>
        <v>1</v>
      </c>
      <c r="X2824">
        <v>1</v>
      </c>
      <c r="Y2824" s="2">
        <v>45768</v>
      </c>
      <c r="Z2824" s="3" t="s">
        <v>38</v>
      </c>
      <c r="AA2824" t="s">
        <v>39</v>
      </c>
      <c r="AB2824" t="s">
        <v>40</v>
      </c>
      <c r="AC2824" t="s">
        <v>40</v>
      </c>
      <c r="AD2824" t="s">
        <v>391</v>
      </c>
    </row>
    <row r="2825" spans="2:30">
      <c r="B2825">
        <v>0</v>
      </c>
      <c r="C2825">
        <v>1020</v>
      </c>
      <c r="D2825" t="s">
        <v>172</v>
      </c>
      <c r="E2825">
        <v>14222074</v>
      </c>
      <c r="F2825" t="s">
        <v>2909</v>
      </c>
      <c r="G2825" t="s">
        <v>52</v>
      </c>
      <c r="H2825" t="s">
        <v>32</v>
      </c>
      <c r="I2825" t="s">
        <v>584</v>
      </c>
      <c r="J2825" t="s">
        <v>45</v>
      </c>
      <c r="K2825" t="s">
        <v>35</v>
      </c>
      <c r="L2825" t="s">
        <v>175</v>
      </c>
      <c r="M2825" t="s">
        <v>117</v>
      </c>
      <c r="N2825">
        <v>0</v>
      </c>
      <c r="O2825">
        <v>0</v>
      </c>
      <c r="P2825">
        <v>0</v>
      </c>
      <c r="Q2825">
        <v>6</v>
      </c>
      <c r="R2825" s="4">
        <v>99434.27</v>
      </c>
      <c r="S2825" t="str">
        <f t="shared" si="220"/>
        <v>PZ: Alta Crit.</v>
      </c>
      <c r="T2825">
        <f t="shared" si="221"/>
        <v>0</v>
      </c>
      <c r="U2825">
        <f t="shared" si="222"/>
        <v>0</v>
      </c>
      <c r="V2825">
        <f t="shared" si="223"/>
        <v>0</v>
      </c>
      <c r="W2825">
        <f t="shared" si="224"/>
        <v>1</v>
      </c>
      <c r="X2825">
        <v>1</v>
      </c>
      <c r="Y2825" s="2">
        <v>45768</v>
      </c>
      <c r="Z2825" s="3" t="s">
        <v>118</v>
      </c>
      <c r="AA2825" t="s">
        <v>39</v>
      </c>
      <c r="AB2825" t="s">
        <v>49</v>
      </c>
      <c r="AC2825" s="5" t="s">
        <v>50</v>
      </c>
      <c r="AD2825" t="s">
        <v>585</v>
      </c>
    </row>
    <row r="2826" spans="2:30">
      <c r="B2826">
        <v>0</v>
      </c>
      <c r="C2826">
        <v>1020</v>
      </c>
      <c r="D2826" t="s">
        <v>388</v>
      </c>
      <c r="E2826">
        <v>14222340</v>
      </c>
      <c r="F2826" t="s">
        <v>2910</v>
      </c>
      <c r="G2826" t="s">
        <v>52</v>
      </c>
      <c r="H2826" t="s">
        <v>44</v>
      </c>
      <c r="I2826" t="s">
        <v>390</v>
      </c>
      <c r="J2826" t="s">
        <v>45</v>
      </c>
      <c r="K2826" t="s">
        <v>35</v>
      </c>
      <c r="L2826" t="s">
        <v>175</v>
      </c>
      <c r="M2826" t="s">
        <v>69</v>
      </c>
      <c r="N2826">
        <v>0</v>
      </c>
      <c r="O2826">
        <v>0</v>
      </c>
      <c r="P2826">
        <v>1</v>
      </c>
      <c r="Q2826">
        <v>1</v>
      </c>
      <c r="R2826">
        <v>0</v>
      </c>
      <c r="S2826" t="str">
        <f t="shared" si="220"/>
        <v>PZ: Alta Crit.</v>
      </c>
      <c r="T2826">
        <f t="shared" si="221"/>
        <v>0</v>
      </c>
      <c r="U2826">
        <f t="shared" si="222"/>
        <v>1</v>
      </c>
      <c r="V2826">
        <f t="shared" si="223"/>
        <v>0</v>
      </c>
      <c r="W2826">
        <f t="shared" si="224"/>
        <v>1</v>
      </c>
      <c r="X2826">
        <v>1</v>
      </c>
      <c r="Y2826" s="2">
        <v>45768</v>
      </c>
      <c r="Z2826" s="3" t="s">
        <v>70</v>
      </c>
      <c r="AA2826" t="s">
        <v>39</v>
      </c>
      <c r="AB2826" t="s">
        <v>40</v>
      </c>
      <c r="AC2826" t="s">
        <v>40</v>
      </c>
      <c r="AD2826" t="s">
        <v>391</v>
      </c>
    </row>
    <row r="2827" spans="2:30">
      <c r="B2827">
        <v>0</v>
      </c>
      <c r="C2827">
        <v>1020</v>
      </c>
      <c r="D2827" t="s">
        <v>388</v>
      </c>
      <c r="E2827">
        <v>14226488</v>
      </c>
      <c r="F2827" t="s">
        <v>2911</v>
      </c>
      <c r="G2827" t="s">
        <v>43</v>
      </c>
      <c r="H2827" t="s">
        <v>44</v>
      </c>
      <c r="I2827" t="s">
        <v>390</v>
      </c>
      <c r="J2827" t="s">
        <v>45</v>
      </c>
      <c r="K2827" t="s">
        <v>35</v>
      </c>
      <c r="L2827" t="s">
        <v>175</v>
      </c>
      <c r="M2827" t="s">
        <v>117</v>
      </c>
      <c r="N2827">
        <v>0</v>
      </c>
      <c r="O2827">
        <v>0</v>
      </c>
      <c r="P2827">
        <v>2</v>
      </c>
      <c r="Q2827">
        <v>0</v>
      </c>
      <c r="R2827">
        <v>0</v>
      </c>
      <c r="S2827" t="str">
        <f t="shared" si="220"/>
        <v>PY: Media Crit.</v>
      </c>
      <c r="T2827">
        <f t="shared" si="221"/>
        <v>1</v>
      </c>
      <c r="U2827">
        <f t="shared" si="222"/>
        <v>0</v>
      </c>
      <c r="V2827">
        <f t="shared" si="223"/>
        <v>0</v>
      </c>
      <c r="W2827">
        <f t="shared" si="224"/>
        <v>0</v>
      </c>
      <c r="X2827">
        <v>1</v>
      </c>
      <c r="Y2827" s="2">
        <v>45768</v>
      </c>
      <c r="Z2827" s="3" t="s">
        <v>118</v>
      </c>
      <c r="AA2827" t="s">
        <v>39</v>
      </c>
      <c r="AB2827" t="s">
        <v>76</v>
      </c>
      <c r="AC2827" s="5" t="s">
        <v>77</v>
      </c>
      <c r="AD2827" t="s">
        <v>391</v>
      </c>
    </row>
    <row r="2828" spans="2:30">
      <c r="B2828">
        <v>0</v>
      </c>
      <c r="C2828">
        <v>1020</v>
      </c>
      <c r="D2828" t="s">
        <v>181</v>
      </c>
      <c r="E2828">
        <v>14227600</v>
      </c>
      <c r="F2828" t="s">
        <v>2912</v>
      </c>
      <c r="G2828" t="s">
        <v>31</v>
      </c>
      <c r="H2828" t="s">
        <v>44</v>
      </c>
      <c r="I2828" t="s">
        <v>183</v>
      </c>
      <c r="J2828" t="s">
        <v>45</v>
      </c>
      <c r="K2828" t="s">
        <v>35</v>
      </c>
      <c r="L2828" t="s">
        <v>36</v>
      </c>
      <c r="M2828" t="s">
        <v>117</v>
      </c>
      <c r="N2828">
        <v>4</v>
      </c>
      <c r="O2828">
        <v>2</v>
      </c>
      <c r="P2828">
        <v>1</v>
      </c>
      <c r="Q2828">
        <v>4</v>
      </c>
      <c r="R2828">
        <v>877.42</v>
      </c>
      <c r="S2828" t="str">
        <f t="shared" si="220"/>
        <v>PX: Baja Crit.</v>
      </c>
      <c r="T2828">
        <f t="shared" si="221"/>
        <v>0</v>
      </c>
      <c r="U2828">
        <f t="shared" si="222"/>
        <v>0</v>
      </c>
      <c r="V2828">
        <f t="shared" si="223"/>
        <v>1</v>
      </c>
      <c r="W2828">
        <f t="shared" si="224"/>
        <v>0</v>
      </c>
      <c r="X2828">
        <v>1</v>
      </c>
      <c r="Y2828" s="2">
        <v>45768</v>
      </c>
      <c r="Z2828" s="3" t="s">
        <v>118</v>
      </c>
      <c r="AA2828" t="s">
        <v>39</v>
      </c>
      <c r="AB2828" t="s">
        <v>40</v>
      </c>
      <c r="AC2828" t="s">
        <v>40</v>
      </c>
      <c r="AD2828" t="s">
        <v>184</v>
      </c>
    </row>
    <row r="2829" spans="2:30">
      <c r="B2829">
        <v>0</v>
      </c>
      <c r="C2829">
        <v>1020</v>
      </c>
      <c r="D2829" t="s">
        <v>181</v>
      </c>
      <c r="E2829">
        <v>14227602</v>
      </c>
      <c r="F2829" t="s">
        <v>2913</v>
      </c>
      <c r="G2829" t="s">
        <v>31</v>
      </c>
      <c r="H2829" t="s">
        <v>44</v>
      </c>
      <c r="I2829" t="s">
        <v>183</v>
      </c>
      <c r="J2829" t="s">
        <v>45</v>
      </c>
      <c r="K2829" t="s">
        <v>35</v>
      </c>
      <c r="L2829" t="s">
        <v>36</v>
      </c>
      <c r="M2829" t="s">
        <v>117</v>
      </c>
      <c r="N2829">
        <v>4</v>
      </c>
      <c r="O2829">
        <v>2</v>
      </c>
      <c r="P2829">
        <v>1</v>
      </c>
      <c r="Q2829">
        <v>4</v>
      </c>
      <c r="R2829">
        <v>0</v>
      </c>
      <c r="S2829" t="str">
        <f t="shared" si="220"/>
        <v>PX: Baja Crit.</v>
      </c>
      <c r="T2829">
        <f t="shared" si="221"/>
        <v>0</v>
      </c>
      <c r="U2829">
        <f t="shared" si="222"/>
        <v>0</v>
      </c>
      <c r="V2829">
        <f t="shared" si="223"/>
        <v>1</v>
      </c>
      <c r="W2829">
        <f t="shared" si="224"/>
        <v>0</v>
      </c>
      <c r="X2829">
        <v>1</v>
      </c>
      <c r="Y2829" s="2">
        <v>45768</v>
      </c>
      <c r="Z2829" s="3" t="s">
        <v>118</v>
      </c>
      <c r="AA2829" t="s">
        <v>39</v>
      </c>
      <c r="AB2829" t="s">
        <v>40</v>
      </c>
      <c r="AC2829" t="s">
        <v>40</v>
      </c>
      <c r="AD2829" t="s">
        <v>184</v>
      </c>
    </row>
    <row r="2830" spans="2:30">
      <c r="B2830">
        <v>0</v>
      </c>
      <c r="C2830">
        <v>1020</v>
      </c>
      <c r="D2830" t="s">
        <v>181</v>
      </c>
      <c r="E2830">
        <v>14227624</v>
      </c>
      <c r="F2830" t="s">
        <v>2914</v>
      </c>
      <c r="G2830" t="s">
        <v>31</v>
      </c>
      <c r="H2830" t="s">
        <v>44</v>
      </c>
      <c r="I2830" t="s">
        <v>183</v>
      </c>
      <c r="J2830" t="s">
        <v>45</v>
      </c>
      <c r="K2830" t="s">
        <v>35</v>
      </c>
      <c r="L2830" t="s">
        <v>36</v>
      </c>
      <c r="M2830" t="s">
        <v>37</v>
      </c>
      <c r="N2830">
        <v>2</v>
      </c>
      <c r="O2830">
        <v>2</v>
      </c>
      <c r="P2830">
        <v>1</v>
      </c>
      <c r="Q2830">
        <v>2</v>
      </c>
      <c r="R2830">
        <v>0</v>
      </c>
      <c r="S2830" t="str">
        <f t="shared" si="220"/>
        <v>PX: Baja Crit.</v>
      </c>
      <c r="T2830">
        <f t="shared" si="221"/>
        <v>0</v>
      </c>
      <c r="U2830">
        <f t="shared" si="222"/>
        <v>0</v>
      </c>
      <c r="V2830">
        <f t="shared" si="223"/>
        <v>1</v>
      </c>
      <c r="W2830">
        <f t="shared" si="224"/>
        <v>0</v>
      </c>
      <c r="X2830">
        <v>1</v>
      </c>
      <c r="Y2830" s="2">
        <v>45768</v>
      </c>
      <c r="Z2830" s="3" t="s">
        <v>38</v>
      </c>
      <c r="AA2830" t="s">
        <v>39</v>
      </c>
      <c r="AB2830" t="s">
        <v>40</v>
      </c>
      <c r="AC2830" t="s">
        <v>40</v>
      </c>
      <c r="AD2830" t="s">
        <v>184</v>
      </c>
    </row>
    <row r="2831" spans="2:30">
      <c r="B2831">
        <v>0</v>
      </c>
      <c r="C2831">
        <v>1020</v>
      </c>
      <c r="D2831" t="s">
        <v>181</v>
      </c>
      <c r="E2831">
        <v>14228594</v>
      </c>
      <c r="F2831" t="s">
        <v>2915</v>
      </c>
      <c r="G2831" t="s">
        <v>43</v>
      </c>
      <c r="H2831" t="s">
        <v>60</v>
      </c>
      <c r="I2831" t="s">
        <v>183</v>
      </c>
      <c r="J2831" t="s">
        <v>45</v>
      </c>
      <c r="K2831" t="s">
        <v>35</v>
      </c>
      <c r="L2831" t="s">
        <v>36</v>
      </c>
      <c r="M2831" t="s">
        <v>88</v>
      </c>
      <c r="N2831">
        <v>1</v>
      </c>
      <c r="O2831">
        <v>1</v>
      </c>
      <c r="P2831">
        <v>0</v>
      </c>
      <c r="Q2831">
        <v>0</v>
      </c>
      <c r="R2831">
        <v>0</v>
      </c>
      <c r="S2831" t="str">
        <f t="shared" si="220"/>
        <v>PY: Media Crit.</v>
      </c>
      <c r="T2831">
        <f t="shared" si="221"/>
        <v>1</v>
      </c>
      <c r="U2831">
        <f t="shared" si="222"/>
        <v>0</v>
      </c>
      <c r="V2831">
        <f t="shared" si="223"/>
        <v>0</v>
      </c>
      <c r="W2831">
        <f t="shared" si="224"/>
        <v>0</v>
      </c>
      <c r="X2831">
        <v>1</v>
      </c>
      <c r="Y2831" s="2">
        <v>45768</v>
      </c>
      <c r="Z2831" s="3" t="s">
        <v>89</v>
      </c>
      <c r="AA2831" t="s">
        <v>39</v>
      </c>
      <c r="AB2831" t="s">
        <v>49</v>
      </c>
      <c r="AC2831" s="5" t="s">
        <v>50</v>
      </c>
      <c r="AD2831" t="s">
        <v>184</v>
      </c>
    </row>
    <row r="2832" spans="2:30">
      <c r="B2832">
        <v>0</v>
      </c>
      <c r="C2832">
        <v>1020</v>
      </c>
      <c r="D2832" t="s">
        <v>388</v>
      </c>
      <c r="E2832">
        <v>14229839</v>
      </c>
      <c r="F2832" t="s">
        <v>2916</v>
      </c>
      <c r="G2832" t="s">
        <v>31</v>
      </c>
      <c r="H2832" t="s">
        <v>44</v>
      </c>
      <c r="I2832" t="s">
        <v>390</v>
      </c>
      <c r="J2832" t="s">
        <v>45</v>
      </c>
      <c r="K2832" t="s">
        <v>35</v>
      </c>
      <c r="L2832" t="s">
        <v>175</v>
      </c>
      <c r="M2832" t="s">
        <v>46</v>
      </c>
      <c r="N2832">
        <v>0</v>
      </c>
      <c r="O2832">
        <v>0</v>
      </c>
      <c r="P2832">
        <v>1</v>
      </c>
      <c r="Q2832">
        <v>2</v>
      </c>
      <c r="R2832" s="4">
        <v>134341.9</v>
      </c>
      <c r="S2832" t="str">
        <f t="shared" si="220"/>
        <v>PX: Baja Crit.</v>
      </c>
      <c r="T2832">
        <f t="shared" si="221"/>
        <v>0</v>
      </c>
      <c r="U2832">
        <f t="shared" si="222"/>
        <v>0</v>
      </c>
      <c r="V2832">
        <f t="shared" si="223"/>
        <v>0</v>
      </c>
      <c r="W2832">
        <f t="shared" si="224"/>
        <v>1</v>
      </c>
      <c r="X2832">
        <v>1</v>
      </c>
      <c r="Y2832" s="2">
        <v>45768</v>
      </c>
      <c r="Z2832" s="3" t="s">
        <v>47</v>
      </c>
      <c r="AA2832" t="s">
        <v>39</v>
      </c>
      <c r="AB2832" t="s">
        <v>40</v>
      </c>
      <c r="AC2832" t="s">
        <v>40</v>
      </c>
      <c r="AD2832" t="s">
        <v>391</v>
      </c>
    </row>
    <row r="2833" spans="2:30">
      <c r="B2833">
        <v>0</v>
      </c>
      <c r="C2833">
        <v>1020</v>
      </c>
      <c r="D2833" t="s">
        <v>388</v>
      </c>
      <c r="E2833">
        <v>14231200</v>
      </c>
      <c r="F2833" t="s">
        <v>2917</v>
      </c>
      <c r="G2833" t="s">
        <v>52</v>
      </c>
      <c r="H2833" t="s">
        <v>44</v>
      </c>
      <c r="I2833" t="s">
        <v>390</v>
      </c>
      <c r="J2833" t="s">
        <v>45</v>
      </c>
      <c r="K2833" t="s">
        <v>35</v>
      </c>
      <c r="L2833" t="s">
        <v>175</v>
      </c>
      <c r="M2833" t="s">
        <v>69</v>
      </c>
      <c r="N2833">
        <v>0</v>
      </c>
      <c r="O2833">
        <v>0</v>
      </c>
      <c r="P2833">
        <v>1</v>
      </c>
      <c r="Q2833">
        <v>0</v>
      </c>
      <c r="R2833">
        <v>0</v>
      </c>
      <c r="S2833" t="str">
        <f t="shared" si="220"/>
        <v>PZ: Alta Crit.</v>
      </c>
      <c r="T2833">
        <f t="shared" si="221"/>
        <v>1</v>
      </c>
      <c r="U2833">
        <f t="shared" si="222"/>
        <v>0</v>
      </c>
      <c r="V2833">
        <f t="shared" si="223"/>
        <v>0</v>
      </c>
      <c r="W2833">
        <f t="shared" si="224"/>
        <v>0</v>
      </c>
      <c r="X2833">
        <v>1</v>
      </c>
      <c r="Y2833" s="2">
        <v>45768</v>
      </c>
      <c r="Z2833" s="3" t="s">
        <v>70</v>
      </c>
      <c r="AA2833" t="s">
        <v>39</v>
      </c>
      <c r="AB2833" t="s">
        <v>40</v>
      </c>
      <c r="AC2833" t="s">
        <v>40</v>
      </c>
      <c r="AD2833" t="s">
        <v>391</v>
      </c>
    </row>
    <row r="2834" spans="2:30">
      <c r="B2834">
        <v>0</v>
      </c>
      <c r="C2834">
        <v>1020</v>
      </c>
      <c r="D2834" t="s">
        <v>388</v>
      </c>
      <c r="E2834">
        <v>14234857</v>
      </c>
      <c r="F2834" t="s">
        <v>2918</v>
      </c>
      <c r="G2834" t="s">
        <v>31</v>
      </c>
      <c r="H2834" t="s">
        <v>44</v>
      </c>
      <c r="I2834" t="s">
        <v>390</v>
      </c>
      <c r="J2834" t="s">
        <v>45</v>
      </c>
      <c r="K2834" t="s">
        <v>260</v>
      </c>
      <c r="L2834" t="s">
        <v>175</v>
      </c>
      <c r="M2834" t="s">
        <v>37</v>
      </c>
      <c r="N2834">
        <v>0</v>
      </c>
      <c r="O2834">
        <v>0</v>
      </c>
      <c r="P2834">
        <v>4</v>
      </c>
      <c r="Q2834">
        <v>4</v>
      </c>
      <c r="R2834" s="4">
        <v>1097.28</v>
      </c>
      <c r="S2834" t="str">
        <f t="shared" si="220"/>
        <v>PX: Baja Crit.</v>
      </c>
      <c r="T2834">
        <f t="shared" si="221"/>
        <v>0</v>
      </c>
      <c r="U2834">
        <f t="shared" si="222"/>
        <v>1</v>
      </c>
      <c r="V2834">
        <f t="shared" si="223"/>
        <v>0</v>
      </c>
      <c r="W2834">
        <f t="shared" si="224"/>
        <v>1</v>
      </c>
      <c r="X2834">
        <v>1</v>
      </c>
      <c r="Y2834" s="2">
        <v>45768</v>
      </c>
      <c r="Z2834" s="3" t="s">
        <v>38</v>
      </c>
      <c r="AA2834" t="s">
        <v>39</v>
      </c>
      <c r="AB2834" t="s">
        <v>40</v>
      </c>
      <c r="AC2834" t="s">
        <v>40</v>
      </c>
      <c r="AD2834" t="s">
        <v>391</v>
      </c>
    </row>
    <row r="2835" spans="2:30">
      <c r="B2835">
        <v>0</v>
      </c>
      <c r="C2835">
        <v>1020</v>
      </c>
      <c r="D2835" t="s">
        <v>181</v>
      </c>
      <c r="E2835">
        <v>14234858</v>
      </c>
      <c r="F2835" t="s">
        <v>2919</v>
      </c>
      <c r="G2835" t="s">
        <v>31</v>
      </c>
      <c r="H2835" t="s">
        <v>32</v>
      </c>
      <c r="I2835" t="s">
        <v>183</v>
      </c>
      <c r="J2835" t="s">
        <v>45</v>
      </c>
      <c r="K2835" t="s">
        <v>35</v>
      </c>
      <c r="L2835" t="s">
        <v>36</v>
      </c>
      <c r="M2835" t="s">
        <v>88</v>
      </c>
      <c r="N2835">
        <v>60</v>
      </c>
      <c r="O2835">
        <v>31</v>
      </c>
      <c r="P2835">
        <v>0</v>
      </c>
      <c r="Q2835">
        <v>60</v>
      </c>
      <c r="R2835">
        <v>0</v>
      </c>
      <c r="S2835" t="str">
        <f t="shared" si="220"/>
        <v>PX: Baja Crit.</v>
      </c>
      <c r="T2835">
        <f t="shared" si="221"/>
        <v>0</v>
      </c>
      <c r="U2835">
        <f t="shared" si="222"/>
        <v>0</v>
      </c>
      <c r="V2835">
        <f t="shared" si="223"/>
        <v>1</v>
      </c>
      <c r="W2835">
        <f t="shared" si="224"/>
        <v>0</v>
      </c>
      <c r="X2835">
        <v>1</v>
      </c>
      <c r="Y2835" s="2">
        <v>45768</v>
      </c>
      <c r="Z2835" s="3" t="s">
        <v>89</v>
      </c>
      <c r="AA2835" t="s">
        <v>39</v>
      </c>
      <c r="AB2835" t="s">
        <v>40</v>
      </c>
      <c r="AC2835" t="s">
        <v>40</v>
      </c>
      <c r="AD2835" t="s">
        <v>184</v>
      </c>
    </row>
    <row r="2836" spans="2:30">
      <c r="B2836">
        <v>0</v>
      </c>
      <c r="C2836">
        <v>1020</v>
      </c>
      <c r="D2836" t="s">
        <v>172</v>
      </c>
      <c r="E2836">
        <v>14238532</v>
      </c>
      <c r="F2836" t="s">
        <v>2920</v>
      </c>
      <c r="G2836" t="s">
        <v>52</v>
      </c>
      <c r="H2836" t="s">
        <v>32</v>
      </c>
      <c r="I2836" t="s">
        <v>584</v>
      </c>
      <c r="J2836" t="s">
        <v>45</v>
      </c>
      <c r="K2836" t="s">
        <v>35</v>
      </c>
      <c r="L2836" t="s">
        <v>175</v>
      </c>
      <c r="M2836" t="s">
        <v>117</v>
      </c>
      <c r="N2836">
        <v>0</v>
      </c>
      <c r="O2836">
        <v>0</v>
      </c>
      <c r="P2836">
        <v>0</v>
      </c>
      <c r="Q2836">
        <v>6</v>
      </c>
      <c r="R2836" s="4">
        <v>186929.64</v>
      </c>
      <c r="S2836" t="str">
        <f t="shared" si="220"/>
        <v>PZ: Alta Crit.</v>
      </c>
      <c r="T2836">
        <f t="shared" si="221"/>
        <v>0</v>
      </c>
      <c r="U2836">
        <f t="shared" si="222"/>
        <v>0</v>
      </c>
      <c r="V2836">
        <f t="shared" si="223"/>
        <v>0</v>
      </c>
      <c r="W2836">
        <f t="shared" si="224"/>
        <v>1</v>
      </c>
      <c r="X2836">
        <v>1</v>
      </c>
      <c r="Y2836" s="2">
        <v>45768</v>
      </c>
      <c r="Z2836" s="3" t="s">
        <v>118</v>
      </c>
      <c r="AA2836" t="s">
        <v>39</v>
      </c>
      <c r="AB2836" t="s">
        <v>76</v>
      </c>
      <c r="AC2836" s="5" t="s">
        <v>77</v>
      </c>
      <c r="AD2836" t="s">
        <v>585</v>
      </c>
    </row>
    <row r="2837" spans="2:30">
      <c r="B2837">
        <v>0</v>
      </c>
      <c r="C2837">
        <v>1020</v>
      </c>
      <c r="D2837" t="s">
        <v>388</v>
      </c>
      <c r="E2837">
        <v>14245095</v>
      </c>
      <c r="F2837" t="s">
        <v>2921</v>
      </c>
      <c r="G2837" t="s">
        <v>31</v>
      </c>
      <c r="H2837" t="s">
        <v>44</v>
      </c>
      <c r="I2837" t="s">
        <v>390</v>
      </c>
      <c r="J2837" t="s">
        <v>45</v>
      </c>
      <c r="K2837" t="s">
        <v>35</v>
      </c>
      <c r="L2837" t="s">
        <v>175</v>
      </c>
      <c r="M2837" t="s">
        <v>69</v>
      </c>
      <c r="N2837">
        <v>0</v>
      </c>
      <c r="O2837">
        <v>0</v>
      </c>
      <c r="P2837">
        <v>1</v>
      </c>
      <c r="Q2837">
        <v>1</v>
      </c>
      <c r="R2837">
        <v>0</v>
      </c>
      <c r="S2837" t="str">
        <f t="shared" si="220"/>
        <v>PX: Baja Crit.</v>
      </c>
      <c r="T2837">
        <f t="shared" si="221"/>
        <v>0</v>
      </c>
      <c r="U2837">
        <f t="shared" si="222"/>
        <v>1</v>
      </c>
      <c r="V2837">
        <f t="shared" si="223"/>
        <v>0</v>
      </c>
      <c r="W2837">
        <f t="shared" si="224"/>
        <v>1</v>
      </c>
      <c r="X2837">
        <v>1</v>
      </c>
      <c r="Y2837" s="2">
        <v>45768</v>
      </c>
      <c r="Z2837" s="3" t="s">
        <v>70</v>
      </c>
      <c r="AA2837" t="s">
        <v>39</v>
      </c>
      <c r="AB2837" t="s">
        <v>40</v>
      </c>
      <c r="AC2837" t="s">
        <v>40</v>
      </c>
      <c r="AD2837" t="s">
        <v>391</v>
      </c>
    </row>
    <row r="2838" spans="2:30">
      <c r="B2838">
        <v>0</v>
      </c>
      <c r="C2838">
        <v>1020</v>
      </c>
      <c r="D2838" t="s">
        <v>388</v>
      </c>
      <c r="E2838">
        <v>14245096</v>
      </c>
      <c r="F2838" t="s">
        <v>2922</v>
      </c>
      <c r="G2838" t="s">
        <v>31</v>
      </c>
      <c r="H2838" t="s">
        <v>32</v>
      </c>
      <c r="I2838" t="s">
        <v>390</v>
      </c>
      <c r="J2838" t="s">
        <v>45</v>
      </c>
      <c r="K2838" t="s">
        <v>35</v>
      </c>
      <c r="L2838" t="s">
        <v>175</v>
      </c>
      <c r="M2838" t="s">
        <v>69</v>
      </c>
      <c r="N2838">
        <v>0</v>
      </c>
      <c r="O2838">
        <v>0</v>
      </c>
      <c r="P2838">
        <v>1</v>
      </c>
      <c r="Q2838">
        <v>1</v>
      </c>
      <c r="R2838">
        <v>0</v>
      </c>
      <c r="S2838" t="str">
        <f t="shared" si="220"/>
        <v>PX: Baja Crit.</v>
      </c>
      <c r="T2838">
        <f t="shared" si="221"/>
        <v>0</v>
      </c>
      <c r="U2838">
        <f t="shared" si="222"/>
        <v>1</v>
      </c>
      <c r="V2838">
        <f t="shared" si="223"/>
        <v>0</v>
      </c>
      <c r="W2838">
        <f t="shared" si="224"/>
        <v>1</v>
      </c>
      <c r="X2838">
        <v>1</v>
      </c>
      <c r="Y2838" s="2">
        <v>45768</v>
      </c>
      <c r="Z2838" s="3" t="s">
        <v>70</v>
      </c>
      <c r="AA2838" t="s">
        <v>39</v>
      </c>
      <c r="AB2838" t="s">
        <v>40</v>
      </c>
      <c r="AC2838" t="s">
        <v>40</v>
      </c>
      <c r="AD2838" t="s">
        <v>391</v>
      </c>
    </row>
    <row r="2839" spans="2:30">
      <c r="B2839">
        <v>0</v>
      </c>
      <c r="C2839">
        <v>1020</v>
      </c>
      <c r="D2839" t="s">
        <v>388</v>
      </c>
      <c r="E2839">
        <v>14245097</v>
      </c>
      <c r="F2839" t="s">
        <v>2923</v>
      </c>
      <c r="G2839" t="s">
        <v>31</v>
      </c>
      <c r="H2839" t="s">
        <v>32</v>
      </c>
      <c r="I2839" t="s">
        <v>390</v>
      </c>
      <c r="J2839" t="s">
        <v>45</v>
      </c>
      <c r="K2839" t="s">
        <v>35</v>
      </c>
      <c r="L2839" t="s">
        <v>175</v>
      </c>
      <c r="M2839" t="s">
        <v>69</v>
      </c>
      <c r="N2839">
        <v>0</v>
      </c>
      <c r="O2839">
        <v>0</v>
      </c>
      <c r="P2839">
        <v>1</v>
      </c>
      <c r="Q2839">
        <v>1</v>
      </c>
      <c r="R2839">
        <v>0</v>
      </c>
      <c r="S2839" t="str">
        <f t="shared" si="220"/>
        <v>PX: Baja Crit.</v>
      </c>
      <c r="T2839">
        <f t="shared" si="221"/>
        <v>0</v>
      </c>
      <c r="U2839">
        <f t="shared" si="222"/>
        <v>1</v>
      </c>
      <c r="V2839">
        <f t="shared" si="223"/>
        <v>0</v>
      </c>
      <c r="W2839">
        <f t="shared" si="224"/>
        <v>1</v>
      </c>
      <c r="X2839">
        <v>1</v>
      </c>
      <c r="Y2839" s="2">
        <v>45768</v>
      </c>
      <c r="Z2839" s="3" t="s">
        <v>70</v>
      </c>
      <c r="AA2839" t="s">
        <v>39</v>
      </c>
      <c r="AB2839" t="s">
        <v>40</v>
      </c>
      <c r="AC2839" t="s">
        <v>40</v>
      </c>
      <c r="AD2839" t="s">
        <v>391</v>
      </c>
    </row>
    <row r="2840" spans="2:30">
      <c r="B2840">
        <v>0</v>
      </c>
      <c r="C2840">
        <v>1020</v>
      </c>
      <c r="D2840" t="s">
        <v>388</v>
      </c>
      <c r="E2840">
        <v>14245098</v>
      </c>
      <c r="F2840" t="s">
        <v>2924</v>
      </c>
      <c r="G2840" t="s">
        <v>31</v>
      </c>
      <c r="H2840" t="s">
        <v>32</v>
      </c>
      <c r="I2840" t="s">
        <v>390</v>
      </c>
      <c r="J2840" t="s">
        <v>45</v>
      </c>
      <c r="K2840" t="s">
        <v>35</v>
      </c>
      <c r="L2840" t="s">
        <v>175</v>
      </c>
      <c r="M2840" t="s">
        <v>69</v>
      </c>
      <c r="N2840">
        <v>0</v>
      </c>
      <c r="O2840">
        <v>0</v>
      </c>
      <c r="P2840">
        <v>1</v>
      </c>
      <c r="Q2840">
        <v>1</v>
      </c>
      <c r="R2840">
        <v>0</v>
      </c>
      <c r="S2840" t="str">
        <f t="shared" si="220"/>
        <v>PX: Baja Crit.</v>
      </c>
      <c r="T2840">
        <f t="shared" si="221"/>
        <v>0</v>
      </c>
      <c r="U2840">
        <f t="shared" si="222"/>
        <v>1</v>
      </c>
      <c r="V2840">
        <f t="shared" si="223"/>
        <v>0</v>
      </c>
      <c r="W2840">
        <f t="shared" si="224"/>
        <v>1</v>
      </c>
      <c r="X2840">
        <v>1</v>
      </c>
      <c r="Y2840" s="2">
        <v>45768</v>
      </c>
      <c r="Z2840" s="3" t="s">
        <v>70</v>
      </c>
      <c r="AA2840" t="s">
        <v>39</v>
      </c>
      <c r="AB2840" t="s">
        <v>40</v>
      </c>
      <c r="AC2840" t="s">
        <v>40</v>
      </c>
      <c r="AD2840" t="s">
        <v>391</v>
      </c>
    </row>
    <row r="2841" spans="2:30">
      <c r="B2841">
        <v>0</v>
      </c>
      <c r="C2841">
        <v>1020</v>
      </c>
      <c r="D2841" t="s">
        <v>388</v>
      </c>
      <c r="E2841">
        <v>14245099</v>
      </c>
      <c r="F2841" t="s">
        <v>2925</v>
      </c>
      <c r="G2841" t="s">
        <v>31</v>
      </c>
      <c r="H2841" t="s">
        <v>44</v>
      </c>
      <c r="I2841" t="s">
        <v>390</v>
      </c>
      <c r="J2841" t="s">
        <v>45</v>
      </c>
      <c r="K2841" t="s">
        <v>35</v>
      </c>
      <c r="L2841" t="s">
        <v>175</v>
      </c>
      <c r="M2841" t="s">
        <v>69</v>
      </c>
      <c r="N2841">
        <v>0</v>
      </c>
      <c r="O2841">
        <v>0</v>
      </c>
      <c r="P2841">
        <v>1</v>
      </c>
      <c r="Q2841">
        <v>1</v>
      </c>
      <c r="R2841">
        <v>0</v>
      </c>
      <c r="S2841" t="str">
        <f t="shared" si="220"/>
        <v>PX: Baja Crit.</v>
      </c>
      <c r="T2841">
        <f t="shared" si="221"/>
        <v>0</v>
      </c>
      <c r="U2841">
        <f t="shared" si="222"/>
        <v>1</v>
      </c>
      <c r="V2841">
        <f t="shared" si="223"/>
        <v>0</v>
      </c>
      <c r="W2841">
        <f t="shared" si="224"/>
        <v>1</v>
      </c>
      <c r="X2841">
        <v>1</v>
      </c>
      <c r="Y2841" s="2">
        <v>45768</v>
      </c>
      <c r="Z2841" s="3" t="s">
        <v>70</v>
      </c>
      <c r="AA2841" t="s">
        <v>39</v>
      </c>
      <c r="AB2841" t="s">
        <v>40</v>
      </c>
      <c r="AC2841" t="s">
        <v>40</v>
      </c>
      <c r="AD2841" t="s">
        <v>391</v>
      </c>
    </row>
    <row r="2842" spans="2:30">
      <c r="B2842">
        <v>0</v>
      </c>
      <c r="C2842">
        <v>1020</v>
      </c>
      <c r="D2842" t="s">
        <v>388</v>
      </c>
      <c r="E2842">
        <v>14245100</v>
      </c>
      <c r="F2842" t="s">
        <v>2926</v>
      </c>
      <c r="G2842" t="s">
        <v>31</v>
      </c>
      <c r="H2842" t="s">
        <v>32</v>
      </c>
      <c r="I2842" t="s">
        <v>390</v>
      </c>
      <c r="J2842" t="s">
        <v>45</v>
      </c>
      <c r="K2842" t="s">
        <v>35</v>
      </c>
      <c r="L2842" t="s">
        <v>175</v>
      </c>
      <c r="M2842" t="s">
        <v>69</v>
      </c>
      <c r="N2842">
        <v>0</v>
      </c>
      <c r="O2842">
        <v>0</v>
      </c>
      <c r="P2842">
        <v>1</v>
      </c>
      <c r="Q2842">
        <v>1</v>
      </c>
      <c r="R2842">
        <v>0</v>
      </c>
      <c r="S2842" t="str">
        <f t="shared" si="220"/>
        <v>PX: Baja Crit.</v>
      </c>
      <c r="T2842">
        <f t="shared" si="221"/>
        <v>0</v>
      </c>
      <c r="U2842">
        <f t="shared" si="222"/>
        <v>1</v>
      </c>
      <c r="V2842">
        <f t="shared" si="223"/>
        <v>0</v>
      </c>
      <c r="W2842">
        <f t="shared" si="224"/>
        <v>1</v>
      </c>
      <c r="X2842">
        <v>1</v>
      </c>
      <c r="Y2842" s="2">
        <v>45768</v>
      </c>
      <c r="Z2842" s="3" t="s">
        <v>70</v>
      </c>
      <c r="AA2842" t="s">
        <v>39</v>
      </c>
      <c r="AB2842" t="s">
        <v>40</v>
      </c>
      <c r="AC2842" t="s">
        <v>40</v>
      </c>
      <c r="AD2842" t="s">
        <v>391</v>
      </c>
    </row>
    <row r="2843" spans="2:30">
      <c r="B2843">
        <v>0</v>
      </c>
      <c r="C2843">
        <v>1020</v>
      </c>
      <c r="D2843" t="s">
        <v>388</v>
      </c>
      <c r="E2843">
        <v>14245101</v>
      </c>
      <c r="F2843" t="s">
        <v>2927</v>
      </c>
      <c r="G2843" t="s">
        <v>31</v>
      </c>
      <c r="H2843" t="s">
        <v>32</v>
      </c>
      <c r="I2843" t="s">
        <v>390</v>
      </c>
      <c r="J2843" t="s">
        <v>45</v>
      </c>
      <c r="K2843" t="s">
        <v>35</v>
      </c>
      <c r="L2843" t="s">
        <v>175</v>
      </c>
      <c r="M2843" t="s">
        <v>69</v>
      </c>
      <c r="N2843">
        <v>0</v>
      </c>
      <c r="O2843">
        <v>0</v>
      </c>
      <c r="P2843">
        <v>1</v>
      </c>
      <c r="Q2843">
        <v>1</v>
      </c>
      <c r="R2843">
        <v>0</v>
      </c>
      <c r="S2843" t="str">
        <f t="shared" si="220"/>
        <v>PX: Baja Crit.</v>
      </c>
      <c r="T2843">
        <f t="shared" si="221"/>
        <v>0</v>
      </c>
      <c r="U2843">
        <f t="shared" si="222"/>
        <v>1</v>
      </c>
      <c r="V2843">
        <f t="shared" si="223"/>
        <v>0</v>
      </c>
      <c r="W2843">
        <f t="shared" si="224"/>
        <v>1</v>
      </c>
      <c r="X2843">
        <v>1</v>
      </c>
      <c r="Y2843" s="2">
        <v>45768</v>
      </c>
      <c r="Z2843" s="3" t="s">
        <v>70</v>
      </c>
      <c r="AA2843" t="s">
        <v>39</v>
      </c>
      <c r="AB2843" t="s">
        <v>40</v>
      </c>
      <c r="AC2843" t="s">
        <v>40</v>
      </c>
      <c r="AD2843" t="s">
        <v>391</v>
      </c>
    </row>
    <row r="2844" spans="2:30">
      <c r="B2844">
        <v>0</v>
      </c>
      <c r="C2844">
        <v>1020</v>
      </c>
      <c r="D2844" t="s">
        <v>388</v>
      </c>
      <c r="E2844">
        <v>14245102</v>
      </c>
      <c r="F2844" t="s">
        <v>2928</v>
      </c>
      <c r="G2844" t="s">
        <v>31</v>
      </c>
      <c r="H2844" t="s">
        <v>32</v>
      </c>
      <c r="I2844" t="s">
        <v>390</v>
      </c>
      <c r="J2844" t="s">
        <v>45</v>
      </c>
      <c r="K2844" t="s">
        <v>35</v>
      </c>
      <c r="L2844" t="s">
        <v>175</v>
      </c>
      <c r="M2844" t="s">
        <v>37</v>
      </c>
      <c r="N2844">
        <v>0</v>
      </c>
      <c r="O2844">
        <v>0</v>
      </c>
      <c r="P2844">
        <v>1</v>
      </c>
      <c r="Q2844">
        <v>1</v>
      </c>
      <c r="R2844">
        <v>0</v>
      </c>
      <c r="S2844" t="str">
        <f t="shared" si="220"/>
        <v>PX: Baja Crit.</v>
      </c>
      <c r="T2844">
        <f t="shared" si="221"/>
        <v>0</v>
      </c>
      <c r="U2844">
        <f t="shared" si="222"/>
        <v>1</v>
      </c>
      <c r="V2844">
        <f t="shared" si="223"/>
        <v>0</v>
      </c>
      <c r="W2844">
        <f t="shared" si="224"/>
        <v>1</v>
      </c>
      <c r="X2844">
        <v>1</v>
      </c>
      <c r="Y2844" s="2">
        <v>45768</v>
      </c>
      <c r="Z2844" s="3" t="s">
        <v>38</v>
      </c>
      <c r="AA2844" t="s">
        <v>39</v>
      </c>
      <c r="AB2844" t="s">
        <v>40</v>
      </c>
      <c r="AC2844" t="s">
        <v>40</v>
      </c>
      <c r="AD2844" t="s">
        <v>391</v>
      </c>
    </row>
    <row r="2845" spans="2:30">
      <c r="B2845">
        <v>0</v>
      </c>
      <c r="C2845">
        <v>1020</v>
      </c>
      <c r="D2845" t="s">
        <v>388</v>
      </c>
      <c r="E2845">
        <v>14245103</v>
      </c>
      <c r="F2845" t="s">
        <v>2929</v>
      </c>
      <c r="G2845" t="s">
        <v>31</v>
      </c>
      <c r="H2845" t="s">
        <v>32</v>
      </c>
      <c r="I2845" t="s">
        <v>390</v>
      </c>
      <c r="J2845" t="s">
        <v>45</v>
      </c>
      <c r="K2845" t="s">
        <v>35</v>
      </c>
      <c r="L2845" t="s">
        <v>175</v>
      </c>
      <c r="M2845" t="s">
        <v>69</v>
      </c>
      <c r="N2845">
        <v>0</v>
      </c>
      <c r="O2845">
        <v>0</v>
      </c>
      <c r="P2845">
        <v>1</v>
      </c>
      <c r="Q2845">
        <v>1</v>
      </c>
      <c r="R2845">
        <v>0</v>
      </c>
      <c r="S2845" t="str">
        <f t="shared" si="220"/>
        <v>PX: Baja Crit.</v>
      </c>
      <c r="T2845">
        <f t="shared" si="221"/>
        <v>0</v>
      </c>
      <c r="U2845">
        <f t="shared" si="222"/>
        <v>1</v>
      </c>
      <c r="V2845">
        <f t="shared" si="223"/>
        <v>0</v>
      </c>
      <c r="W2845">
        <f t="shared" si="224"/>
        <v>1</v>
      </c>
      <c r="X2845">
        <v>1</v>
      </c>
      <c r="Y2845" s="2">
        <v>45768</v>
      </c>
      <c r="Z2845" s="3" t="s">
        <v>70</v>
      </c>
      <c r="AA2845" t="s">
        <v>39</v>
      </c>
      <c r="AB2845" t="s">
        <v>40</v>
      </c>
      <c r="AC2845" t="s">
        <v>40</v>
      </c>
      <c r="AD2845" t="s">
        <v>391</v>
      </c>
    </row>
    <row r="2846" spans="2:30">
      <c r="B2846">
        <v>0</v>
      </c>
      <c r="C2846">
        <v>1020</v>
      </c>
      <c r="D2846" t="s">
        <v>388</v>
      </c>
      <c r="E2846">
        <v>14245104</v>
      </c>
      <c r="F2846" t="s">
        <v>2930</v>
      </c>
      <c r="G2846" t="s">
        <v>31</v>
      </c>
      <c r="H2846" t="s">
        <v>32</v>
      </c>
      <c r="I2846" t="s">
        <v>390</v>
      </c>
      <c r="J2846" t="s">
        <v>45</v>
      </c>
      <c r="K2846" t="s">
        <v>35</v>
      </c>
      <c r="L2846" t="s">
        <v>175</v>
      </c>
      <c r="M2846" t="s">
        <v>69</v>
      </c>
      <c r="N2846">
        <v>0</v>
      </c>
      <c r="O2846">
        <v>0</v>
      </c>
      <c r="P2846">
        <v>1</v>
      </c>
      <c r="Q2846">
        <v>1</v>
      </c>
      <c r="R2846">
        <v>0</v>
      </c>
      <c r="S2846" t="str">
        <f t="shared" si="220"/>
        <v>PX: Baja Crit.</v>
      </c>
      <c r="T2846">
        <f t="shared" si="221"/>
        <v>0</v>
      </c>
      <c r="U2846">
        <f t="shared" si="222"/>
        <v>1</v>
      </c>
      <c r="V2846">
        <f t="shared" si="223"/>
        <v>0</v>
      </c>
      <c r="W2846">
        <f t="shared" si="224"/>
        <v>1</v>
      </c>
      <c r="X2846">
        <v>1</v>
      </c>
      <c r="Y2846" s="2">
        <v>45768</v>
      </c>
      <c r="Z2846" s="3" t="s">
        <v>70</v>
      </c>
      <c r="AA2846" t="s">
        <v>39</v>
      </c>
      <c r="AB2846" t="s">
        <v>40</v>
      </c>
      <c r="AC2846" t="s">
        <v>40</v>
      </c>
      <c r="AD2846" t="s">
        <v>391</v>
      </c>
    </row>
    <row r="2847" spans="2:30">
      <c r="B2847">
        <v>0</v>
      </c>
      <c r="C2847">
        <v>1020</v>
      </c>
      <c r="D2847" t="s">
        <v>388</v>
      </c>
      <c r="E2847">
        <v>14253010</v>
      </c>
      <c r="F2847" t="s">
        <v>2931</v>
      </c>
      <c r="G2847" t="s">
        <v>43</v>
      </c>
      <c r="H2847" t="s">
        <v>44</v>
      </c>
      <c r="I2847" t="s">
        <v>390</v>
      </c>
      <c r="J2847" t="s">
        <v>45</v>
      </c>
      <c r="K2847" t="s">
        <v>35</v>
      </c>
      <c r="L2847" t="s">
        <v>175</v>
      </c>
      <c r="M2847" t="s">
        <v>117</v>
      </c>
      <c r="N2847">
        <v>0</v>
      </c>
      <c r="O2847">
        <v>0</v>
      </c>
      <c r="P2847">
        <v>4</v>
      </c>
      <c r="Q2847">
        <v>0</v>
      </c>
      <c r="R2847">
        <v>0</v>
      </c>
      <c r="S2847" t="str">
        <f t="shared" si="220"/>
        <v>PY: Media Crit.</v>
      </c>
      <c r="T2847">
        <f t="shared" si="221"/>
        <v>1</v>
      </c>
      <c r="U2847">
        <f t="shared" si="222"/>
        <v>0</v>
      </c>
      <c r="V2847">
        <f t="shared" si="223"/>
        <v>0</v>
      </c>
      <c r="W2847">
        <f t="shared" si="224"/>
        <v>0</v>
      </c>
      <c r="X2847">
        <v>1</v>
      </c>
      <c r="Y2847" s="2">
        <v>45768</v>
      </c>
      <c r="Z2847" s="3" t="s">
        <v>118</v>
      </c>
      <c r="AA2847" t="s">
        <v>39</v>
      </c>
      <c r="AB2847" t="s">
        <v>49</v>
      </c>
      <c r="AC2847" s="5" t="s">
        <v>50</v>
      </c>
      <c r="AD2847" t="s">
        <v>391</v>
      </c>
    </row>
    <row r="2848" spans="2:30">
      <c r="B2848">
        <v>0</v>
      </c>
      <c r="C2848">
        <v>1020</v>
      </c>
      <c r="D2848" t="s">
        <v>388</v>
      </c>
      <c r="E2848">
        <v>14253011</v>
      </c>
      <c r="F2848" t="s">
        <v>2932</v>
      </c>
      <c r="G2848" t="s">
        <v>43</v>
      </c>
      <c r="H2848" t="s">
        <v>44</v>
      </c>
      <c r="I2848" t="s">
        <v>390</v>
      </c>
      <c r="J2848" t="s">
        <v>45</v>
      </c>
      <c r="K2848" t="s">
        <v>35</v>
      </c>
      <c r="L2848" t="s">
        <v>175</v>
      </c>
      <c r="M2848" t="s">
        <v>117</v>
      </c>
      <c r="N2848">
        <v>0</v>
      </c>
      <c r="O2848">
        <v>0</v>
      </c>
      <c r="P2848">
        <v>2</v>
      </c>
      <c r="Q2848">
        <v>0</v>
      </c>
      <c r="R2848">
        <v>0</v>
      </c>
      <c r="S2848" t="str">
        <f t="shared" si="220"/>
        <v>PY: Media Crit.</v>
      </c>
      <c r="T2848">
        <f t="shared" si="221"/>
        <v>1</v>
      </c>
      <c r="U2848">
        <f t="shared" si="222"/>
        <v>0</v>
      </c>
      <c r="V2848">
        <f t="shared" si="223"/>
        <v>0</v>
      </c>
      <c r="W2848">
        <f t="shared" si="224"/>
        <v>0</v>
      </c>
      <c r="X2848">
        <v>1</v>
      </c>
      <c r="Y2848" s="2">
        <v>45768</v>
      </c>
      <c r="Z2848" s="3" t="s">
        <v>118</v>
      </c>
      <c r="AA2848" t="s">
        <v>39</v>
      </c>
      <c r="AB2848" t="s">
        <v>49</v>
      </c>
      <c r="AC2848" s="5" t="s">
        <v>50</v>
      </c>
      <c r="AD2848" t="s">
        <v>391</v>
      </c>
    </row>
    <row r="2849" spans="2:30">
      <c r="B2849">
        <v>0</v>
      </c>
      <c r="C2849">
        <v>1020</v>
      </c>
      <c r="D2849" t="s">
        <v>388</v>
      </c>
      <c r="E2849">
        <v>14253438</v>
      </c>
      <c r="F2849" t="s">
        <v>2933</v>
      </c>
      <c r="G2849" t="s">
        <v>52</v>
      </c>
      <c r="H2849" t="s">
        <v>44</v>
      </c>
      <c r="I2849" t="s">
        <v>390</v>
      </c>
      <c r="J2849" t="s">
        <v>45</v>
      </c>
      <c r="K2849" t="s">
        <v>35</v>
      </c>
      <c r="L2849" t="s">
        <v>175</v>
      </c>
      <c r="M2849" t="s">
        <v>69</v>
      </c>
      <c r="N2849">
        <v>0</v>
      </c>
      <c r="O2849">
        <v>0</v>
      </c>
      <c r="P2849">
        <v>1</v>
      </c>
      <c r="Q2849">
        <v>1</v>
      </c>
      <c r="R2849" s="4">
        <v>1389.43</v>
      </c>
      <c r="S2849" t="str">
        <f t="shared" si="220"/>
        <v>PZ: Alta Crit.</v>
      </c>
      <c r="T2849">
        <f t="shared" si="221"/>
        <v>0</v>
      </c>
      <c r="U2849">
        <f t="shared" si="222"/>
        <v>1</v>
      </c>
      <c r="V2849">
        <f t="shared" si="223"/>
        <v>0</v>
      </c>
      <c r="W2849">
        <f t="shared" si="224"/>
        <v>1</v>
      </c>
      <c r="X2849">
        <v>1</v>
      </c>
      <c r="Y2849" s="2">
        <v>45768</v>
      </c>
      <c r="Z2849" s="3" t="s">
        <v>70</v>
      </c>
      <c r="AA2849" t="s">
        <v>39</v>
      </c>
      <c r="AB2849" t="s">
        <v>40</v>
      </c>
      <c r="AC2849" t="s">
        <v>40</v>
      </c>
      <c r="AD2849" t="s">
        <v>391</v>
      </c>
    </row>
    <row r="2850" spans="2:30">
      <c r="B2850">
        <v>0</v>
      </c>
      <c r="C2850">
        <v>1020</v>
      </c>
      <c r="D2850" t="s">
        <v>388</v>
      </c>
      <c r="E2850">
        <v>14253441</v>
      </c>
      <c r="F2850" t="s">
        <v>2934</v>
      </c>
      <c r="G2850" t="s">
        <v>52</v>
      </c>
      <c r="H2850" t="s">
        <v>44</v>
      </c>
      <c r="I2850" t="s">
        <v>390</v>
      </c>
      <c r="J2850" t="s">
        <v>45</v>
      </c>
      <c r="K2850" t="s">
        <v>35</v>
      </c>
      <c r="L2850" t="s">
        <v>175</v>
      </c>
      <c r="M2850" t="s">
        <v>69</v>
      </c>
      <c r="N2850">
        <v>0</v>
      </c>
      <c r="O2850">
        <v>0</v>
      </c>
      <c r="P2850">
        <v>1</v>
      </c>
      <c r="Q2850">
        <v>1</v>
      </c>
      <c r="R2850" s="4">
        <v>1617.95</v>
      </c>
      <c r="S2850" t="str">
        <f t="shared" si="220"/>
        <v>PZ: Alta Crit.</v>
      </c>
      <c r="T2850">
        <f t="shared" si="221"/>
        <v>0</v>
      </c>
      <c r="U2850">
        <f t="shared" si="222"/>
        <v>1</v>
      </c>
      <c r="V2850">
        <f t="shared" si="223"/>
        <v>0</v>
      </c>
      <c r="W2850">
        <f t="shared" si="224"/>
        <v>1</v>
      </c>
      <c r="X2850">
        <v>1</v>
      </c>
      <c r="Y2850" s="2">
        <v>45768</v>
      </c>
      <c r="Z2850" s="3" t="s">
        <v>70</v>
      </c>
      <c r="AA2850" t="s">
        <v>39</v>
      </c>
      <c r="AB2850" t="s">
        <v>40</v>
      </c>
      <c r="AC2850" t="s">
        <v>40</v>
      </c>
      <c r="AD2850" t="s">
        <v>391</v>
      </c>
    </row>
    <row r="2851" spans="2:30">
      <c r="B2851">
        <v>0</v>
      </c>
      <c r="C2851">
        <v>1020</v>
      </c>
      <c r="D2851" t="s">
        <v>181</v>
      </c>
      <c r="E2851">
        <v>14253554</v>
      </c>
      <c r="F2851" t="s">
        <v>2935</v>
      </c>
      <c r="G2851" t="s">
        <v>43</v>
      </c>
      <c r="H2851" t="s">
        <v>44</v>
      </c>
      <c r="I2851" t="s">
        <v>183</v>
      </c>
      <c r="J2851" t="s">
        <v>45</v>
      </c>
      <c r="K2851" t="s">
        <v>35</v>
      </c>
      <c r="L2851" t="s">
        <v>36</v>
      </c>
      <c r="M2851" t="s">
        <v>117</v>
      </c>
      <c r="N2851">
        <v>8</v>
      </c>
      <c r="O2851">
        <v>5</v>
      </c>
      <c r="P2851">
        <v>0</v>
      </c>
      <c r="Q2851">
        <v>8</v>
      </c>
      <c r="R2851" s="4">
        <v>1127.96</v>
      </c>
      <c r="S2851" t="str">
        <f t="shared" si="220"/>
        <v>PY: Media Crit.</v>
      </c>
      <c r="T2851">
        <f t="shared" si="221"/>
        <v>0</v>
      </c>
      <c r="U2851">
        <f t="shared" si="222"/>
        <v>0</v>
      </c>
      <c r="V2851">
        <f t="shared" si="223"/>
        <v>1</v>
      </c>
      <c r="W2851">
        <f t="shared" si="224"/>
        <v>0</v>
      </c>
      <c r="X2851">
        <v>1</v>
      </c>
      <c r="Y2851" s="2">
        <v>45768</v>
      </c>
      <c r="Z2851" s="3" t="s">
        <v>118</v>
      </c>
      <c r="AA2851" t="s">
        <v>39</v>
      </c>
      <c r="AB2851" t="s">
        <v>40</v>
      </c>
      <c r="AC2851" t="s">
        <v>40</v>
      </c>
      <c r="AD2851" t="s">
        <v>184</v>
      </c>
    </row>
    <row r="2852" spans="2:30">
      <c r="B2852">
        <v>0</v>
      </c>
      <c r="C2852">
        <v>1020</v>
      </c>
      <c r="D2852" t="s">
        <v>388</v>
      </c>
      <c r="E2852">
        <v>14255358</v>
      </c>
      <c r="F2852" t="s">
        <v>2936</v>
      </c>
      <c r="G2852" t="s">
        <v>52</v>
      </c>
      <c r="H2852" t="s">
        <v>44</v>
      </c>
      <c r="I2852" t="s">
        <v>390</v>
      </c>
      <c r="J2852" t="s">
        <v>45</v>
      </c>
      <c r="K2852" t="s">
        <v>35</v>
      </c>
      <c r="L2852" t="s">
        <v>175</v>
      </c>
      <c r="M2852" t="s">
        <v>69</v>
      </c>
      <c r="N2852">
        <v>0</v>
      </c>
      <c r="O2852">
        <v>0</v>
      </c>
      <c r="P2852">
        <v>1</v>
      </c>
      <c r="Q2852">
        <v>1</v>
      </c>
      <c r="R2852">
        <v>0</v>
      </c>
      <c r="S2852" t="str">
        <f t="shared" si="220"/>
        <v>PZ: Alta Crit.</v>
      </c>
      <c r="T2852">
        <f t="shared" si="221"/>
        <v>0</v>
      </c>
      <c r="U2852">
        <f t="shared" si="222"/>
        <v>1</v>
      </c>
      <c r="V2852">
        <f t="shared" si="223"/>
        <v>0</v>
      </c>
      <c r="W2852">
        <f t="shared" si="224"/>
        <v>1</v>
      </c>
      <c r="X2852">
        <v>1</v>
      </c>
      <c r="Y2852" s="2">
        <v>45768</v>
      </c>
      <c r="Z2852" s="3" t="s">
        <v>70</v>
      </c>
      <c r="AA2852" t="s">
        <v>39</v>
      </c>
      <c r="AB2852" t="s">
        <v>40</v>
      </c>
      <c r="AC2852" t="s">
        <v>40</v>
      </c>
      <c r="AD2852" t="s">
        <v>391</v>
      </c>
    </row>
    <row r="2853" spans="2:30">
      <c r="B2853">
        <v>0</v>
      </c>
      <c r="C2853">
        <v>1020</v>
      </c>
      <c r="D2853" t="s">
        <v>181</v>
      </c>
      <c r="E2853">
        <v>14255738</v>
      </c>
      <c r="F2853" t="s">
        <v>2937</v>
      </c>
      <c r="G2853" t="s">
        <v>31</v>
      </c>
      <c r="H2853" t="s">
        <v>44</v>
      </c>
      <c r="I2853" t="s">
        <v>183</v>
      </c>
      <c r="J2853" t="s">
        <v>45</v>
      </c>
      <c r="K2853" t="s">
        <v>35</v>
      </c>
      <c r="L2853" t="s">
        <v>36</v>
      </c>
      <c r="M2853" t="s">
        <v>46</v>
      </c>
      <c r="N2853">
        <v>300</v>
      </c>
      <c r="O2853">
        <v>250</v>
      </c>
      <c r="P2853">
        <v>0</v>
      </c>
      <c r="Q2853" s="8">
        <v>1600</v>
      </c>
      <c r="R2853" s="4">
        <v>484945.91</v>
      </c>
      <c r="S2853" t="str">
        <f t="shared" si="220"/>
        <v>PX: Baja Crit.</v>
      </c>
      <c r="T2853">
        <f t="shared" si="221"/>
        <v>0</v>
      </c>
      <c r="U2853">
        <f t="shared" si="222"/>
        <v>0</v>
      </c>
      <c r="V2853">
        <f t="shared" si="223"/>
        <v>0</v>
      </c>
      <c r="W2853">
        <f t="shared" si="224"/>
        <v>1</v>
      </c>
      <c r="X2853">
        <v>1</v>
      </c>
      <c r="Y2853" s="2">
        <v>45768</v>
      </c>
      <c r="Z2853" s="3" t="s">
        <v>47</v>
      </c>
      <c r="AA2853" t="s">
        <v>39</v>
      </c>
      <c r="AB2853" t="s">
        <v>49</v>
      </c>
      <c r="AC2853" s="5" t="s">
        <v>50</v>
      </c>
      <c r="AD2853" t="s">
        <v>184</v>
      </c>
    </row>
    <row r="2854" spans="2:30">
      <c r="B2854">
        <v>0</v>
      </c>
      <c r="C2854">
        <v>1020</v>
      </c>
      <c r="D2854" t="s">
        <v>388</v>
      </c>
      <c r="E2854">
        <v>14256739</v>
      </c>
      <c r="F2854" t="s">
        <v>2938</v>
      </c>
      <c r="G2854" t="s">
        <v>52</v>
      </c>
      <c r="H2854" t="s">
        <v>44</v>
      </c>
      <c r="I2854" t="s">
        <v>390</v>
      </c>
      <c r="J2854" t="s">
        <v>45</v>
      </c>
      <c r="K2854" t="s">
        <v>35</v>
      </c>
      <c r="L2854" t="s">
        <v>175</v>
      </c>
      <c r="M2854" t="s">
        <v>69</v>
      </c>
      <c r="N2854">
        <v>0</v>
      </c>
      <c r="O2854">
        <v>0</v>
      </c>
      <c r="P2854">
        <v>1</v>
      </c>
      <c r="Q2854">
        <v>1</v>
      </c>
      <c r="R2854">
        <v>0</v>
      </c>
      <c r="S2854" t="str">
        <f t="shared" si="220"/>
        <v>PZ: Alta Crit.</v>
      </c>
      <c r="T2854">
        <f t="shared" si="221"/>
        <v>0</v>
      </c>
      <c r="U2854">
        <f t="shared" si="222"/>
        <v>1</v>
      </c>
      <c r="V2854">
        <f t="shared" si="223"/>
        <v>0</v>
      </c>
      <c r="W2854">
        <f t="shared" si="224"/>
        <v>1</v>
      </c>
      <c r="X2854">
        <v>1</v>
      </c>
      <c r="Y2854" s="2">
        <v>45768</v>
      </c>
      <c r="Z2854" s="3" t="s">
        <v>70</v>
      </c>
      <c r="AA2854" t="s">
        <v>39</v>
      </c>
      <c r="AB2854" t="s">
        <v>40</v>
      </c>
      <c r="AC2854" t="s">
        <v>40</v>
      </c>
      <c r="AD2854" t="s">
        <v>391</v>
      </c>
    </row>
    <row r="2855" spans="2:30">
      <c r="B2855">
        <v>0</v>
      </c>
      <c r="C2855">
        <v>1020</v>
      </c>
      <c r="D2855" t="s">
        <v>388</v>
      </c>
      <c r="E2855">
        <v>14256740</v>
      </c>
      <c r="F2855" t="s">
        <v>2939</v>
      </c>
      <c r="G2855" t="s">
        <v>52</v>
      </c>
      <c r="H2855" t="s">
        <v>44</v>
      </c>
      <c r="I2855" t="s">
        <v>390</v>
      </c>
      <c r="J2855" t="s">
        <v>45</v>
      </c>
      <c r="K2855" t="s">
        <v>35</v>
      </c>
      <c r="L2855" t="s">
        <v>175</v>
      </c>
      <c r="M2855" t="s">
        <v>69</v>
      </c>
      <c r="N2855">
        <v>0</v>
      </c>
      <c r="O2855">
        <v>0</v>
      </c>
      <c r="P2855">
        <v>1</v>
      </c>
      <c r="Q2855">
        <v>1</v>
      </c>
      <c r="R2855">
        <v>0</v>
      </c>
      <c r="S2855" t="str">
        <f t="shared" si="220"/>
        <v>PZ: Alta Crit.</v>
      </c>
      <c r="T2855">
        <f t="shared" si="221"/>
        <v>0</v>
      </c>
      <c r="U2855">
        <f t="shared" si="222"/>
        <v>1</v>
      </c>
      <c r="V2855">
        <f t="shared" si="223"/>
        <v>0</v>
      </c>
      <c r="W2855">
        <f t="shared" si="224"/>
        <v>1</v>
      </c>
      <c r="X2855">
        <v>1</v>
      </c>
      <c r="Y2855" s="2">
        <v>45768</v>
      </c>
      <c r="Z2855" s="3" t="s">
        <v>70</v>
      </c>
      <c r="AA2855" t="s">
        <v>39</v>
      </c>
      <c r="AB2855" t="s">
        <v>40</v>
      </c>
      <c r="AC2855" t="s">
        <v>40</v>
      </c>
      <c r="AD2855" t="s">
        <v>391</v>
      </c>
    </row>
    <row r="2856" spans="2:30">
      <c r="B2856">
        <v>0</v>
      </c>
      <c r="C2856">
        <v>1020</v>
      </c>
      <c r="D2856" t="s">
        <v>388</v>
      </c>
      <c r="E2856">
        <v>14256743</v>
      </c>
      <c r="F2856" t="s">
        <v>2940</v>
      </c>
      <c r="G2856" t="s">
        <v>52</v>
      </c>
      <c r="H2856" t="s">
        <v>44</v>
      </c>
      <c r="I2856" t="s">
        <v>390</v>
      </c>
      <c r="J2856" t="s">
        <v>45</v>
      </c>
      <c r="K2856" t="s">
        <v>35</v>
      </c>
      <c r="L2856" t="s">
        <v>175</v>
      </c>
      <c r="M2856" t="s">
        <v>69</v>
      </c>
      <c r="N2856">
        <v>0</v>
      </c>
      <c r="O2856">
        <v>0</v>
      </c>
      <c r="P2856">
        <v>1</v>
      </c>
      <c r="Q2856">
        <v>1</v>
      </c>
      <c r="R2856">
        <v>0</v>
      </c>
      <c r="S2856" t="str">
        <f t="shared" si="220"/>
        <v>PZ: Alta Crit.</v>
      </c>
      <c r="T2856">
        <f t="shared" si="221"/>
        <v>0</v>
      </c>
      <c r="U2856">
        <f t="shared" si="222"/>
        <v>1</v>
      </c>
      <c r="V2856">
        <f t="shared" si="223"/>
        <v>0</v>
      </c>
      <c r="W2856">
        <f t="shared" si="224"/>
        <v>1</v>
      </c>
      <c r="X2856">
        <v>1</v>
      </c>
      <c r="Y2856" s="2">
        <v>45768</v>
      </c>
      <c r="Z2856" s="3" t="s">
        <v>70</v>
      </c>
      <c r="AA2856" t="s">
        <v>39</v>
      </c>
      <c r="AB2856" t="s">
        <v>40</v>
      </c>
      <c r="AC2856" t="s">
        <v>40</v>
      </c>
      <c r="AD2856" t="s">
        <v>391</v>
      </c>
    </row>
    <row r="2857" spans="2:30">
      <c r="B2857">
        <v>0</v>
      </c>
      <c r="C2857">
        <v>1020</v>
      </c>
      <c r="D2857" t="s">
        <v>181</v>
      </c>
      <c r="E2857">
        <v>14260188</v>
      </c>
      <c r="F2857" t="s">
        <v>2941</v>
      </c>
      <c r="G2857" t="s">
        <v>43</v>
      </c>
      <c r="H2857" t="s">
        <v>60</v>
      </c>
      <c r="I2857" t="s">
        <v>183</v>
      </c>
      <c r="J2857" t="s">
        <v>45</v>
      </c>
      <c r="K2857" t="s">
        <v>35</v>
      </c>
      <c r="L2857" t="s">
        <v>36</v>
      </c>
      <c r="M2857" t="s">
        <v>69</v>
      </c>
      <c r="N2857">
        <v>1</v>
      </c>
      <c r="O2857">
        <v>1</v>
      </c>
      <c r="P2857">
        <v>0</v>
      </c>
      <c r="Q2857">
        <v>1</v>
      </c>
      <c r="R2857" s="4">
        <v>5369.02</v>
      </c>
      <c r="S2857" t="str">
        <f t="shared" si="220"/>
        <v>PY: Media Crit.</v>
      </c>
      <c r="T2857">
        <f t="shared" si="221"/>
        <v>0</v>
      </c>
      <c r="U2857">
        <f t="shared" si="222"/>
        <v>0</v>
      </c>
      <c r="V2857">
        <f t="shared" si="223"/>
        <v>1</v>
      </c>
      <c r="W2857">
        <f t="shared" si="224"/>
        <v>0</v>
      </c>
      <c r="X2857">
        <v>1</v>
      </c>
      <c r="Y2857" s="2">
        <v>45768</v>
      </c>
      <c r="Z2857" s="3" t="s">
        <v>70</v>
      </c>
      <c r="AA2857" t="s">
        <v>39</v>
      </c>
      <c r="AB2857" t="s">
        <v>40</v>
      </c>
      <c r="AC2857" t="s">
        <v>40</v>
      </c>
      <c r="AD2857" t="s">
        <v>184</v>
      </c>
    </row>
    <row r="2858" spans="2:30">
      <c r="B2858">
        <v>0</v>
      </c>
      <c r="C2858">
        <v>1020</v>
      </c>
      <c r="D2858" t="s">
        <v>388</v>
      </c>
      <c r="E2858">
        <v>14262997</v>
      </c>
      <c r="F2858" t="s">
        <v>2942</v>
      </c>
      <c r="G2858" t="s">
        <v>43</v>
      </c>
      <c r="H2858" t="s">
        <v>60</v>
      </c>
      <c r="I2858" t="s">
        <v>390</v>
      </c>
      <c r="J2858" t="s">
        <v>45</v>
      </c>
      <c r="K2858" t="s">
        <v>35</v>
      </c>
      <c r="L2858" t="s">
        <v>175</v>
      </c>
      <c r="M2858" t="s">
        <v>69</v>
      </c>
      <c r="N2858">
        <v>0</v>
      </c>
      <c r="O2858">
        <v>0</v>
      </c>
      <c r="P2858">
        <v>1</v>
      </c>
      <c r="Q2858">
        <v>1</v>
      </c>
      <c r="R2858" s="4">
        <v>15275.23</v>
      </c>
      <c r="S2858" t="str">
        <f t="shared" si="220"/>
        <v>PY: Media Crit.</v>
      </c>
      <c r="T2858">
        <f t="shared" si="221"/>
        <v>0</v>
      </c>
      <c r="U2858">
        <f t="shared" si="222"/>
        <v>1</v>
      </c>
      <c r="V2858">
        <f t="shared" si="223"/>
        <v>0</v>
      </c>
      <c r="W2858">
        <f t="shared" si="224"/>
        <v>1</v>
      </c>
      <c r="X2858">
        <v>1</v>
      </c>
      <c r="Y2858" s="2">
        <v>45768</v>
      </c>
      <c r="Z2858" s="3" t="s">
        <v>70</v>
      </c>
      <c r="AA2858" t="s">
        <v>39</v>
      </c>
      <c r="AB2858" t="s">
        <v>40</v>
      </c>
      <c r="AC2858" t="s">
        <v>40</v>
      </c>
      <c r="AD2858" t="s">
        <v>391</v>
      </c>
    </row>
    <row r="2859" spans="2:30">
      <c r="B2859">
        <v>0</v>
      </c>
      <c r="C2859">
        <v>1020</v>
      </c>
      <c r="D2859" t="s">
        <v>181</v>
      </c>
      <c r="E2859">
        <v>14268620</v>
      </c>
      <c r="F2859" t="s">
        <v>2943</v>
      </c>
      <c r="G2859" t="s">
        <v>52</v>
      </c>
      <c r="H2859" t="s">
        <v>44</v>
      </c>
      <c r="I2859" t="s">
        <v>183</v>
      </c>
      <c r="J2859" t="s">
        <v>45</v>
      </c>
      <c r="K2859" t="s">
        <v>62</v>
      </c>
      <c r="L2859" t="s">
        <v>36</v>
      </c>
      <c r="M2859" t="s">
        <v>117</v>
      </c>
      <c r="N2859">
        <v>4</v>
      </c>
      <c r="O2859">
        <v>2</v>
      </c>
      <c r="P2859">
        <v>0</v>
      </c>
      <c r="Q2859">
        <v>4</v>
      </c>
      <c r="R2859" s="4">
        <v>1183.6600000000001</v>
      </c>
      <c r="S2859" t="str">
        <f t="shared" si="220"/>
        <v>PZ: Alta Crit.</v>
      </c>
      <c r="T2859">
        <f t="shared" si="221"/>
        <v>0</v>
      </c>
      <c r="U2859">
        <f t="shared" si="222"/>
        <v>0</v>
      </c>
      <c r="V2859">
        <f t="shared" si="223"/>
        <v>1</v>
      </c>
      <c r="W2859">
        <f t="shared" si="224"/>
        <v>0</v>
      </c>
      <c r="X2859">
        <v>1</v>
      </c>
      <c r="Y2859" s="2">
        <v>45768</v>
      </c>
      <c r="Z2859" s="3" t="s">
        <v>118</v>
      </c>
      <c r="AA2859" t="s">
        <v>39</v>
      </c>
      <c r="AB2859" t="s">
        <v>40</v>
      </c>
      <c r="AC2859" t="s">
        <v>40</v>
      </c>
      <c r="AD2859" t="s">
        <v>184</v>
      </c>
    </row>
    <row r="2860" spans="2:30">
      <c r="B2860">
        <v>0</v>
      </c>
      <c r="C2860">
        <v>1020</v>
      </c>
      <c r="D2860" t="s">
        <v>388</v>
      </c>
      <c r="E2860">
        <v>14268796</v>
      </c>
      <c r="F2860" t="s">
        <v>2944</v>
      </c>
      <c r="G2860" t="s">
        <v>43</v>
      </c>
      <c r="H2860" t="s">
        <v>44</v>
      </c>
      <c r="I2860" t="s">
        <v>390</v>
      </c>
      <c r="J2860" t="s">
        <v>45</v>
      </c>
      <c r="K2860" t="s">
        <v>252</v>
      </c>
      <c r="L2860" t="s">
        <v>175</v>
      </c>
      <c r="M2860" t="s">
        <v>88</v>
      </c>
      <c r="N2860">
        <v>0</v>
      </c>
      <c r="O2860">
        <v>0</v>
      </c>
      <c r="P2860">
        <v>0</v>
      </c>
      <c r="Q2860">
        <v>0</v>
      </c>
      <c r="R2860">
        <v>0</v>
      </c>
      <c r="S2860" t="str">
        <f t="shared" si="220"/>
        <v>PY: Media Crit.</v>
      </c>
      <c r="T2860">
        <f t="shared" si="221"/>
        <v>1</v>
      </c>
      <c r="U2860">
        <f t="shared" si="222"/>
        <v>0</v>
      </c>
      <c r="V2860">
        <f t="shared" si="223"/>
        <v>0</v>
      </c>
      <c r="W2860">
        <f t="shared" si="224"/>
        <v>0</v>
      </c>
      <c r="X2860">
        <v>1</v>
      </c>
      <c r="Y2860" s="2">
        <v>45768</v>
      </c>
      <c r="Z2860" s="3" t="s">
        <v>89</v>
      </c>
      <c r="AA2860" t="s">
        <v>39</v>
      </c>
      <c r="AB2860" t="s">
        <v>49</v>
      </c>
      <c r="AC2860" s="5" t="s">
        <v>50</v>
      </c>
      <c r="AD2860" t="s">
        <v>391</v>
      </c>
    </row>
    <row r="2861" spans="2:30">
      <c r="B2861">
        <v>0</v>
      </c>
      <c r="C2861">
        <v>1020</v>
      </c>
      <c r="D2861" t="s">
        <v>388</v>
      </c>
      <c r="E2861">
        <v>14269481</v>
      </c>
      <c r="F2861" t="s">
        <v>2945</v>
      </c>
      <c r="G2861" t="s">
        <v>31</v>
      </c>
      <c r="H2861" t="s">
        <v>44</v>
      </c>
      <c r="I2861" t="s">
        <v>390</v>
      </c>
      <c r="J2861" t="s">
        <v>45</v>
      </c>
      <c r="K2861" t="s">
        <v>35</v>
      </c>
      <c r="L2861" t="s">
        <v>175</v>
      </c>
      <c r="M2861" t="s">
        <v>46</v>
      </c>
      <c r="N2861">
        <v>0</v>
      </c>
      <c r="O2861">
        <v>0</v>
      </c>
      <c r="P2861">
        <v>1</v>
      </c>
      <c r="Q2861">
        <v>1</v>
      </c>
      <c r="R2861" s="4">
        <v>58665.22</v>
      </c>
      <c r="S2861" t="str">
        <f t="shared" si="220"/>
        <v>PX: Baja Crit.</v>
      </c>
      <c r="T2861">
        <f t="shared" si="221"/>
        <v>0</v>
      </c>
      <c r="U2861">
        <f t="shared" si="222"/>
        <v>1</v>
      </c>
      <c r="V2861">
        <f t="shared" si="223"/>
        <v>0</v>
      </c>
      <c r="W2861">
        <f t="shared" si="224"/>
        <v>1</v>
      </c>
      <c r="X2861">
        <v>1</v>
      </c>
      <c r="Y2861" s="2">
        <v>45768</v>
      </c>
      <c r="Z2861" s="3" t="s">
        <v>47</v>
      </c>
      <c r="AA2861" t="s">
        <v>39</v>
      </c>
      <c r="AB2861" t="s">
        <v>40</v>
      </c>
      <c r="AC2861" t="s">
        <v>40</v>
      </c>
      <c r="AD2861" t="s">
        <v>391</v>
      </c>
    </row>
    <row r="2862" spans="2:30">
      <c r="B2862">
        <v>0</v>
      </c>
      <c r="C2862">
        <v>1020</v>
      </c>
      <c r="D2862" t="s">
        <v>181</v>
      </c>
      <c r="E2862">
        <v>14269702</v>
      </c>
      <c r="F2862" t="s">
        <v>2946</v>
      </c>
      <c r="G2862" t="s">
        <v>1533</v>
      </c>
      <c r="H2862" t="s">
        <v>32</v>
      </c>
      <c r="I2862" t="s">
        <v>183</v>
      </c>
      <c r="J2862" t="s">
        <v>45</v>
      </c>
      <c r="K2862" t="s">
        <v>35</v>
      </c>
      <c r="L2862" t="s">
        <v>36</v>
      </c>
      <c r="M2862" t="s">
        <v>69</v>
      </c>
      <c r="N2862">
        <v>1</v>
      </c>
      <c r="O2862">
        <v>1</v>
      </c>
      <c r="P2862">
        <v>0</v>
      </c>
      <c r="Q2862">
        <v>1</v>
      </c>
      <c r="R2862" s="4">
        <v>6061.42</v>
      </c>
      <c r="S2862" t="str">
        <f t="shared" si="220"/>
        <v>PX: Baja Crit.</v>
      </c>
      <c r="T2862">
        <f t="shared" si="221"/>
        <v>0</v>
      </c>
      <c r="U2862">
        <f t="shared" si="222"/>
        <v>0</v>
      </c>
      <c r="V2862">
        <f t="shared" si="223"/>
        <v>1</v>
      </c>
      <c r="W2862">
        <f t="shared" si="224"/>
        <v>0</v>
      </c>
      <c r="X2862">
        <v>1</v>
      </c>
      <c r="Y2862" s="2">
        <v>45768</v>
      </c>
      <c r="Z2862" s="3" t="s">
        <v>70</v>
      </c>
      <c r="AA2862" t="s">
        <v>39</v>
      </c>
      <c r="AB2862" t="s">
        <v>40</v>
      </c>
      <c r="AC2862" t="s">
        <v>40</v>
      </c>
      <c r="AD2862" t="s">
        <v>184</v>
      </c>
    </row>
    <row r="2863" spans="2:30">
      <c r="B2863">
        <v>0</v>
      </c>
      <c r="C2863">
        <v>1020</v>
      </c>
      <c r="D2863" t="s">
        <v>388</v>
      </c>
      <c r="E2863">
        <v>14275804</v>
      </c>
      <c r="F2863" t="s">
        <v>2947</v>
      </c>
      <c r="G2863" t="s">
        <v>52</v>
      </c>
      <c r="H2863" t="s">
        <v>44</v>
      </c>
      <c r="I2863" t="s">
        <v>390</v>
      </c>
      <c r="J2863" t="s">
        <v>45</v>
      </c>
      <c r="K2863" t="s">
        <v>260</v>
      </c>
      <c r="L2863" t="s">
        <v>175</v>
      </c>
      <c r="M2863" t="s">
        <v>117</v>
      </c>
      <c r="N2863">
        <v>0</v>
      </c>
      <c r="O2863">
        <v>0</v>
      </c>
      <c r="P2863">
        <v>1</v>
      </c>
      <c r="Q2863">
        <v>1</v>
      </c>
      <c r="R2863" s="4">
        <v>24242.73</v>
      </c>
      <c r="S2863" t="str">
        <f t="shared" si="220"/>
        <v>PZ: Alta Crit.</v>
      </c>
      <c r="T2863">
        <f t="shared" si="221"/>
        <v>0</v>
      </c>
      <c r="U2863">
        <f t="shared" si="222"/>
        <v>1</v>
      </c>
      <c r="V2863">
        <f t="shared" si="223"/>
        <v>0</v>
      </c>
      <c r="W2863">
        <f t="shared" si="224"/>
        <v>1</v>
      </c>
      <c r="X2863">
        <v>1</v>
      </c>
      <c r="Y2863" s="2">
        <v>45768</v>
      </c>
      <c r="Z2863" s="3" t="s">
        <v>118</v>
      </c>
      <c r="AA2863" t="s">
        <v>39</v>
      </c>
      <c r="AB2863" t="s">
        <v>40</v>
      </c>
      <c r="AC2863" t="s">
        <v>40</v>
      </c>
      <c r="AD2863" t="s">
        <v>391</v>
      </c>
    </row>
    <row r="2864" spans="2:30">
      <c r="B2864">
        <v>0</v>
      </c>
      <c r="C2864">
        <v>1020</v>
      </c>
      <c r="D2864" t="s">
        <v>181</v>
      </c>
      <c r="E2864">
        <v>14276700</v>
      </c>
      <c r="F2864" t="s">
        <v>2948</v>
      </c>
      <c r="G2864" t="s">
        <v>43</v>
      </c>
      <c r="H2864" t="s">
        <v>60</v>
      </c>
      <c r="I2864" t="s">
        <v>183</v>
      </c>
      <c r="J2864" t="s">
        <v>582</v>
      </c>
      <c r="K2864" t="s">
        <v>35</v>
      </c>
      <c r="L2864" t="s">
        <v>36</v>
      </c>
      <c r="M2864" t="s">
        <v>117</v>
      </c>
      <c r="N2864">
        <v>10</v>
      </c>
      <c r="O2864">
        <v>5</v>
      </c>
      <c r="P2864">
        <v>0</v>
      </c>
      <c r="Q2864">
        <v>6</v>
      </c>
      <c r="R2864" s="4">
        <v>5850</v>
      </c>
      <c r="S2864" t="str">
        <f t="shared" si="220"/>
        <v>PY: Media Crit.</v>
      </c>
      <c r="T2864">
        <f t="shared" si="221"/>
        <v>0</v>
      </c>
      <c r="U2864">
        <f t="shared" si="222"/>
        <v>0</v>
      </c>
      <c r="V2864">
        <f t="shared" si="223"/>
        <v>1</v>
      </c>
      <c r="W2864">
        <f t="shared" si="224"/>
        <v>0</v>
      </c>
      <c r="X2864">
        <v>1</v>
      </c>
      <c r="Y2864" s="2">
        <v>45768</v>
      </c>
      <c r="Z2864" s="3" t="s">
        <v>118</v>
      </c>
      <c r="AA2864" t="s">
        <v>39</v>
      </c>
      <c r="AB2864" t="s">
        <v>40</v>
      </c>
      <c r="AC2864" t="s">
        <v>40</v>
      </c>
      <c r="AD2864" t="s">
        <v>184</v>
      </c>
    </row>
    <row r="2865" spans="2:30">
      <c r="B2865">
        <v>0</v>
      </c>
      <c r="C2865">
        <v>1020</v>
      </c>
      <c r="D2865" t="s">
        <v>181</v>
      </c>
      <c r="E2865">
        <v>14276722</v>
      </c>
      <c r="F2865" t="s">
        <v>2949</v>
      </c>
      <c r="G2865" t="s">
        <v>52</v>
      </c>
      <c r="H2865" t="s">
        <v>44</v>
      </c>
      <c r="I2865" t="s">
        <v>183</v>
      </c>
      <c r="J2865" t="s">
        <v>45</v>
      </c>
      <c r="K2865" t="s">
        <v>53</v>
      </c>
      <c r="L2865" t="s">
        <v>36</v>
      </c>
      <c r="M2865" t="s">
        <v>46</v>
      </c>
      <c r="N2865">
        <v>32</v>
      </c>
      <c r="O2865">
        <v>16</v>
      </c>
      <c r="P2865">
        <v>0</v>
      </c>
      <c r="Q2865">
        <v>0</v>
      </c>
      <c r="R2865">
        <v>0</v>
      </c>
      <c r="S2865" t="str">
        <f t="shared" si="220"/>
        <v>PZ: Alta Crit.</v>
      </c>
      <c r="T2865">
        <f t="shared" si="221"/>
        <v>1</v>
      </c>
      <c r="U2865">
        <f t="shared" si="222"/>
        <v>0</v>
      </c>
      <c r="V2865">
        <f t="shared" si="223"/>
        <v>0</v>
      </c>
      <c r="W2865">
        <f t="shared" si="224"/>
        <v>0</v>
      </c>
      <c r="X2865">
        <v>1</v>
      </c>
      <c r="Y2865" s="2">
        <v>45768</v>
      </c>
      <c r="Z2865" s="3" t="s">
        <v>47</v>
      </c>
      <c r="AA2865" t="s">
        <v>39</v>
      </c>
      <c r="AB2865" t="s">
        <v>40</v>
      </c>
      <c r="AC2865" t="s">
        <v>40</v>
      </c>
      <c r="AD2865" t="s">
        <v>184</v>
      </c>
    </row>
    <row r="2866" spans="2:30">
      <c r="B2866">
        <v>0</v>
      </c>
      <c r="C2866">
        <v>1020</v>
      </c>
      <c r="D2866" t="s">
        <v>181</v>
      </c>
      <c r="E2866">
        <v>14277664</v>
      </c>
      <c r="F2866" t="s">
        <v>2950</v>
      </c>
      <c r="G2866" t="s">
        <v>43</v>
      </c>
      <c r="H2866" t="s">
        <v>60</v>
      </c>
      <c r="I2866" t="s">
        <v>183</v>
      </c>
      <c r="J2866" t="s">
        <v>45</v>
      </c>
      <c r="K2866" t="s">
        <v>35</v>
      </c>
      <c r="L2866" t="s">
        <v>36</v>
      </c>
      <c r="M2866" t="s">
        <v>69</v>
      </c>
      <c r="N2866">
        <v>1</v>
      </c>
      <c r="O2866">
        <v>1</v>
      </c>
      <c r="P2866">
        <v>0</v>
      </c>
      <c r="Q2866">
        <v>1</v>
      </c>
      <c r="R2866">
        <v>814.41</v>
      </c>
      <c r="S2866" t="str">
        <f t="shared" si="220"/>
        <v>PY: Media Crit.</v>
      </c>
      <c r="T2866">
        <f t="shared" si="221"/>
        <v>0</v>
      </c>
      <c r="U2866">
        <f t="shared" si="222"/>
        <v>0</v>
      </c>
      <c r="V2866">
        <f t="shared" si="223"/>
        <v>1</v>
      </c>
      <c r="W2866">
        <f t="shared" si="224"/>
        <v>0</v>
      </c>
      <c r="X2866">
        <v>1</v>
      </c>
      <c r="Y2866" s="2">
        <v>45768</v>
      </c>
      <c r="Z2866" s="3" t="s">
        <v>70</v>
      </c>
      <c r="AA2866" t="s">
        <v>39</v>
      </c>
      <c r="AB2866" t="s">
        <v>76</v>
      </c>
      <c r="AC2866" s="5" t="s">
        <v>77</v>
      </c>
      <c r="AD2866" t="s">
        <v>184</v>
      </c>
    </row>
    <row r="2867" spans="2:30">
      <c r="B2867">
        <v>0</v>
      </c>
      <c r="C2867">
        <v>1020</v>
      </c>
      <c r="D2867" t="s">
        <v>181</v>
      </c>
      <c r="E2867">
        <v>14277665</v>
      </c>
      <c r="F2867" t="s">
        <v>2951</v>
      </c>
      <c r="G2867" t="s">
        <v>43</v>
      </c>
      <c r="H2867" t="s">
        <v>60</v>
      </c>
      <c r="I2867" t="s">
        <v>183</v>
      </c>
      <c r="J2867" t="s">
        <v>45</v>
      </c>
      <c r="K2867" t="s">
        <v>35</v>
      </c>
      <c r="L2867" t="s">
        <v>36</v>
      </c>
      <c r="M2867" t="s">
        <v>69</v>
      </c>
      <c r="N2867">
        <v>1</v>
      </c>
      <c r="O2867">
        <v>1</v>
      </c>
      <c r="P2867">
        <v>0</v>
      </c>
      <c r="Q2867">
        <v>1</v>
      </c>
      <c r="R2867">
        <v>527.22</v>
      </c>
      <c r="S2867" t="str">
        <f t="shared" si="220"/>
        <v>PY: Media Crit.</v>
      </c>
      <c r="T2867">
        <f t="shared" si="221"/>
        <v>0</v>
      </c>
      <c r="U2867">
        <f t="shared" si="222"/>
        <v>0</v>
      </c>
      <c r="V2867">
        <f t="shared" si="223"/>
        <v>1</v>
      </c>
      <c r="W2867">
        <f t="shared" si="224"/>
        <v>0</v>
      </c>
      <c r="X2867">
        <v>1</v>
      </c>
      <c r="Y2867" s="2">
        <v>45768</v>
      </c>
      <c r="Z2867" s="3" t="s">
        <v>70</v>
      </c>
      <c r="AA2867" t="s">
        <v>39</v>
      </c>
      <c r="AB2867" t="s">
        <v>76</v>
      </c>
      <c r="AC2867" s="5" t="s">
        <v>77</v>
      </c>
      <c r="AD2867" t="s">
        <v>184</v>
      </c>
    </row>
    <row r="2868" spans="2:30">
      <c r="B2868">
        <v>0</v>
      </c>
      <c r="C2868">
        <v>1020</v>
      </c>
      <c r="D2868" t="s">
        <v>388</v>
      </c>
      <c r="E2868">
        <v>14280697</v>
      </c>
      <c r="F2868" t="s">
        <v>2952</v>
      </c>
      <c r="G2868" t="s">
        <v>43</v>
      </c>
      <c r="H2868" t="s">
        <v>44</v>
      </c>
      <c r="I2868" t="s">
        <v>390</v>
      </c>
      <c r="J2868" t="s">
        <v>45</v>
      </c>
      <c r="K2868" t="s">
        <v>35</v>
      </c>
      <c r="L2868" t="s">
        <v>175</v>
      </c>
      <c r="M2868" t="s">
        <v>69</v>
      </c>
      <c r="N2868">
        <v>0</v>
      </c>
      <c r="O2868">
        <v>0</v>
      </c>
      <c r="P2868">
        <v>1</v>
      </c>
      <c r="Q2868">
        <v>1</v>
      </c>
      <c r="R2868" s="4">
        <v>19124.29</v>
      </c>
      <c r="S2868" t="str">
        <f t="shared" si="220"/>
        <v>PY: Media Crit.</v>
      </c>
      <c r="T2868">
        <f t="shared" si="221"/>
        <v>0</v>
      </c>
      <c r="U2868">
        <f t="shared" si="222"/>
        <v>1</v>
      </c>
      <c r="V2868">
        <f t="shared" si="223"/>
        <v>0</v>
      </c>
      <c r="W2868">
        <f t="shared" si="224"/>
        <v>1</v>
      </c>
      <c r="X2868">
        <v>1</v>
      </c>
      <c r="Y2868" s="2">
        <v>45768</v>
      </c>
      <c r="Z2868" s="3" t="s">
        <v>70</v>
      </c>
      <c r="AA2868" t="s">
        <v>39</v>
      </c>
      <c r="AB2868" t="s">
        <v>40</v>
      </c>
      <c r="AC2868" t="s">
        <v>40</v>
      </c>
      <c r="AD2868" t="s">
        <v>391</v>
      </c>
    </row>
    <row r="2869" spans="2:30">
      <c r="B2869">
        <v>0</v>
      </c>
      <c r="C2869">
        <v>1020</v>
      </c>
      <c r="D2869" t="s">
        <v>388</v>
      </c>
      <c r="E2869">
        <v>14280903</v>
      </c>
      <c r="F2869" t="s">
        <v>2953</v>
      </c>
      <c r="G2869" t="s">
        <v>52</v>
      </c>
      <c r="H2869" t="s">
        <v>44</v>
      </c>
      <c r="I2869" t="s">
        <v>390</v>
      </c>
      <c r="J2869" t="s">
        <v>45</v>
      </c>
      <c r="K2869" t="s">
        <v>35</v>
      </c>
      <c r="L2869" t="s">
        <v>175</v>
      </c>
      <c r="M2869" t="s">
        <v>117</v>
      </c>
      <c r="N2869">
        <v>0</v>
      </c>
      <c r="O2869">
        <v>0</v>
      </c>
      <c r="P2869">
        <v>1</v>
      </c>
      <c r="Q2869">
        <v>1</v>
      </c>
      <c r="R2869" s="4">
        <v>56246.61</v>
      </c>
      <c r="S2869" t="str">
        <f t="shared" si="220"/>
        <v>PZ: Alta Crit.</v>
      </c>
      <c r="T2869">
        <f t="shared" si="221"/>
        <v>0</v>
      </c>
      <c r="U2869">
        <f t="shared" si="222"/>
        <v>1</v>
      </c>
      <c r="V2869">
        <f t="shared" si="223"/>
        <v>0</v>
      </c>
      <c r="W2869">
        <f t="shared" si="224"/>
        <v>1</v>
      </c>
      <c r="X2869">
        <v>1</v>
      </c>
      <c r="Y2869" s="2">
        <v>45768</v>
      </c>
      <c r="Z2869" s="3" t="s">
        <v>118</v>
      </c>
      <c r="AA2869" t="s">
        <v>39</v>
      </c>
      <c r="AB2869" t="s">
        <v>40</v>
      </c>
      <c r="AC2869" t="s">
        <v>40</v>
      </c>
      <c r="AD2869" t="s">
        <v>391</v>
      </c>
    </row>
    <row r="2870" spans="2:30">
      <c r="B2870">
        <v>0</v>
      </c>
      <c r="C2870">
        <v>1020</v>
      </c>
      <c r="D2870" t="s">
        <v>181</v>
      </c>
      <c r="E2870">
        <v>14280967</v>
      </c>
      <c r="F2870" t="s">
        <v>2954</v>
      </c>
      <c r="G2870" t="s">
        <v>31</v>
      </c>
      <c r="H2870" t="s">
        <v>44</v>
      </c>
      <c r="I2870" t="s">
        <v>183</v>
      </c>
      <c r="J2870" t="s">
        <v>45</v>
      </c>
      <c r="K2870" t="s">
        <v>65</v>
      </c>
      <c r="L2870" t="s">
        <v>36</v>
      </c>
      <c r="M2870" t="s">
        <v>127</v>
      </c>
      <c r="N2870">
        <v>40</v>
      </c>
      <c r="O2870">
        <v>21</v>
      </c>
      <c r="P2870">
        <v>0</v>
      </c>
      <c r="Q2870">
        <v>80</v>
      </c>
      <c r="R2870" s="4">
        <v>7032.4</v>
      </c>
      <c r="S2870" t="str">
        <f t="shared" si="220"/>
        <v>PX: Baja Crit.</v>
      </c>
      <c r="T2870">
        <f t="shared" si="221"/>
        <v>0</v>
      </c>
      <c r="U2870">
        <f t="shared" si="222"/>
        <v>0</v>
      </c>
      <c r="V2870">
        <f t="shared" si="223"/>
        <v>0</v>
      </c>
      <c r="W2870">
        <f t="shared" si="224"/>
        <v>1</v>
      </c>
      <c r="X2870">
        <v>1</v>
      </c>
      <c r="Y2870" s="2">
        <v>45768</v>
      </c>
      <c r="Z2870" s="3" t="s">
        <v>128</v>
      </c>
      <c r="AA2870" t="s">
        <v>39</v>
      </c>
      <c r="AB2870" t="s">
        <v>40</v>
      </c>
      <c r="AC2870" t="s">
        <v>40</v>
      </c>
      <c r="AD2870" t="s">
        <v>184</v>
      </c>
    </row>
    <row r="2871" spans="2:30">
      <c r="B2871">
        <v>0</v>
      </c>
      <c r="C2871">
        <v>1020</v>
      </c>
      <c r="D2871" t="s">
        <v>181</v>
      </c>
      <c r="E2871">
        <v>14280971</v>
      </c>
      <c r="F2871" t="s">
        <v>2955</v>
      </c>
      <c r="G2871" t="s">
        <v>43</v>
      </c>
      <c r="H2871" t="s">
        <v>44</v>
      </c>
      <c r="I2871" t="s">
        <v>183</v>
      </c>
      <c r="J2871" t="s">
        <v>45</v>
      </c>
      <c r="K2871" t="s">
        <v>65</v>
      </c>
      <c r="L2871" t="s">
        <v>36</v>
      </c>
      <c r="M2871" t="s">
        <v>127</v>
      </c>
      <c r="N2871">
        <v>60</v>
      </c>
      <c r="O2871">
        <v>40</v>
      </c>
      <c r="P2871">
        <v>0</v>
      </c>
      <c r="Q2871">
        <v>240</v>
      </c>
      <c r="R2871" s="4">
        <v>10348.93</v>
      </c>
      <c r="S2871" t="str">
        <f t="shared" si="220"/>
        <v>PY: Media Crit.</v>
      </c>
      <c r="T2871">
        <f t="shared" si="221"/>
        <v>0</v>
      </c>
      <c r="U2871">
        <f t="shared" si="222"/>
        <v>0</v>
      </c>
      <c r="V2871">
        <f t="shared" si="223"/>
        <v>0</v>
      </c>
      <c r="W2871">
        <f t="shared" si="224"/>
        <v>1</v>
      </c>
      <c r="X2871">
        <v>1</v>
      </c>
      <c r="Y2871" s="2">
        <v>45768</v>
      </c>
      <c r="Z2871" s="3" t="s">
        <v>128</v>
      </c>
      <c r="AA2871" t="s">
        <v>39</v>
      </c>
      <c r="AB2871" t="s">
        <v>40</v>
      </c>
      <c r="AC2871" t="s">
        <v>40</v>
      </c>
      <c r="AD2871" t="s">
        <v>184</v>
      </c>
    </row>
    <row r="2872" spans="2:30">
      <c r="B2872">
        <v>0</v>
      </c>
      <c r="C2872">
        <v>1020</v>
      </c>
      <c r="D2872" t="s">
        <v>388</v>
      </c>
      <c r="E2872">
        <v>14283731</v>
      </c>
      <c r="F2872" t="s">
        <v>2956</v>
      </c>
      <c r="G2872" t="s">
        <v>31</v>
      </c>
      <c r="H2872" t="s">
        <v>60</v>
      </c>
      <c r="I2872" t="s">
        <v>390</v>
      </c>
      <c r="J2872" t="s">
        <v>45</v>
      </c>
      <c r="K2872" t="s">
        <v>35</v>
      </c>
      <c r="L2872" t="s">
        <v>175</v>
      </c>
      <c r="M2872" t="s">
        <v>69</v>
      </c>
      <c r="N2872">
        <v>0</v>
      </c>
      <c r="O2872">
        <v>0</v>
      </c>
      <c r="P2872">
        <v>1</v>
      </c>
      <c r="Q2872">
        <v>1</v>
      </c>
      <c r="R2872" s="4">
        <v>13394.76</v>
      </c>
      <c r="S2872" t="str">
        <f t="shared" si="220"/>
        <v>PX: Baja Crit.</v>
      </c>
      <c r="T2872">
        <f t="shared" si="221"/>
        <v>0</v>
      </c>
      <c r="U2872">
        <f t="shared" si="222"/>
        <v>1</v>
      </c>
      <c r="V2872">
        <f t="shared" si="223"/>
        <v>0</v>
      </c>
      <c r="W2872">
        <f t="shared" si="224"/>
        <v>1</v>
      </c>
      <c r="X2872">
        <v>1</v>
      </c>
      <c r="Y2872" s="2">
        <v>45768</v>
      </c>
      <c r="Z2872" s="3" t="s">
        <v>70</v>
      </c>
      <c r="AA2872" t="s">
        <v>39</v>
      </c>
      <c r="AB2872" t="s">
        <v>40</v>
      </c>
      <c r="AC2872" t="s">
        <v>40</v>
      </c>
      <c r="AD2872" t="s">
        <v>391</v>
      </c>
    </row>
    <row r="2873" spans="2:30">
      <c r="B2873">
        <v>0</v>
      </c>
      <c r="C2873">
        <v>1020</v>
      </c>
      <c r="D2873" t="s">
        <v>388</v>
      </c>
      <c r="E2873">
        <v>14291848</v>
      </c>
      <c r="F2873" t="s">
        <v>2957</v>
      </c>
      <c r="G2873" t="s">
        <v>43</v>
      </c>
      <c r="H2873" t="s">
        <v>44</v>
      </c>
      <c r="I2873" t="s">
        <v>390</v>
      </c>
      <c r="J2873" t="s">
        <v>45</v>
      </c>
      <c r="K2873" t="s">
        <v>35</v>
      </c>
      <c r="L2873" t="s">
        <v>175</v>
      </c>
      <c r="M2873" t="s">
        <v>46</v>
      </c>
      <c r="N2873">
        <v>0</v>
      </c>
      <c r="O2873">
        <v>0</v>
      </c>
      <c r="P2873">
        <v>1</v>
      </c>
      <c r="Q2873">
        <v>1</v>
      </c>
      <c r="R2873" s="4">
        <v>20172.14</v>
      </c>
      <c r="S2873" t="str">
        <f t="shared" si="220"/>
        <v>PY: Media Crit.</v>
      </c>
      <c r="T2873">
        <f t="shared" si="221"/>
        <v>0</v>
      </c>
      <c r="U2873">
        <f t="shared" si="222"/>
        <v>1</v>
      </c>
      <c r="V2873">
        <f t="shared" si="223"/>
        <v>0</v>
      </c>
      <c r="W2873">
        <f t="shared" si="224"/>
        <v>1</v>
      </c>
      <c r="X2873">
        <v>1</v>
      </c>
      <c r="Y2873" s="2">
        <v>45768</v>
      </c>
      <c r="Z2873" s="3" t="s">
        <v>47</v>
      </c>
      <c r="AA2873" t="s">
        <v>39</v>
      </c>
      <c r="AB2873" t="s">
        <v>40</v>
      </c>
      <c r="AC2873" t="s">
        <v>40</v>
      </c>
      <c r="AD2873" t="s">
        <v>391</v>
      </c>
    </row>
    <row r="2874" spans="2:30">
      <c r="B2874">
        <v>0</v>
      </c>
      <c r="C2874">
        <v>1020</v>
      </c>
      <c r="D2874" t="s">
        <v>388</v>
      </c>
      <c r="E2874">
        <v>14291853</v>
      </c>
      <c r="F2874" t="s">
        <v>2958</v>
      </c>
      <c r="G2874" t="s">
        <v>43</v>
      </c>
      <c r="H2874" t="s">
        <v>44</v>
      </c>
      <c r="I2874" t="s">
        <v>390</v>
      </c>
      <c r="J2874" t="s">
        <v>45</v>
      </c>
      <c r="K2874" t="s">
        <v>35</v>
      </c>
      <c r="L2874" t="s">
        <v>175</v>
      </c>
      <c r="M2874" t="s">
        <v>46</v>
      </c>
      <c r="N2874">
        <v>0</v>
      </c>
      <c r="O2874">
        <v>0</v>
      </c>
      <c r="P2874">
        <v>1</v>
      </c>
      <c r="Q2874">
        <v>1</v>
      </c>
      <c r="R2874" s="4">
        <v>20172.14</v>
      </c>
      <c r="S2874" t="str">
        <f t="shared" si="220"/>
        <v>PY: Media Crit.</v>
      </c>
      <c r="T2874">
        <f t="shared" si="221"/>
        <v>0</v>
      </c>
      <c r="U2874">
        <f t="shared" si="222"/>
        <v>1</v>
      </c>
      <c r="V2874">
        <f t="shared" si="223"/>
        <v>0</v>
      </c>
      <c r="W2874">
        <f t="shared" si="224"/>
        <v>1</v>
      </c>
      <c r="X2874">
        <v>1</v>
      </c>
      <c r="Y2874" s="2">
        <v>45768</v>
      </c>
      <c r="Z2874" s="3" t="s">
        <v>47</v>
      </c>
      <c r="AA2874" t="s">
        <v>39</v>
      </c>
      <c r="AB2874" t="s">
        <v>40</v>
      </c>
      <c r="AC2874" t="s">
        <v>40</v>
      </c>
      <c r="AD2874" t="s">
        <v>391</v>
      </c>
    </row>
    <row r="2875" spans="2:30">
      <c r="B2875">
        <v>0</v>
      </c>
      <c r="C2875">
        <v>1020</v>
      </c>
      <c r="D2875" t="s">
        <v>181</v>
      </c>
      <c r="E2875">
        <v>14299263</v>
      </c>
      <c r="F2875" t="s">
        <v>2959</v>
      </c>
      <c r="G2875" t="s">
        <v>31</v>
      </c>
      <c r="H2875" t="s">
        <v>44</v>
      </c>
      <c r="I2875" t="s">
        <v>183</v>
      </c>
      <c r="J2875" t="s">
        <v>45</v>
      </c>
      <c r="K2875" t="s">
        <v>35</v>
      </c>
      <c r="L2875" t="s">
        <v>36</v>
      </c>
      <c r="M2875" t="s">
        <v>117</v>
      </c>
      <c r="N2875">
        <v>4</v>
      </c>
      <c r="O2875">
        <v>2</v>
      </c>
      <c r="P2875">
        <v>0</v>
      </c>
      <c r="Q2875">
        <v>4</v>
      </c>
      <c r="R2875" s="4">
        <v>8617.9500000000007</v>
      </c>
      <c r="S2875" t="str">
        <f t="shared" si="220"/>
        <v>PX: Baja Crit.</v>
      </c>
      <c r="T2875">
        <f t="shared" si="221"/>
        <v>0</v>
      </c>
      <c r="U2875">
        <f t="shared" si="222"/>
        <v>0</v>
      </c>
      <c r="V2875">
        <f t="shared" si="223"/>
        <v>1</v>
      </c>
      <c r="W2875">
        <f t="shared" si="224"/>
        <v>0</v>
      </c>
      <c r="X2875">
        <v>1</v>
      </c>
      <c r="Y2875" s="2">
        <v>45768</v>
      </c>
      <c r="Z2875" s="3" t="s">
        <v>118</v>
      </c>
      <c r="AA2875" t="s">
        <v>39</v>
      </c>
      <c r="AB2875" t="s">
        <v>40</v>
      </c>
      <c r="AC2875" t="s">
        <v>40</v>
      </c>
      <c r="AD2875" t="s">
        <v>184</v>
      </c>
    </row>
    <row r="2876" spans="2:30">
      <c r="B2876">
        <v>0</v>
      </c>
      <c r="C2876">
        <v>1020</v>
      </c>
      <c r="D2876" t="s">
        <v>388</v>
      </c>
      <c r="E2876">
        <v>14301921</v>
      </c>
      <c r="F2876" t="s">
        <v>2960</v>
      </c>
      <c r="G2876" t="s">
        <v>43</v>
      </c>
      <c r="H2876" t="s">
        <v>60</v>
      </c>
      <c r="I2876" t="s">
        <v>390</v>
      </c>
      <c r="J2876" t="s">
        <v>45</v>
      </c>
      <c r="K2876" t="s">
        <v>35</v>
      </c>
      <c r="L2876" t="s">
        <v>175</v>
      </c>
      <c r="M2876" t="s">
        <v>117</v>
      </c>
      <c r="N2876">
        <v>0</v>
      </c>
      <c r="O2876">
        <v>0</v>
      </c>
      <c r="P2876">
        <v>6</v>
      </c>
      <c r="Q2876">
        <v>0</v>
      </c>
      <c r="R2876">
        <v>0</v>
      </c>
      <c r="S2876" t="str">
        <f t="shared" si="220"/>
        <v>PY: Media Crit.</v>
      </c>
      <c r="T2876">
        <f t="shared" si="221"/>
        <v>1</v>
      </c>
      <c r="U2876">
        <f t="shared" si="222"/>
        <v>0</v>
      </c>
      <c r="V2876">
        <f t="shared" si="223"/>
        <v>0</v>
      </c>
      <c r="W2876">
        <f t="shared" si="224"/>
        <v>0</v>
      </c>
      <c r="X2876">
        <v>1</v>
      </c>
      <c r="Y2876" s="2">
        <v>45768</v>
      </c>
      <c r="Z2876" s="3" t="s">
        <v>118</v>
      </c>
      <c r="AA2876" t="s">
        <v>39</v>
      </c>
      <c r="AB2876" t="s">
        <v>49</v>
      </c>
      <c r="AC2876" s="5" t="s">
        <v>50</v>
      </c>
      <c r="AD2876" t="s">
        <v>391</v>
      </c>
    </row>
    <row r="2877" spans="2:30">
      <c r="B2877">
        <v>0</v>
      </c>
      <c r="C2877">
        <v>1020</v>
      </c>
      <c r="D2877" t="s">
        <v>388</v>
      </c>
      <c r="E2877">
        <v>14301926</v>
      </c>
      <c r="F2877" t="s">
        <v>2961</v>
      </c>
      <c r="G2877" t="s">
        <v>43</v>
      </c>
      <c r="H2877" t="s">
        <v>60</v>
      </c>
      <c r="I2877" t="s">
        <v>390</v>
      </c>
      <c r="J2877" t="s">
        <v>45</v>
      </c>
      <c r="K2877" t="s">
        <v>35</v>
      </c>
      <c r="L2877" t="s">
        <v>175</v>
      </c>
      <c r="M2877" t="s">
        <v>117</v>
      </c>
      <c r="N2877">
        <v>0</v>
      </c>
      <c r="O2877">
        <v>0</v>
      </c>
      <c r="P2877">
        <v>1</v>
      </c>
      <c r="Q2877">
        <v>0</v>
      </c>
      <c r="R2877">
        <v>0</v>
      </c>
      <c r="S2877" t="str">
        <f t="shared" si="220"/>
        <v>PY: Media Crit.</v>
      </c>
      <c r="T2877">
        <f t="shared" si="221"/>
        <v>1</v>
      </c>
      <c r="U2877">
        <f t="shared" si="222"/>
        <v>0</v>
      </c>
      <c r="V2877">
        <f t="shared" si="223"/>
        <v>0</v>
      </c>
      <c r="W2877">
        <f t="shared" si="224"/>
        <v>0</v>
      </c>
      <c r="X2877">
        <v>1</v>
      </c>
      <c r="Y2877" s="2">
        <v>45768</v>
      </c>
      <c r="Z2877" s="3" t="s">
        <v>118</v>
      </c>
      <c r="AA2877" t="s">
        <v>39</v>
      </c>
      <c r="AB2877" t="s">
        <v>49</v>
      </c>
      <c r="AC2877" s="5" t="s">
        <v>50</v>
      </c>
      <c r="AD2877" t="s">
        <v>391</v>
      </c>
    </row>
    <row r="2878" spans="2:30">
      <c r="B2878">
        <v>0</v>
      </c>
      <c r="C2878">
        <v>1020</v>
      </c>
      <c r="D2878" t="s">
        <v>181</v>
      </c>
      <c r="E2878">
        <v>14302884</v>
      </c>
      <c r="F2878" t="s">
        <v>2962</v>
      </c>
      <c r="G2878" t="s">
        <v>52</v>
      </c>
      <c r="H2878" t="s">
        <v>32</v>
      </c>
      <c r="I2878" t="s">
        <v>183</v>
      </c>
      <c r="J2878" t="s">
        <v>45</v>
      </c>
      <c r="K2878" t="s">
        <v>260</v>
      </c>
      <c r="L2878" t="s">
        <v>36</v>
      </c>
      <c r="M2878" t="s">
        <v>37</v>
      </c>
      <c r="N2878" s="8">
        <v>1110</v>
      </c>
      <c r="O2878">
        <v>20</v>
      </c>
      <c r="P2878">
        <v>0</v>
      </c>
      <c r="Q2878" s="8">
        <v>1110</v>
      </c>
      <c r="R2878" s="4">
        <v>14000.43</v>
      </c>
      <c r="S2878" t="str">
        <f t="shared" si="220"/>
        <v>PZ: Alta Crit.</v>
      </c>
      <c r="T2878">
        <f t="shared" si="221"/>
        <v>0</v>
      </c>
      <c r="U2878">
        <f t="shared" si="222"/>
        <v>0</v>
      </c>
      <c r="V2878">
        <f t="shared" si="223"/>
        <v>1</v>
      </c>
      <c r="W2878">
        <f t="shared" si="224"/>
        <v>0</v>
      </c>
      <c r="X2878">
        <v>1</v>
      </c>
      <c r="Y2878" s="2">
        <v>45768</v>
      </c>
      <c r="Z2878" s="3" t="s">
        <v>38</v>
      </c>
      <c r="AA2878" t="s">
        <v>39</v>
      </c>
      <c r="AB2878" t="s">
        <v>40</v>
      </c>
      <c r="AC2878" t="s">
        <v>40</v>
      </c>
      <c r="AD2878" t="s">
        <v>184</v>
      </c>
    </row>
    <row r="2879" spans="2:30">
      <c r="B2879">
        <v>0</v>
      </c>
      <c r="C2879">
        <v>1020</v>
      </c>
      <c r="D2879" t="s">
        <v>181</v>
      </c>
      <c r="E2879">
        <v>14303129</v>
      </c>
      <c r="F2879" t="s">
        <v>2963</v>
      </c>
      <c r="G2879" t="s">
        <v>1533</v>
      </c>
      <c r="H2879" t="s">
        <v>44</v>
      </c>
      <c r="I2879" t="s">
        <v>183</v>
      </c>
      <c r="J2879" t="s">
        <v>45</v>
      </c>
      <c r="K2879" t="s">
        <v>35</v>
      </c>
      <c r="L2879" t="s">
        <v>36</v>
      </c>
      <c r="M2879" t="s">
        <v>37</v>
      </c>
      <c r="N2879">
        <v>3</v>
      </c>
      <c r="O2879">
        <v>3</v>
      </c>
      <c r="P2879">
        <v>0</v>
      </c>
      <c r="Q2879">
        <v>0</v>
      </c>
      <c r="R2879">
        <v>0</v>
      </c>
      <c r="S2879" t="str">
        <f t="shared" si="220"/>
        <v>PX: Baja Crit.</v>
      </c>
      <c r="T2879">
        <f t="shared" si="221"/>
        <v>1</v>
      </c>
      <c r="U2879">
        <f t="shared" si="222"/>
        <v>0</v>
      </c>
      <c r="V2879">
        <f t="shared" si="223"/>
        <v>0</v>
      </c>
      <c r="W2879">
        <f t="shared" si="224"/>
        <v>0</v>
      </c>
      <c r="X2879">
        <v>1</v>
      </c>
      <c r="Y2879" s="2">
        <v>45768</v>
      </c>
      <c r="Z2879" s="3" t="s">
        <v>38</v>
      </c>
      <c r="AA2879" t="s">
        <v>39</v>
      </c>
      <c r="AB2879" t="s">
        <v>49</v>
      </c>
      <c r="AC2879" s="5" t="s">
        <v>50</v>
      </c>
      <c r="AD2879" t="s">
        <v>184</v>
      </c>
    </row>
    <row r="2880" spans="2:30">
      <c r="B2880">
        <v>0</v>
      </c>
      <c r="C2880">
        <v>1020</v>
      </c>
      <c r="D2880" t="s">
        <v>388</v>
      </c>
      <c r="E2880">
        <v>14314780</v>
      </c>
      <c r="F2880" t="s">
        <v>2964</v>
      </c>
      <c r="G2880" t="s">
        <v>43</v>
      </c>
      <c r="H2880" t="s">
        <v>44</v>
      </c>
      <c r="I2880" t="s">
        <v>390</v>
      </c>
      <c r="J2880" t="s">
        <v>45</v>
      </c>
      <c r="K2880" t="s">
        <v>35</v>
      </c>
      <c r="L2880" t="s">
        <v>175</v>
      </c>
      <c r="M2880" t="s">
        <v>69</v>
      </c>
      <c r="N2880">
        <v>0</v>
      </c>
      <c r="O2880">
        <v>0</v>
      </c>
      <c r="P2880">
        <v>1</v>
      </c>
      <c r="Q2880">
        <v>0</v>
      </c>
      <c r="R2880">
        <v>0</v>
      </c>
      <c r="S2880" t="str">
        <f t="shared" si="220"/>
        <v>PY: Media Crit.</v>
      </c>
      <c r="T2880">
        <f t="shared" si="221"/>
        <v>1</v>
      </c>
      <c r="U2880">
        <f t="shared" si="222"/>
        <v>0</v>
      </c>
      <c r="V2880">
        <f t="shared" si="223"/>
        <v>0</v>
      </c>
      <c r="W2880">
        <f t="shared" si="224"/>
        <v>0</v>
      </c>
      <c r="X2880">
        <v>1</v>
      </c>
      <c r="Y2880" s="2">
        <v>45768</v>
      </c>
      <c r="Z2880" s="3" t="s">
        <v>70</v>
      </c>
      <c r="AA2880" t="s">
        <v>39</v>
      </c>
      <c r="AB2880" t="s">
        <v>76</v>
      </c>
      <c r="AC2880" s="5" t="s">
        <v>77</v>
      </c>
      <c r="AD2880" t="s">
        <v>391</v>
      </c>
    </row>
    <row r="2881" spans="2:30">
      <c r="B2881">
        <v>0</v>
      </c>
      <c r="C2881">
        <v>1020</v>
      </c>
      <c r="D2881" t="s">
        <v>388</v>
      </c>
      <c r="E2881">
        <v>14314781</v>
      </c>
      <c r="F2881" t="s">
        <v>2965</v>
      </c>
      <c r="G2881" t="s">
        <v>31</v>
      </c>
      <c r="H2881" t="s">
        <v>44</v>
      </c>
      <c r="I2881" t="s">
        <v>390</v>
      </c>
      <c r="J2881" t="s">
        <v>45</v>
      </c>
      <c r="K2881" t="s">
        <v>35</v>
      </c>
      <c r="L2881" t="s">
        <v>175</v>
      </c>
      <c r="M2881" t="s">
        <v>69</v>
      </c>
      <c r="N2881">
        <v>0</v>
      </c>
      <c r="O2881">
        <v>0</v>
      </c>
      <c r="P2881">
        <v>1</v>
      </c>
      <c r="Q2881">
        <v>0</v>
      </c>
      <c r="R2881">
        <v>0</v>
      </c>
      <c r="S2881" t="str">
        <f t="shared" si="220"/>
        <v>PX: Baja Crit.</v>
      </c>
      <c r="T2881">
        <f t="shared" si="221"/>
        <v>1</v>
      </c>
      <c r="U2881">
        <f t="shared" si="222"/>
        <v>0</v>
      </c>
      <c r="V2881">
        <f t="shared" si="223"/>
        <v>0</v>
      </c>
      <c r="W2881">
        <f t="shared" si="224"/>
        <v>0</v>
      </c>
      <c r="X2881">
        <v>1</v>
      </c>
      <c r="Y2881" s="2">
        <v>45768</v>
      </c>
      <c r="Z2881" s="3" t="s">
        <v>70</v>
      </c>
      <c r="AA2881" t="s">
        <v>39</v>
      </c>
      <c r="AB2881" t="s">
        <v>76</v>
      </c>
      <c r="AC2881" s="5" t="s">
        <v>77</v>
      </c>
      <c r="AD2881" t="s">
        <v>391</v>
      </c>
    </row>
    <row r="2882" spans="2:30">
      <c r="B2882">
        <v>0</v>
      </c>
      <c r="C2882">
        <v>1020</v>
      </c>
      <c r="D2882" t="s">
        <v>388</v>
      </c>
      <c r="E2882">
        <v>14318385</v>
      </c>
      <c r="F2882" t="s">
        <v>2966</v>
      </c>
      <c r="G2882" t="s">
        <v>43</v>
      </c>
      <c r="H2882" t="s">
        <v>44</v>
      </c>
      <c r="I2882" t="s">
        <v>390</v>
      </c>
      <c r="J2882" t="s">
        <v>45</v>
      </c>
      <c r="K2882" t="s">
        <v>35</v>
      </c>
      <c r="L2882" t="s">
        <v>175</v>
      </c>
      <c r="M2882" t="s">
        <v>37</v>
      </c>
      <c r="N2882">
        <v>0</v>
      </c>
      <c r="O2882">
        <v>0</v>
      </c>
      <c r="P2882">
        <v>10</v>
      </c>
      <c r="Q2882">
        <v>10</v>
      </c>
      <c r="R2882" s="4">
        <v>81497.02</v>
      </c>
      <c r="S2882" t="str">
        <f t="shared" ref="S2882:S2945" si="225">+IF(G2882="PZ", "PZ: Alta Crit.",IF(G2882="PY","PY: Media Crit.", "PX: Baja Crit."))</f>
        <v>PY: Media Crit.</v>
      </c>
      <c r="T2882">
        <f t="shared" ref="T2882:T2945" si="226">+IF(Q2882=0,1,0)</f>
        <v>0</v>
      </c>
      <c r="U2882">
        <f t="shared" ref="U2882:U2945" si="227">+IF(AND(Q2882&lt;=P2882,Q2882&gt;0),1,0)</f>
        <v>1</v>
      </c>
      <c r="V2882">
        <f t="shared" ref="V2882:V2945" si="228">+IF(AND(Q2882&gt;P2882,Q2882&lt;=N2882),1,0)</f>
        <v>0</v>
      </c>
      <c r="W2882">
        <f t="shared" ref="W2882:W2945" si="229">+IF(Q2882&gt;N2882,1,0)</f>
        <v>1</v>
      </c>
      <c r="X2882">
        <v>1</v>
      </c>
      <c r="Y2882" s="2">
        <v>45768</v>
      </c>
      <c r="Z2882" s="3" t="s">
        <v>38</v>
      </c>
      <c r="AA2882" t="s">
        <v>39</v>
      </c>
      <c r="AB2882" t="s">
        <v>40</v>
      </c>
      <c r="AC2882" t="s">
        <v>40</v>
      </c>
      <c r="AD2882" t="s">
        <v>391</v>
      </c>
    </row>
    <row r="2883" spans="2:30">
      <c r="B2883">
        <v>0</v>
      </c>
      <c r="C2883">
        <v>1020</v>
      </c>
      <c r="D2883" t="s">
        <v>181</v>
      </c>
      <c r="E2883">
        <v>14322541</v>
      </c>
      <c r="F2883" t="s">
        <v>2967</v>
      </c>
      <c r="G2883" t="s">
        <v>52</v>
      </c>
      <c r="H2883" t="s">
        <v>44</v>
      </c>
      <c r="I2883" t="s">
        <v>183</v>
      </c>
      <c r="J2883" t="s">
        <v>45</v>
      </c>
      <c r="K2883" t="s">
        <v>35</v>
      </c>
      <c r="L2883" t="s">
        <v>36</v>
      </c>
      <c r="M2883" t="s">
        <v>117</v>
      </c>
      <c r="N2883">
        <v>10</v>
      </c>
      <c r="O2883">
        <v>5</v>
      </c>
      <c r="P2883">
        <v>0</v>
      </c>
      <c r="Q2883">
        <v>14</v>
      </c>
      <c r="R2883" s="4">
        <v>52149.13</v>
      </c>
      <c r="S2883" t="str">
        <f t="shared" si="225"/>
        <v>PZ: Alta Crit.</v>
      </c>
      <c r="T2883">
        <f t="shared" si="226"/>
        <v>0</v>
      </c>
      <c r="U2883">
        <f t="shared" si="227"/>
        <v>0</v>
      </c>
      <c r="V2883">
        <f t="shared" si="228"/>
        <v>0</v>
      </c>
      <c r="W2883">
        <f t="shared" si="229"/>
        <v>1</v>
      </c>
      <c r="X2883">
        <v>1</v>
      </c>
      <c r="Y2883" s="2">
        <v>45768</v>
      </c>
      <c r="Z2883" s="3" t="s">
        <v>118</v>
      </c>
      <c r="AA2883" t="s">
        <v>39</v>
      </c>
      <c r="AB2883" t="s">
        <v>40</v>
      </c>
      <c r="AC2883" t="s">
        <v>40</v>
      </c>
      <c r="AD2883" t="s">
        <v>184</v>
      </c>
    </row>
    <row r="2884" spans="2:30">
      <c r="B2884">
        <v>0</v>
      </c>
      <c r="C2884">
        <v>1020</v>
      </c>
      <c r="D2884" t="s">
        <v>181</v>
      </c>
      <c r="E2884">
        <v>14322561</v>
      </c>
      <c r="F2884" t="s">
        <v>2968</v>
      </c>
      <c r="G2884" t="s">
        <v>52</v>
      </c>
      <c r="H2884" t="s">
        <v>44</v>
      </c>
      <c r="I2884" t="s">
        <v>183</v>
      </c>
      <c r="J2884" t="s">
        <v>45</v>
      </c>
      <c r="K2884" t="s">
        <v>35</v>
      </c>
      <c r="L2884" t="s">
        <v>36</v>
      </c>
      <c r="M2884" t="s">
        <v>117</v>
      </c>
      <c r="N2884">
        <v>10</v>
      </c>
      <c r="O2884">
        <v>5</v>
      </c>
      <c r="P2884">
        <v>0</v>
      </c>
      <c r="Q2884">
        <v>10</v>
      </c>
      <c r="R2884" s="4">
        <v>35362.379999999997</v>
      </c>
      <c r="S2884" t="str">
        <f t="shared" si="225"/>
        <v>PZ: Alta Crit.</v>
      </c>
      <c r="T2884">
        <f t="shared" si="226"/>
        <v>0</v>
      </c>
      <c r="U2884">
        <f t="shared" si="227"/>
        <v>0</v>
      </c>
      <c r="V2884">
        <f t="shared" si="228"/>
        <v>1</v>
      </c>
      <c r="W2884">
        <f t="shared" si="229"/>
        <v>0</v>
      </c>
      <c r="X2884">
        <v>1</v>
      </c>
      <c r="Y2884" s="2">
        <v>45768</v>
      </c>
      <c r="Z2884" s="3" t="s">
        <v>118</v>
      </c>
      <c r="AA2884" t="s">
        <v>39</v>
      </c>
      <c r="AB2884" t="s">
        <v>40</v>
      </c>
      <c r="AC2884" t="s">
        <v>40</v>
      </c>
      <c r="AD2884" t="s">
        <v>184</v>
      </c>
    </row>
    <row r="2885" spans="2:30">
      <c r="B2885">
        <v>0</v>
      </c>
      <c r="C2885">
        <v>1020</v>
      </c>
      <c r="D2885" t="s">
        <v>181</v>
      </c>
      <c r="E2885">
        <v>14323883</v>
      </c>
      <c r="F2885" t="s">
        <v>2969</v>
      </c>
      <c r="G2885" t="s">
        <v>52</v>
      </c>
      <c r="H2885" t="s">
        <v>44</v>
      </c>
      <c r="I2885" t="s">
        <v>183</v>
      </c>
      <c r="J2885" t="s">
        <v>45</v>
      </c>
      <c r="K2885" t="s">
        <v>35</v>
      </c>
      <c r="L2885" t="s">
        <v>36</v>
      </c>
      <c r="M2885" t="s">
        <v>117</v>
      </c>
      <c r="N2885">
        <v>6</v>
      </c>
      <c r="O2885">
        <v>4</v>
      </c>
      <c r="P2885">
        <v>2</v>
      </c>
      <c r="Q2885">
        <v>6</v>
      </c>
      <c r="R2885" s="4">
        <v>6467.93</v>
      </c>
      <c r="S2885" t="str">
        <f t="shared" si="225"/>
        <v>PZ: Alta Crit.</v>
      </c>
      <c r="T2885">
        <f t="shared" si="226"/>
        <v>0</v>
      </c>
      <c r="U2885">
        <f t="shared" si="227"/>
        <v>0</v>
      </c>
      <c r="V2885">
        <f t="shared" si="228"/>
        <v>1</v>
      </c>
      <c r="W2885">
        <f t="shared" si="229"/>
        <v>0</v>
      </c>
      <c r="X2885">
        <v>1</v>
      </c>
      <c r="Y2885" s="2">
        <v>45768</v>
      </c>
      <c r="Z2885" s="3" t="s">
        <v>118</v>
      </c>
      <c r="AA2885" t="s">
        <v>39</v>
      </c>
      <c r="AB2885" t="s">
        <v>49</v>
      </c>
      <c r="AC2885" s="5" t="s">
        <v>50</v>
      </c>
      <c r="AD2885" t="s">
        <v>184</v>
      </c>
    </row>
    <row r="2886" spans="2:30">
      <c r="B2886">
        <v>0</v>
      </c>
      <c r="C2886">
        <v>1020</v>
      </c>
      <c r="D2886" t="s">
        <v>181</v>
      </c>
      <c r="E2886">
        <v>14323887</v>
      </c>
      <c r="F2886" t="s">
        <v>2970</v>
      </c>
      <c r="G2886" t="s">
        <v>31</v>
      </c>
      <c r="H2886" t="s">
        <v>44</v>
      </c>
      <c r="I2886" t="s">
        <v>183</v>
      </c>
      <c r="J2886" t="s">
        <v>45</v>
      </c>
      <c r="K2886" t="s">
        <v>35</v>
      </c>
      <c r="L2886" t="s">
        <v>36</v>
      </c>
      <c r="M2886" t="s">
        <v>117</v>
      </c>
      <c r="N2886">
        <v>6</v>
      </c>
      <c r="O2886">
        <v>4</v>
      </c>
      <c r="P2886">
        <v>2</v>
      </c>
      <c r="Q2886">
        <v>6</v>
      </c>
      <c r="R2886" s="4">
        <v>3676.06</v>
      </c>
      <c r="S2886" t="str">
        <f t="shared" si="225"/>
        <v>PX: Baja Crit.</v>
      </c>
      <c r="T2886">
        <f t="shared" si="226"/>
        <v>0</v>
      </c>
      <c r="U2886">
        <f t="shared" si="227"/>
        <v>0</v>
      </c>
      <c r="V2886">
        <f t="shared" si="228"/>
        <v>1</v>
      </c>
      <c r="W2886">
        <f t="shared" si="229"/>
        <v>0</v>
      </c>
      <c r="X2886">
        <v>1</v>
      </c>
      <c r="Y2886" s="2">
        <v>45768</v>
      </c>
      <c r="Z2886" s="3" t="s">
        <v>118</v>
      </c>
      <c r="AA2886" t="s">
        <v>39</v>
      </c>
      <c r="AB2886" t="s">
        <v>49</v>
      </c>
      <c r="AC2886" s="5" t="s">
        <v>50</v>
      </c>
      <c r="AD2886" t="s">
        <v>184</v>
      </c>
    </row>
    <row r="2887" spans="2:30">
      <c r="B2887">
        <v>0</v>
      </c>
      <c r="C2887">
        <v>1020</v>
      </c>
      <c r="D2887" t="s">
        <v>181</v>
      </c>
      <c r="E2887">
        <v>14326503</v>
      </c>
      <c r="F2887" t="s">
        <v>2971</v>
      </c>
      <c r="G2887" t="s">
        <v>43</v>
      </c>
      <c r="H2887" t="s">
        <v>44</v>
      </c>
      <c r="I2887" t="s">
        <v>183</v>
      </c>
      <c r="J2887" t="s">
        <v>45</v>
      </c>
      <c r="K2887" t="s">
        <v>35</v>
      </c>
      <c r="L2887" t="s">
        <v>36</v>
      </c>
      <c r="M2887" t="s">
        <v>46</v>
      </c>
      <c r="N2887">
        <v>2</v>
      </c>
      <c r="O2887">
        <v>2</v>
      </c>
      <c r="P2887">
        <v>0</v>
      </c>
      <c r="Q2887">
        <v>2</v>
      </c>
      <c r="R2887">
        <v>647.9</v>
      </c>
      <c r="S2887" t="str">
        <f t="shared" si="225"/>
        <v>PY: Media Crit.</v>
      </c>
      <c r="T2887">
        <f t="shared" si="226"/>
        <v>0</v>
      </c>
      <c r="U2887">
        <f t="shared" si="227"/>
        <v>0</v>
      </c>
      <c r="V2887">
        <f t="shared" si="228"/>
        <v>1</v>
      </c>
      <c r="W2887">
        <f t="shared" si="229"/>
        <v>0</v>
      </c>
      <c r="X2887">
        <v>1</v>
      </c>
      <c r="Y2887" s="2">
        <v>45768</v>
      </c>
      <c r="Z2887" s="3" t="s">
        <v>47</v>
      </c>
      <c r="AA2887" t="s">
        <v>39</v>
      </c>
      <c r="AB2887" t="s">
        <v>40</v>
      </c>
      <c r="AC2887" t="s">
        <v>40</v>
      </c>
      <c r="AD2887" t="s">
        <v>184</v>
      </c>
    </row>
    <row r="2888" spans="2:30">
      <c r="B2888">
        <v>0</v>
      </c>
      <c r="C2888">
        <v>1020</v>
      </c>
      <c r="D2888" t="s">
        <v>388</v>
      </c>
      <c r="E2888">
        <v>14326917</v>
      </c>
      <c r="F2888" t="s">
        <v>2972</v>
      </c>
      <c r="G2888" t="s">
        <v>31</v>
      </c>
      <c r="H2888" t="s">
        <v>44</v>
      </c>
      <c r="I2888" t="s">
        <v>390</v>
      </c>
      <c r="J2888" t="s">
        <v>45</v>
      </c>
      <c r="K2888" t="s">
        <v>35</v>
      </c>
      <c r="L2888" t="s">
        <v>175</v>
      </c>
      <c r="M2888" t="s">
        <v>69</v>
      </c>
      <c r="N2888">
        <v>0</v>
      </c>
      <c r="O2888">
        <v>0</v>
      </c>
      <c r="P2888">
        <v>1</v>
      </c>
      <c r="Q2888">
        <v>2</v>
      </c>
      <c r="R2888" s="4">
        <v>164525.45000000001</v>
      </c>
      <c r="S2888" t="str">
        <f t="shared" si="225"/>
        <v>PX: Baja Crit.</v>
      </c>
      <c r="T2888">
        <f t="shared" si="226"/>
        <v>0</v>
      </c>
      <c r="U2888">
        <f t="shared" si="227"/>
        <v>0</v>
      </c>
      <c r="V2888">
        <f t="shared" si="228"/>
        <v>0</v>
      </c>
      <c r="W2888">
        <f t="shared" si="229"/>
        <v>1</v>
      </c>
      <c r="X2888">
        <v>1</v>
      </c>
      <c r="Y2888" s="2">
        <v>45768</v>
      </c>
      <c r="Z2888" s="3" t="s">
        <v>70</v>
      </c>
      <c r="AA2888" t="s">
        <v>39</v>
      </c>
      <c r="AB2888" t="s">
        <v>40</v>
      </c>
      <c r="AC2888" t="s">
        <v>40</v>
      </c>
      <c r="AD2888" t="s">
        <v>391</v>
      </c>
    </row>
    <row r="2889" spans="2:30">
      <c r="B2889">
        <v>0</v>
      </c>
      <c r="C2889">
        <v>1020</v>
      </c>
      <c r="D2889" t="s">
        <v>181</v>
      </c>
      <c r="E2889">
        <v>14327139</v>
      </c>
      <c r="F2889" t="s">
        <v>2973</v>
      </c>
      <c r="G2889" t="s">
        <v>43</v>
      </c>
      <c r="H2889" t="s">
        <v>44</v>
      </c>
      <c r="I2889" t="s">
        <v>183</v>
      </c>
      <c r="J2889" t="s">
        <v>45</v>
      </c>
      <c r="K2889" t="s">
        <v>35</v>
      </c>
      <c r="L2889" t="s">
        <v>36</v>
      </c>
      <c r="M2889" t="s">
        <v>37</v>
      </c>
      <c r="N2889">
        <v>1</v>
      </c>
      <c r="O2889">
        <v>1</v>
      </c>
      <c r="P2889">
        <v>0</v>
      </c>
      <c r="Q2889">
        <v>0</v>
      </c>
      <c r="R2889">
        <v>0</v>
      </c>
      <c r="S2889" t="str">
        <f t="shared" si="225"/>
        <v>PY: Media Crit.</v>
      </c>
      <c r="T2889">
        <f t="shared" si="226"/>
        <v>1</v>
      </c>
      <c r="U2889">
        <f t="shared" si="227"/>
        <v>0</v>
      </c>
      <c r="V2889">
        <f t="shared" si="228"/>
        <v>0</v>
      </c>
      <c r="W2889">
        <f t="shared" si="229"/>
        <v>0</v>
      </c>
      <c r="X2889">
        <v>1</v>
      </c>
      <c r="Y2889" s="2">
        <v>45768</v>
      </c>
      <c r="Z2889" s="3" t="s">
        <v>38</v>
      </c>
      <c r="AA2889" t="s">
        <v>39</v>
      </c>
      <c r="AB2889" t="s">
        <v>49</v>
      </c>
      <c r="AC2889" s="5" t="s">
        <v>50</v>
      </c>
      <c r="AD2889" t="s">
        <v>184</v>
      </c>
    </row>
    <row r="2890" spans="2:30">
      <c r="B2890">
        <v>0</v>
      </c>
      <c r="C2890">
        <v>1020</v>
      </c>
      <c r="D2890" t="s">
        <v>181</v>
      </c>
      <c r="E2890">
        <v>14327980</v>
      </c>
      <c r="F2890" t="s">
        <v>2974</v>
      </c>
      <c r="G2890" t="s">
        <v>31</v>
      </c>
      <c r="H2890" t="s">
        <v>44</v>
      </c>
      <c r="I2890" t="s">
        <v>183</v>
      </c>
      <c r="J2890" t="s">
        <v>45</v>
      </c>
      <c r="K2890" t="s">
        <v>35</v>
      </c>
      <c r="L2890" t="s">
        <v>36</v>
      </c>
      <c r="M2890" t="s">
        <v>46</v>
      </c>
      <c r="N2890">
        <v>10</v>
      </c>
      <c r="O2890">
        <v>5</v>
      </c>
      <c r="P2890">
        <v>0</v>
      </c>
      <c r="Q2890">
        <v>10</v>
      </c>
      <c r="R2890" s="4">
        <v>3722.84</v>
      </c>
      <c r="S2890" t="str">
        <f t="shared" si="225"/>
        <v>PX: Baja Crit.</v>
      </c>
      <c r="T2890">
        <f t="shared" si="226"/>
        <v>0</v>
      </c>
      <c r="U2890">
        <f t="shared" si="227"/>
        <v>0</v>
      </c>
      <c r="V2890">
        <f t="shared" si="228"/>
        <v>1</v>
      </c>
      <c r="W2890">
        <f t="shared" si="229"/>
        <v>0</v>
      </c>
      <c r="X2890">
        <v>1</v>
      </c>
      <c r="Y2890" s="2">
        <v>45768</v>
      </c>
      <c r="Z2890" s="3" t="s">
        <v>47</v>
      </c>
      <c r="AA2890" t="s">
        <v>39</v>
      </c>
      <c r="AB2890" t="s">
        <v>40</v>
      </c>
      <c r="AC2890" t="s">
        <v>40</v>
      </c>
      <c r="AD2890" t="s">
        <v>184</v>
      </c>
    </row>
    <row r="2891" spans="2:30">
      <c r="B2891">
        <v>0</v>
      </c>
      <c r="C2891">
        <v>1020</v>
      </c>
      <c r="D2891" t="s">
        <v>181</v>
      </c>
      <c r="E2891">
        <v>14327981</v>
      </c>
      <c r="F2891" t="s">
        <v>2975</v>
      </c>
      <c r="G2891" t="s">
        <v>31</v>
      </c>
      <c r="H2891" t="s">
        <v>32</v>
      </c>
      <c r="I2891" t="s">
        <v>183</v>
      </c>
      <c r="J2891" t="s">
        <v>45</v>
      </c>
      <c r="K2891" t="s">
        <v>35</v>
      </c>
      <c r="L2891" t="s">
        <v>36</v>
      </c>
      <c r="M2891" t="s">
        <v>46</v>
      </c>
      <c r="N2891">
        <v>10</v>
      </c>
      <c r="O2891">
        <v>5</v>
      </c>
      <c r="P2891">
        <v>0</v>
      </c>
      <c r="Q2891">
        <v>0</v>
      </c>
      <c r="R2891">
        <v>0</v>
      </c>
      <c r="S2891" t="str">
        <f t="shared" si="225"/>
        <v>PX: Baja Crit.</v>
      </c>
      <c r="T2891">
        <f t="shared" si="226"/>
        <v>1</v>
      </c>
      <c r="U2891">
        <f t="shared" si="227"/>
        <v>0</v>
      </c>
      <c r="V2891">
        <f t="shared" si="228"/>
        <v>0</v>
      </c>
      <c r="W2891">
        <f t="shared" si="229"/>
        <v>0</v>
      </c>
      <c r="X2891">
        <v>1</v>
      </c>
      <c r="Y2891" s="2">
        <v>45768</v>
      </c>
      <c r="Z2891" s="3" t="s">
        <v>47</v>
      </c>
      <c r="AA2891" t="s">
        <v>39</v>
      </c>
      <c r="AB2891" t="s">
        <v>76</v>
      </c>
      <c r="AC2891" s="5" t="s">
        <v>77</v>
      </c>
      <c r="AD2891" t="s">
        <v>184</v>
      </c>
    </row>
    <row r="2892" spans="2:30">
      <c r="B2892">
        <v>0</v>
      </c>
      <c r="C2892">
        <v>1020</v>
      </c>
      <c r="D2892" t="s">
        <v>388</v>
      </c>
      <c r="E2892">
        <v>14328370</v>
      </c>
      <c r="F2892" t="s">
        <v>2976</v>
      </c>
      <c r="G2892" t="s">
        <v>31</v>
      </c>
      <c r="H2892" t="s">
        <v>44</v>
      </c>
      <c r="I2892" t="s">
        <v>390</v>
      </c>
      <c r="J2892" t="s">
        <v>45</v>
      </c>
      <c r="K2892" t="s">
        <v>35</v>
      </c>
      <c r="L2892" t="s">
        <v>175</v>
      </c>
      <c r="M2892" t="s">
        <v>117</v>
      </c>
      <c r="N2892">
        <v>0</v>
      </c>
      <c r="O2892">
        <v>0</v>
      </c>
      <c r="P2892">
        <v>2</v>
      </c>
      <c r="Q2892">
        <v>7</v>
      </c>
      <c r="R2892" s="4">
        <v>48970.17</v>
      </c>
      <c r="S2892" t="str">
        <f t="shared" si="225"/>
        <v>PX: Baja Crit.</v>
      </c>
      <c r="T2892">
        <f t="shared" si="226"/>
        <v>0</v>
      </c>
      <c r="U2892">
        <f t="shared" si="227"/>
        <v>0</v>
      </c>
      <c r="V2892">
        <f t="shared" si="228"/>
        <v>0</v>
      </c>
      <c r="W2892">
        <f t="shared" si="229"/>
        <v>1</v>
      </c>
      <c r="X2892">
        <v>1</v>
      </c>
      <c r="Y2892" s="2">
        <v>45768</v>
      </c>
      <c r="Z2892" s="3" t="s">
        <v>118</v>
      </c>
      <c r="AA2892" t="s">
        <v>39</v>
      </c>
      <c r="AB2892" t="s">
        <v>40</v>
      </c>
      <c r="AC2892" t="s">
        <v>40</v>
      </c>
      <c r="AD2892" t="s">
        <v>391</v>
      </c>
    </row>
    <row r="2893" spans="2:30">
      <c r="B2893">
        <v>0</v>
      </c>
      <c r="C2893">
        <v>1020</v>
      </c>
      <c r="D2893" t="s">
        <v>388</v>
      </c>
      <c r="E2893">
        <v>14328380</v>
      </c>
      <c r="F2893" t="s">
        <v>2977</v>
      </c>
      <c r="G2893" t="s">
        <v>31</v>
      </c>
      <c r="H2893" t="s">
        <v>44</v>
      </c>
      <c r="I2893" t="s">
        <v>390</v>
      </c>
      <c r="J2893" t="s">
        <v>45</v>
      </c>
      <c r="K2893" t="s">
        <v>35</v>
      </c>
      <c r="L2893" t="s">
        <v>175</v>
      </c>
      <c r="M2893" t="s">
        <v>117</v>
      </c>
      <c r="N2893">
        <v>0</v>
      </c>
      <c r="O2893">
        <v>0</v>
      </c>
      <c r="P2893">
        <v>2</v>
      </c>
      <c r="Q2893">
        <v>7</v>
      </c>
      <c r="R2893" s="4">
        <v>34077.51</v>
      </c>
      <c r="S2893" t="str">
        <f t="shared" si="225"/>
        <v>PX: Baja Crit.</v>
      </c>
      <c r="T2893">
        <f t="shared" si="226"/>
        <v>0</v>
      </c>
      <c r="U2893">
        <f t="shared" si="227"/>
        <v>0</v>
      </c>
      <c r="V2893">
        <f t="shared" si="228"/>
        <v>0</v>
      </c>
      <c r="W2893">
        <f t="shared" si="229"/>
        <v>1</v>
      </c>
      <c r="X2893">
        <v>1</v>
      </c>
      <c r="Y2893" s="2">
        <v>45768</v>
      </c>
      <c r="Z2893" s="3" t="s">
        <v>118</v>
      </c>
      <c r="AA2893" t="s">
        <v>39</v>
      </c>
      <c r="AB2893" t="s">
        <v>40</v>
      </c>
      <c r="AC2893" t="s">
        <v>40</v>
      </c>
      <c r="AD2893" t="s">
        <v>391</v>
      </c>
    </row>
    <row r="2894" spans="2:30">
      <c r="B2894">
        <v>0</v>
      </c>
      <c r="C2894">
        <v>1020</v>
      </c>
      <c r="D2894" t="s">
        <v>388</v>
      </c>
      <c r="E2894">
        <v>14328381</v>
      </c>
      <c r="F2894" t="s">
        <v>2978</v>
      </c>
      <c r="G2894" t="s">
        <v>31</v>
      </c>
      <c r="H2894" t="s">
        <v>44</v>
      </c>
      <c r="I2894" t="s">
        <v>390</v>
      </c>
      <c r="J2894" t="s">
        <v>45</v>
      </c>
      <c r="K2894" t="s">
        <v>35</v>
      </c>
      <c r="L2894" t="s">
        <v>175</v>
      </c>
      <c r="M2894" t="s">
        <v>117</v>
      </c>
      <c r="N2894">
        <v>0</v>
      </c>
      <c r="O2894">
        <v>0</v>
      </c>
      <c r="P2894">
        <v>2</v>
      </c>
      <c r="Q2894">
        <v>4</v>
      </c>
      <c r="R2894" s="4">
        <v>118734.84</v>
      </c>
      <c r="S2894" t="str">
        <f t="shared" si="225"/>
        <v>PX: Baja Crit.</v>
      </c>
      <c r="T2894">
        <f t="shared" si="226"/>
        <v>0</v>
      </c>
      <c r="U2894">
        <f t="shared" si="227"/>
        <v>0</v>
      </c>
      <c r="V2894">
        <f t="shared" si="228"/>
        <v>0</v>
      </c>
      <c r="W2894">
        <f t="shared" si="229"/>
        <v>1</v>
      </c>
      <c r="X2894">
        <v>1</v>
      </c>
      <c r="Y2894" s="2">
        <v>45768</v>
      </c>
      <c r="Z2894" s="3" t="s">
        <v>118</v>
      </c>
      <c r="AA2894" t="s">
        <v>39</v>
      </c>
      <c r="AB2894" t="s">
        <v>49</v>
      </c>
      <c r="AC2894" s="5" t="s">
        <v>50</v>
      </c>
      <c r="AD2894" t="s">
        <v>391</v>
      </c>
    </row>
    <row r="2895" spans="2:30">
      <c r="B2895">
        <v>0</v>
      </c>
      <c r="C2895">
        <v>1020</v>
      </c>
      <c r="D2895" t="s">
        <v>388</v>
      </c>
      <c r="E2895">
        <v>14328382</v>
      </c>
      <c r="F2895" t="s">
        <v>2979</v>
      </c>
      <c r="G2895" t="s">
        <v>31</v>
      </c>
      <c r="H2895" t="s">
        <v>44</v>
      </c>
      <c r="I2895" t="s">
        <v>390</v>
      </c>
      <c r="J2895" t="s">
        <v>45</v>
      </c>
      <c r="K2895" t="s">
        <v>35</v>
      </c>
      <c r="L2895" t="s">
        <v>175</v>
      </c>
      <c r="M2895" t="s">
        <v>117</v>
      </c>
      <c r="N2895">
        <v>0</v>
      </c>
      <c r="O2895">
        <v>0</v>
      </c>
      <c r="P2895">
        <v>2</v>
      </c>
      <c r="Q2895">
        <v>8</v>
      </c>
      <c r="R2895" s="4">
        <v>20889.759999999998</v>
      </c>
      <c r="S2895" t="str">
        <f t="shared" si="225"/>
        <v>PX: Baja Crit.</v>
      </c>
      <c r="T2895">
        <f t="shared" si="226"/>
        <v>0</v>
      </c>
      <c r="U2895">
        <f t="shared" si="227"/>
        <v>0</v>
      </c>
      <c r="V2895">
        <f t="shared" si="228"/>
        <v>0</v>
      </c>
      <c r="W2895">
        <f t="shared" si="229"/>
        <v>1</v>
      </c>
      <c r="X2895">
        <v>1</v>
      </c>
      <c r="Y2895" s="2">
        <v>45768</v>
      </c>
      <c r="Z2895" s="3" t="s">
        <v>118</v>
      </c>
      <c r="AA2895" t="s">
        <v>39</v>
      </c>
      <c r="AB2895" t="s">
        <v>40</v>
      </c>
      <c r="AC2895" t="s">
        <v>40</v>
      </c>
      <c r="AD2895" t="s">
        <v>391</v>
      </c>
    </row>
    <row r="2896" spans="2:30">
      <c r="B2896">
        <v>0</v>
      </c>
      <c r="C2896">
        <v>1020</v>
      </c>
      <c r="D2896" t="s">
        <v>388</v>
      </c>
      <c r="E2896">
        <v>14328383</v>
      </c>
      <c r="F2896" t="s">
        <v>2980</v>
      </c>
      <c r="G2896" t="s">
        <v>31</v>
      </c>
      <c r="H2896" t="s">
        <v>32</v>
      </c>
      <c r="I2896" t="s">
        <v>390</v>
      </c>
      <c r="J2896" t="s">
        <v>45</v>
      </c>
      <c r="K2896" t="s">
        <v>35</v>
      </c>
      <c r="L2896" t="s">
        <v>175</v>
      </c>
      <c r="M2896" t="s">
        <v>117</v>
      </c>
      <c r="N2896">
        <v>0</v>
      </c>
      <c r="O2896">
        <v>0</v>
      </c>
      <c r="P2896">
        <v>2</v>
      </c>
      <c r="Q2896">
        <v>8</v>
      </c>
      <c r="R2896" s="4">
        <v>11569.34</v>
      </c>
      <c r="S2896" t="str">
        <f t="shared" si="225"/>
        <v>PX: Baja Crit.</v>
      </c>
      <c r="T2896">
        <f t="shared" si="226"/>
        <v>0</v>
      </c>
      <c r="U2896">
        <f t="shared" si="227"/>
        <v>0</v>
      </c>
      <c r="V2896">
        <f t="shared" si="228"/>
        <v>0</v>
      </c>
      <c r="W2896">
        <f t="shared" si="229"/>
        <v>1</v>
      </c>
      <c r="X2896">
        <v>1</v>
      </c>
      <c r="Y2896" s="2">
        <v>45768</v>
      </c>
      <c r="Z2896" s="3" t="s">
        <v>118</v>
      </c>
      <c r="AA2896" t="s">
        <v>39</v>
      </c>
      <c r="AB2896" t="s">
        <v>40</v>
      </c>
      <c r="AC2896" t="s">
        <v>40</v>
      </c>
      <c r="AD2896" t="s">
        <v>391</v>
      </c>
    </row>
    <row r="2897" spans="2:30">
      <c r="B2897">
        <v>0</v>
      </c>
      <c r="C2897">
        <v>1020</v>
      </c>
      <c r="D2897" t="s">
        <v>388</v>
      </c>
      <c r="E2897">
        <v>14328384</v>
      </c>
      <c r="F2897" t="s">
        <v>2981</v>
      </c>
      <c r="G2897" t="s">
        <v>31</v>
      </c>
      <c r="H2897" t="s">
        <v>44</v>
      </c>
      <c r="I2897" t="s">
        <v>390</v>
      </c>
      <c r="J2897" t="s">
        <v>45</v>
      </c>
      <c r="K2897" t="s">
        <v>35</v>
      </c>
      <c r="L2897" t="s">
        <v>175</v>
      </c>
      <c r="M2897" t="s">
        <v>117</v>
      </c>
      <c r="N2897">
        <v>0</v>
      </c>
      <c r="O2897">
        <v>0</v>
      </c>
      <c r="P2897">
        <v>2</v>
      </c>
      <c r="Q2897">
        <v>5</v>
      </c>
      <c r="R2897" s="4">
        <v>36290.21</v>
      </c>
      <c r="S2897" t="str">
        <f t="shared" si="225"/>
        <v>PX: Baja Crit.</v>
      </c>
      <c r="T2897">
        <f t="shared" si="226"/>
        <v>0</v>
      </c>
      <c r="U2897">
        <f t="shared" si="227"/>
        <v>0</v>
      </c>
      <c r="V2897">
        <f t="shared" si="228"/>
        <v>0</v>
      </c>
      <c r="W2897">
        <f t="shared" si="229"/>
        <v>1</v>
      </c>
      <c r="X2897">
        <v>1</v>
      </c>
      <c r="Y2897" s="2">
        <v>45768</v>
      </c>
      <c r="Z2897" s="3" t="s">
        <v>118</v>
      </c>
      <c r="AA2897" t="s">
        <v>39</v>
      </c>
      <c r="AB2897" t="s">
        <v>40</v>
      </c>
      <c r="AC2897" t="s">
        <v>40</v>
      </c>
      <c r="AD2897" t="s">
        <v>391</v>
      </c>
    </row>
    <row r="2898" spans="2:30">
      <c r="B2898">
        <v>0</v>
      </c>
      <c r="C2898">
        <v>1020</v>
      </c>
      <c r="D2898" t="s">
        <v>388</v>
      </c>
      <c r="E2898">
        <v>14328385</v>
      </c>
      <c r="F2898" t="s">
        <v>2982</v>
      </c>
      <c r="G2898" t="s">
        <v>31</v>
      </c>
      <c r="H2898" t="s">
        <v>44</v>
      </c>
      <c r="I2898" t="s">
        <v>390</v>
      </c>
      <c r="J2898" t="s">
        <v>45</v>
      </c>
      <c r="K2898" t="s">
        <v>35</v>
      </c>
      <c r="L2898" t="s">
        <v>175</v>
      </c>
      <c r="M2898" t="s">
        <v>117</v>
      </c>
      <c r="N2898">
        <v>0</v>
      </c>
      <c r="O2898">
        <v>0</v>
      </c>
      <c r="P2898">
        <v>2</v>
      </c>
      <c r="Q2898">
        <v>5</v>
      </c>
      <c r="R2898" s="4">
        <v>24883.8</v>
      </c>
      <c r="S2898" t="str">
        <f t="shared" si="225"/>
        <v>PX: Baja Crit.</v>
      </c>
      <c r="T2898">
        <f t="shared" si="226"/>
        <v>0</v>
      </c>
      <c r="U2898">
        <f t="shared" si="227"/>
        <v>0</v>
      </c>
      <c r="V2898">
        <f t="shared" si="228"/>
        <v>0</v>
      </c>
      <c r="W2898">
        <f t="shared" si="229"/>
        <v>1</v>
      </c>
      <c r="X2898">
        <v>1</v>
      </c>
      <c r="Y2898" s="2">
        <v>45768</v>
      </c>
      <c r="Z2898" s="3" t="s">
        <v>118</v>
      </c>
      <c r="AA2898" t="s">
        <v>39</v>
      </c>
      <c r="AB2898" t="s">
        <v>40</v>
      </c>
      <c r="AC2898" t="s">
        <v>40</v>
      </c>
      <c r="AD2898" t="s">
        <v>391</v>
      </c>
    </row>
    <row r="2899" spans="2:30">
      <c r="B2899">
        <v>0</v>
      </c>
      <c r="C2899">
        <v>1020</v>
      </c>
      <c r="D2899" t="s">
        <v>388</v>
      </c>
      <c r="E2899">
        <v>14328386</v>
      </c>
      <c r="F2899" t="s">
        <v>2983</v>
      </c>
      <c r="G2899" t="s">
        <v>31</v>
      </c>
      <c r="H2899" t="s">
        <v>32</v>
      </c>
      <c r="I2899" t="s">
        <v>390</v>
      </c>
      <c r="J2899" t="s">
        <v>45</v>
      </c>
      <c r="K2899" t="s">
        <v>35</v>
      </c>
      <c r="L2899" t="s">
        <v>175</v>
      </c>
      <c r="M2899" t="s">
        <v>117</v>
      </c>
      <c r="N2899">
        <v>0</v>
      </c>
      <c r="O2899">
        <v>0</v>
      </c>
      <c r="P2899">
        <v>2</v>
      </c>
      <c r="Q2899">
        <v>4</v>
      </c>
      <c r="R2899" s="4">
        <v>18784.63</v>
      </c>
      <c r="S2899" t="str">
        <f t="shared" si="225"/>
        <v>PX: Baja Crit.</v>
      </c>
      <c r="T2899">
        <f t="shared" si="226"/>
        <v>0</v>
      </c>
      <c r="U2899">
        <f t="shared" si="227"/>
        <v>0</v>
      </c>
      <c r="V2899">
        <f t="shared" si="228"/>
        <v>0</v>
      </c>
      <c r="W2899">
        <f t="shared" si="229"/>
        <v>1</v>
      </c>
      <c r="X2899">
        <v>1</v>
      </c>
      <c r="Y2899" s="2">
        <v>45768</v>
      </c>
      <c r="Z2899" s="3" t="s">
        <v>118</v>
      </c>
      <c r="AA2899" t="s">
        <v>39</v>
      </c>
      <c r="AB2899" t="s">
        <v>40</v>
      </c>
      <c r="AC2899" t="s">
        <v>40</v>
      </c>
      <c r="AD2899" t="s">
        <v>391</v>
      </c>
    </row>
    <row r="2900" spans="2:30">
      <c r="B2900">
        <v>0</v>
      </c>
      <c r="C2900">
        <v>1020</v>
      </c>
      <c r="D2900" t="s">
        <v>388</v>
      </c>
      <c r="E2900">
        <v>14330391</v>
      </c>
      <c r="F2900" t="s">
        <v>2984</v>
      </c>
      <c r="G2900" t="s">
        <v>31</v>
      </c>
      <c r="H2900" t="s">
        <v>44</v>
      </c>
      <c r="I2900" t="s">
        <v>390</v>
      </c>
      <c r="J2900" t="s">
        <v>45</v>
      </c>
      <c r="K2900" t="s">
        <v>35</v>
      </c>
      <c r="L2900" t="s">
        <v>175</v>
      </c>
      <c r="M2900" t="s">
        <v>69</v>
      </c>
      <c r="N2900">
        <v>0</v>
      </c>
      <c r="O2900">
        <v>0</v>
      </c>
      <c r="P2900">
        <v>1</v>
      </c>
      <c r="Q2900">
        <v>1</v>
      </c>
      <c r="R2900" s="4">
        <v>29665.63</v>
      </c>
      <c r="S2900" t="str">
        <f t="shared" si="225"/>
        <v>PX: Baja Crit.</v>
      </c>
      <c r="T2900">
        <f t="shared" si="226"/>
        <v>0</v>
      </c>
      <c r="U2900">
        <f t="shared" si="227"/>
        <v>1</v>
      </c>
      <c r="V2900">
        <f t="shared" si="228"/>
        <v>0</v>
      </c>
      <c r="W2900">
        <f t="shared" si="229"/>
        <v>1</v>
      </c>
      <c r="X2900">
        <v>1</v>
      </c>
      <c r="Y2900" s="2">
        <v>45768</v>
      </c>
      <c r="Z2900" s="3" t="s">
        <v>70</v>
      </c>
      <c r="AA2900" t="s">
        <v>39</v>
      </c>
      <c r="AB2900" t="s">
        <v>40</v>
      </c>
      <c r="AC2900" t="s">
        <v>40</v>
      </c>
      <c r="AD2900" t="s">
        <v>391</v>
      </c>
    </row>
    <row r="2901" spans="2:30">
      <c r="B2901">
        <v>0</v>
      </c>
      <c r="C2901">
        <v>1020</v>
      </c>
      <c r="D2901" t="s">
        <v>388</v>
      </c>
      <c r="E2901">
        <v>14330395</v>
      </c>
      <c r="F2901" t="s">
        <v>2985</v>
      </c>
      <c r="G2901" t="s">
        <v>31</v>
      </c>
      <c r="H2901" t="s">
        <v>44</v>
      </c>
      <c r="I2901" t="s">
        <v>390</v>
      </c>
      <c r="J2901" t="s">
        <v>45</v>
      </c>
      <c r="K2901" t="s">
        <v>252</v>
      </c>
      <c r="L2901" t="s">
        <v>175</v>
      </c>
      <c r="M2901" t="s">
        <v>69</v>
      </c>
      <c r="N2901">
        <v>0</v>
      </c>
      <c r="O2901">
        <v>0</v>
      </c>
      <c r="P2901">
        <v>20</v>
      </c>
      <c r="Q2901">
        <v>20</v>
      </c>
      <c r="R2901" s="4">
        <v>12195.21</v>
      </c>
      <c r="S2901" t="str">
        <f t="shared" si="225"/>
        <v>PX: Baja Crit.</v>
      </c>
      <c r="T2901">
        <f t="shared" si="226"/>
        <v>0</v>
      </c>
      <c r="U2901">
        <f t="shared" si="227"/>
        <v>1</v>
      </c>
      <c r="V2901">
        <f t="shared" si="228"/>
        <v>0</v>
      </c>
      <c r="W2901">
        <f t="shared" si="229"/>
        <v>1</v>
      </c>
      <c r="X2901">
        <v>1</v>
      </c>
      <c r="Y2901" s="2">
        <v>45768</v>
      </c>
      <c r="Z2901" s="3" t="s">
        <v>70</v>
      </c>
      <c r="AA2901" t="s">
        <v>39</v>
      </c>
      <c r="AB2901" t="s">
        <v>40</v>
      </c>
      <c r="AC2901" t="s">
        <v>40</v>
      </c>
      <c r="AD2901" t="s">
        <v>391</v>
      </c>
    </row>
    <row r="2902" spans="2:30">
      <c r="B2902">
        <v>0</v>
      </c>
      <c r="C2902">
        <v>1020</v>
      </c>
      <c r="D2902" t="s">
        <v>388</v>
      </c>
      <c r="E2902">
        <v>14330446</v>
      </c>
      <c r="F2902" t="s">
        <v>2986</v>
      </c>
      <c r="G2902" t="s">
        <v>31</v>
      </c>
      <c r="H2902" t="s">
        <v>44</v>
      </c>
      <c r="I2902" t="s">
        <v>390</v>
      </c>
      <c r="J2902" t="s">
        <v>45</v>
      </c>
      <c r="K2902" t="s">
        <v>35</v>
      </c>
      <c r="L2902" t="s">
        <v>175</v>
      </c>
      <c r="M2902" t="s">
        <v>69</v>
      </c>
      <c r="N2902">
        <v>0</v>
      </c>
      <c r="O2902">
        <v>0</v>
      </c>
      <c r="P2902">
        <v>1</v>
      </c>
      <c r="Q2902">
        <v>1</v>
      </c>
      <c r="R2902" s="4">
        <v>29665.56</v>
      </c>
      <c r="S2902" t="str">
        <f t="shared" si="225"/>
        <v>PX: Baja Crit.</v>
      </c>
      <c r="T2902">
        <f t="shared" si="226"/>
        <v>0</v>
      </c>
      <c r="U2902">
        <f t="shared" si="227"/>
        <v>1</v>
      </c>
      <c r="V2902">
        <f t="shared" si="228"/>
        <v>0</v>
      </c>
      <c r="W2902">
        <f t="shared" si="229"/>
        <v>1</v>
      </c>
      <c r="X2902">
        <v>1</v>
      </c>
      <c r="Y2902" s="2">
        <v>45768</v>
      </c>
      <c r="Z2902" s="3" t="s">
        <v>70</v>
      </c>
      <c r="AA2902" t="s">
        <v>39</v>
      </c>
      <c r="AB2902" t="s">
        <v>40</v>
      </c>
      <c r="AC2902" t="s">
        <v>40</v>
      </c>
      <c r="AD2902" t="s">
        <v>391</v>
      </c>
    </row>
    <row r="2903" spans="2:30">
      <c r="B2903">
        <v>0</v>
      </c>
      <c r="C2903">
        <v>1020</v>
      </c>
      <c r="D2903" t="s">
        <v>181</v>
      </c>
      <c r="E2903">
        <v>14331224</v>
      </c>
      <c r="F2903" t="s">
        <v>2987</v>
      </c>
      <c r="G2903" t="s">
        <v>43</v>
      </c>
      <c r="H2903" t="s">
        <v>44</v>
      </c>
      <c r="I2903" t="s">
        <v>183</v>
      </c>
      <c r="J2903" t="s">
        <v>45</v>
      </c>
      <c r="K2903" t="s">
        <v>35</v>
      </c>
      <c r="L2903" t="s">
        <v>36</v>
      </c>
      <c r="M2903" t="s">
        <v>46</v>
      </c>
      <c r="N2903">
        <v>1</v>
      </c>
      <c r="O2903">
        <v>1</v>
      </c>
      <c r="P2903">
        <v>0</v>
      </c>
      <c r="Q2903">
        <v>1</v>
      </c>
      <c r="R2903">
        <v>137.75</v>
      </c>
      <c r="S2903" t="str">
        <f t="shared" si="225"/>
        <v>PY: Media Crit.</v>
      </c>
      <c r="T2903">
        <f t="shared" si="226"/>
        <v>0</v>
      </c>
      <c r="U2903">
        <f t="shared" si="227"/>
        <v>0</v>
      </c>
      <c r="V2903">
        <f t="shared" si="228"/>
        <v>1</v>
      </c>
      <c r="W2903">
        <f t="shared" si="229"/>
        <v>0</v>
      </c>
      <c r="X2903">
        <v>1</v>
      </c>
      <c r="Y2903" s="2">
        <v>45768</v>
      </c>
      <c r="Z2903" s="3" t="s">
        <v>47</v>
      </c>
      <c r="AA2903" t="s">
        <v>39</v>
      </c>
      <c r="AB2903" t="s">
        <v>40</v>
      </c>
      <c r="AC2903" t="s">
        <v>40</v>
      </c>
      <c r="AD2903" t="s">
        <v>184</v>
      </c>
    </row>
    <row r="2904" spans="2:30">
      <c r="B2904">
        <v>0</v>
      </c>
      <c r="C2904">
        <v>1020</v>
      </c>
      <c r="D2904" t="s">
        <v>181</v>
      </c>
      <c r="E2904">
        <v>14331249</v>
      </c>
      <c r="F2904" t="s">
        <v>2988</v>
      </c>
      <c r="G2904" t="s">
        <v>43</v>
      </c>
      <c r="H2904" t="s">
        <v>44</v>
      </c>
      <c r="I2904" t="s">
        <v>183</v>
      </c>
      <c r="J2904" t="s">
        <v>45</v>
      </c>
      <c r="K2904" t="s">
        <v>35</v>
      </c>
      <c r="L2904" t="s">
        <v>36</v>
      </c>
      <c r="M2904" t="s">
        <v>55</v>
      </c>
      <c r="N2904">
        <v>1</v>
      </c>
      <c r="O2904">
        <v>1</v>
      </c>
      <c r="P2904">
        <v>0</v>
      </c>
      <c r="Q2904">
        <v>1</v>
      </c>
      <c r="R2904">
        <v>294.06</v>
      </c>
      <c r="S2904" t="str">
        <f t="shared" si="225"/>
        <v>PY: Media Crit.</v>
      </c>
      <c r="T2904">
        <f t="shared" si="226"/>
        <v>0</v>
      </c>
      <c r="U2904">
        <f t="shared" si="227"/>
        <v>0</v>
      </c>
      <c r="V2904">
        <f t="shared" si="228"/>
        <v>1</v>
      </c>
      <c r="W2904">
        <f t="shared" si="229"/>
        <v>0</v>
      </c>
      <c r="X2904">
        <v>1</v>
      </c>
      <c r="Y2904" s="2">
        <v>45768</v>
      </c>
      <c r="Z2904" s="3" t="s">
        <v>56</v>
      </c>
      <c r="AA2904" t="s">
        <v>39</v>
      </c>
      <c r="AB2904" t="s">
        <v>40</v>
      </c>
      <c r="AC2904" t="s">
        <v>40</v>
      </c>
      <c r="AD2904" t="s">
        <v>184</v>
      </c>
    </row>
    <row r="2905" spans="2:30">
      <c r="B2905">
        <v>0</v>
      </c>
      <c r="C2905">
        <v>1020</v>
      </c>
      <c r="D2905" t="s">
        <v>181</v>
      </c>
      <c r="E2905">
        <v>14331258</v>
      </c>
      <c r="F2905" t="s">
        <v>2989</v>
      </c>
      <c r="G2905" t="s">
        <v>43</v>
      </c>
      <c r="H2905" t="s">
        <v>44</v>
      </c>
      <c r="I2905" t="s">
        <v>183</v>
      </c>
      <c r="J2905" t="s">
        <v>45</v>
      </c>
      <c r="K2905" t="s">
        <v>35</v>
      </c>
      <c r="L2905" t="s">
        <v>36</v>
      </c>
      <c r="M2905" t="s">
        <v>55</v>
      </c>
      <c r="N2905">
        <v>1</v>
      </c>
      <c r="O2905">
        <v>1</v>
      </c>
      <c r="P2905">
        <v>0</v>
      </c>
      <c r="Q2905">
        <v>0</v>
      </c>
      <c r="R2905">
        <v>0</v>
      </c>
      <c r="S2905" t="str">
        <f t="shared" si="225"/>
        <v>PY: Media Crit.</v>
      </c>
      <c r="T2905">
        <f t="shared" si="226"/>
        <v>1</v>
      </c>
      <c r="U2905">
        <f t="shared" si="227"/>
        <v>0</v>
      </c>
      <c r="V2905">
        <f t="shared" si="228"/>
        <v>0</v>
      </c>
      <c r="W2905">
        <f t="shared" si="229"/>
        <v>0</v>
      </c>
      <c r="X2905">
        <v>1</v>
      </c>
      <c r="Y2905" s="2">
        <v>45768</v>
      </c>
      <c r="Z2905" s="3" t="s">
        <v>56</v>
      </c>
      <c r="AA2905" t="s">
        <v>39</v>
      </c>
      <c r="AB2905" t="s">
        <v>76</v>
      </c>
      <c r="AC2905" s="5" t="s">
        <v>77</v>
      </c>
      <c r="AD2905" t="s">
        <v>184</v>
      </c>
    </row>
    <row r="2906" spans="2:30">
      <c r="B2906">
        <v>0</v>
      </c>
      <c r="C2906">
        <v>1020</v>
      </c>
      <c r="D2906" t="s">
        <v>388</v>
      </c>
      <c r="E2906">
        <v>14331946</v>
      </c>
      <c r="F2906" t="s">
        <v>2990</v>
      </c>
      <c r="G2906" t="s">
        <v>43</v>
      </c>
      <c r="H2906" t="s">
        <v>44</v>
      </c>
      <c r="I2906" t="s">
        <v>390</v>
      </c>
      <c r="J2906" t="s">
        <v>45</v>
      </c>
      <c r="K2906" t="s">
        <v>35</v>
      </c>
      <c r="L2906" t="s">
        <v>175</v>
      </c>
      <c r="M2906" t="s">
        <v>69</v>
      </c>
      <c r="N2906">
        <v>0</v>
      </c>
      <c r="O2906">
        <v>0</v>
      </c>
      <c r="P2906">
        <v>1</v>
      </c>
      <c r="Q2906">
        <v>0</v>
      </c>
      <c r="R2906">
        <v>0</v>
      </c>
      <c r="S2906" t="str">
        <f t="shared" si="225"/>
        <v>PY: Media Crit.</v>
      </c>
      <c r="T2906">
        <f t="shared" si="226"/>
        <v>1</v>
      </c>
      <c r="U2906">
        <f t="shared" si="227"/>
        <v>0</v>
      </c>
      <c r="V2906">
        <f t="shared" si="228"/>
        <v>0</v>
      </c>
      <c r="W2906">
        <f t="shared" si="229"/>
        <v>0</v>
      </c>
      <c r="X2906">
        <v>1</v>
      </c>
      <c r="Y2906" s="2">
        <v>45768</v>
      </c>
      <c r="Z2906" s="3" t="s">
        <v>70</v>
      </c>
      <c r="AA2906" t="s">
        <v>39</v>
      </c>
      <c r="AB2906" t="s">
        <v>49</v>
      </c>
      <c r="AC2906" s="5" t="s">
        <v>50</v>
      </c>
      <c r="AD2906" t="s">
        <v>391</v>
      </c>
    </row>
    <row r="2907" spans="2:30">
      <c r="B2907">
        <v>0</v>
      </c>
      <c r="C2907">
        <v>1020</v>
      </c>
      <c r="D2907" t="s">
        <v>388</v>
      </c>
      <c r="E2907">
        <v>14332522</v>
      </c>
      <c r="F2907" t="s">
        <v>2991</v>
      </c>
      <c r="G2907" t="s">
        <v>43</v>
      </c>
      <c r="H2907" t="s">
        <v>44</v>
      </c>
      <c r="I2907" t="s">
        <v>390</v>
      </c>
      <c r="J2907" t="s">
        <v>45</v>
      </c>
      <c r="K2907" t="s">
        <v>35</v>
      </c>
      <c r="L2907" t="s">
        <v>175</v>
      </c>
      <c r="M2907" t="s">
        <v>46</v>
      </c>
      <c r="N2907">
        <v>0</v>
      </c>
      <c r="O2907">
        <v>0</v>
      </c>
      <c r="P2907">
        <v>10</v>
      </c>
      <c r="Q2907">
        <v>10</v>
      </c>
      <c r="R2907" s="4">
        <v>3276.85</v>
      </c>
      <c r="S2907" t="str">
        <f t="shared" si="225"/>
        <v>PY: Media Crit.</v>
      </c>
      <c r="T2907">
        <f t="shared" si="226"/>
        <v>0</v>
      </c>
      <c r="U2907">
        <f t="shared" si="227"/>
        <v>1</v>
      </c>
      <c r="V2907">
        <f t="shared" si="228"/>
        <v>0</v>
      </c>
      <c r="W2907">
        <f t="shared" si="229"/>
        <v>1</v>
      </c>
      <c r="X2907">
        <v>1</v>
      </c>
      <c r="Y2907" s="2">
        <v>45768</v>
      </c>
      <c r="Z2907" s="3" t="s">
        <v>47</v>
      </c>
      <c r="AA2907" t="s">
        <v>39</v>
      </c>
      <c r="AB2907" t="s">
        <v>40</v>
      </c>
      <c r="AC2907" t="s">
        <v>40</v>
      </c>
      <c r="AD2907" t="s">
        <v>391</v>
      </c>
    </row>
    <row r="2908" spans="2:30">
      <c r="B2908">
        <v>0</v>
      </c>
      <c r="C2908">
        <v>1020</v>
      </c>
      <c r="D2908" t="s">
        <v>388</v>
      </c>
      <c r="E2908">
        <v>14332937</v>
      </c>
      <c r="F2908" t="s">
        <v>2992</v>
      </c>
      <c r="G2908" t="s">
        <v>31</v>
      </c>
      <c r="H2908" t="s">
        <v>32</v>
      </c>
      <c r="I2908" t="s">
        <v>390</v>
      </c>
      <c r="J2908" t="s">
        <v>45</v>
      </c>
      <c r="K2908" t="s">
        <v>35</v>
      </c>
      <c r="L2908" t="s">
        <v>175</v>
      </c>
      <c r="M2908" t="s">
        <v>69</v>
      </c>
      <c r="N2908">
        <v>0</v>
      </c>
      <c r="O2908">
        <v>0</v>
      </c>
      <c r="P2908">
        <v>1</v>
      </c>
      <c r="Q2908">
        <v>1</v>
      </c>
      <c r="R2908" s="4">
        <v>12462.85</v>
      </c>
      <c r="S2908" t="str">
        <f t="shared" si="225"/>
        <v>PX: Baja Crit.</v>
      </c>
      <c r="T2908">
        <f t="shared" si="226"/>
        <v>0</v>
      </c>
      <c r="U2908">
        <f t="shared" si="227"/>
        <v>1</v>
      </c>
      <c r="V2908">
        <f t="shared" si="228"/>
        <v>0</v>
      </c>
      <c r="W2908">
        <f t="shared" si="229"/>
        <v>1</v>
      </c>
      <c r="X2908">
        <v>1</v>
      </c>
      <c r="Y2908" s="2">
        <v>45768</v>
      </c>
      <c r="Z2908" s="3" t="s">
        <v>70</v>
      </c>
      <c r="AA2908" t="s">
        <v>39</v>
      </c>
      <c r="AB2908" t="s">
        <v>40</v>
      </c>
      <c r="AC2908" t="s">
        <v>40</v>
      </c>
      <c r="AD2908" t="s">
        <v>391</v>
      </c>
    </row>
    <row r="2909" spans="2:30">
      <c r="B2909">
        <v>0</v>
      </c>
      <c r="C2909">
        <v>1020</v>
      </c>
      <c r="D2909" t="s">
        <v>388</v>
      </c>
      <c r="E2909">
        <v>14332938</v>
      </c>
      <c r="F2909" t="s">
        <v>2993</v>
      </c>
      <c r="G2909" t="s">
        <v>43</v>
      </c>
      <c r="H2909" t="s">
        <v>32</v>
      </c>
      <c r="I2909" t="s">
        <v>390</v>
      </c>
      <c r="J2909" t="s">
        <v>45</v>
      </c>
      <c r="K2909" t="s">
        <v>35</v>
      </c>
      <c r="L2909" t="s">
        <v>175</v>
      </c>
      <c r="M2909" t="s">
        <v>69</v>
      </c>
      <c r="N2909">
        <v>0</v>
      </c>
      <c r="O2909">
        <v>0</v>
      </c>
      <c r="P2909">
        <v>1</v>
      </c>
      <c r="Q2909">
        <v>1</v>
      </c>
      <c r="R2909" s="4">
        <v>16771.73</v>
      </c>
      <c r="S2909" t="str">
        <f t="shared" si="225"/>
        <v>PY: Media Crit.</v>
      </c>
      <c r="T2909">
        <f t="shared" si="226"/>
        <v>0</v>
      </c>
      <c r="U2909">
        <f t="shared" si="227"/>
        <v>1</v>
      </c>
      <c r="V2909">
        <f t="shared" si="228"/>
        <v>0</v>
      </c>
      <c r="W2909">
        <f t="shared" si="229"/>
        <v>1</v>
      </c>
      <c r="X2909">
        <v>1</v>
      </c>
      <c r="Y2909" s="2">
        <v>45768</v>
      </c>
      <c r="Z2909" s="3" t="s">
        <v>70</v>
      </c>
      <c r="AA2909" t="s">
        <v>39</v>
      </c>
      <c r="AB2909" t="s">
        <v>40</v>
      </c>
      <c r="AC2909" t="s">
        <v>40</v>
      </c>
      <c r="AD2909" t="s">
        <v>391</v>
      </c>
    </row>
    <row r="2910" spans="2:30">
      <c r="B2910">
        <v>0</v>
      </c>
      <c r="C2910">
        <v>1020</v>
      </c>
      <c r="D2910" t="s">
        <v>388</v>
      </c>
      <c r="E2910">
        <v>14332939</v>
      </c>
      <c r="F2910" t="s">
        <v>2994</v>
      </c>
      <c r="G2910" t="s">
        <v>31</v>
      </c>
      <c r="H2910" t="s">
        <v>60</v>
      </c>
      <c r="I2910" t="s">
        <v>390</v>
      </c>
      <c r="J2910" t="s">
        <v>45</v>
      </c>
      <c r="K2910" t="s">
        <v>35</v>
      </c>
      <c r="L2910" t="s">
        <v>175</v>
      </c>
      <c r="M2910" t="s">
        <v>69</v>
      </c>
      <c r="N2910">
        <v>0</v>
      </c>
      <c r="O2910">
        <v>0</v>
      </c>
      <c r="P2910">
        <v>1</v>
      </c>
      <c r="Q2910">
        <v>1</v>
      </c>
      <c r="R2910" s="4">
        <v>25609.279999999999</v>
      </c>
      <c r="S2910" t="str">
        <f t="shared" si="225"/>
        <v>PX: Baja Crit.</v>
      </c>
      <c r="T2910">
        <f t="shared" si="226"/>
        <v>0</v>
      </c>
      <c r="U2910">
        <f t="shared" si="227"/>
        <v>1</v>
      </c>
      <c r="V2910">
        <f t="shared" si="228"/>
        <v>0</v>
      </c>
      <c r="W2910">
        <f t="shared" si="229"/>
        <v>1</v>
      </c>
      <c r="X2910">
        <v>1</v>
      </c>
      <c r="Y2910" s="2">
        <v>45768</v>
      </c>
      <c r="Z2910" s="3" t="s">
        <v>70</v>
      </c>
      <c r="AA2910" t="s">
        <v>39</v>
      </c>
      <c r="AB2910" t="s">
        <v>40</v>
      </c>
      <c r="AC2910" t="s">
        <v>40</v>
      </c>
      <c r="AD2910" t="s">
        <v>391</v>
      </c>
    </row>
    <row r="2911" spans="2:30">
      <c r="B2911">
        <v>0</v>
      </c>
      <c r="C2911">
        <v>1020</v>
      </c>
      <c r="D2911" t="s">
        <v>388</v>
      </c>
      <c r="E2911">
        <v>14332940</v>
      </c>
      <c r="F2911" t="s">
        <v>2995</v>
      </c>
      <c r="G2911" t="s">
        <v>31</v>
      </c>
      <c r="H2911" t="s">
        <v>44</v>
      </c>
      <c r="I2911" t="s">
        <v>390</v>
      </c>
      <c r="J2911" t="s">
        <v>45</v>
      </c>
      <c r="K2911" t="s">
        <v>35</v>
      </c>
      <c r="L2911" t="s">
        <v>175</v>
      </c>
      <c r="M2911" t="s">
        <v>69</v>
      </c>
      <c r="N2911">
        <v>0</v>
      </c>
      <c r="O2911">
        <v>0</v>
      </c>
      <c r="P2911">
        <v>1</v>
      </c>
      <c r="Q2911">
        <v>1</v>
      </c>
      <c r="R2911" s="4">
        <v>38316.18</v>
      </c>
      <c r="S2911" t="str">
        <f t="shared" si="225"/>
        <v>PX: Baja Crit.</v>
      </c>
      <c r="T2911">
        <f t="shared" si="226"/>
        <v>0</v>
      </c>
      <c r="U2911">
        <f t="shared" si="227"/>
        <v>1</v>
      </c>
      <c r="V2911">
        <f t="shared" si="228"/>
        <v>0</v>
      </c>
      <c r="W2911">
        <f t="shared" si="229"/>
        <v>1</v>
      </c>
      <c r="X2911">
        <v>1</v>
      </c>
      <c r="Y2911" s="2">
        <v>45768</v>
      </c>
      <c r="Z2911" s="3" t="s">
        <v>70</v>
      </c>
      <c r="AA2911" t="s">
        <v>39</v>
      </c>
      <c r="AB2911" t="s">
        <v>40</v>
      </c>
      <c r="AC2911" t="s">
        <v>40</v>
      </c>
      <c r="AD2911" t="s">
        <v>391</v>
      </c>
    </row>
    <row r="2912" spans="2:30">
      <c r="B2912">
        <v>0</v>
      </c>
      <c r="C2912">
        <v>1020</v>
      </c>
      <c r="D2912" t="s">
        <v>388</v>
      </c>
      <c r="E2912">
        <v>14332941</v>
      </c>
      <c r="F2912" t="s">
        <v>2000</v>
      </c>
      <c r="G2912" t="s">
        <v>1533</v>
      </c>
      <c r="H2912" t="s">
        <v>44</v>
      </c>
      <c r="I2912" t="s">
        <v>390</v>
      </c>
      <c r="J2912" t="s">
        <v>45</v>
      </c>
      <c r="K2912" t="s">
        <v>35</v>
      </c>
      <c r="L2912" t="s">
        <v>175</v>
      </c>
      <c r="M2912" t="s">
        <v>69</v>
      </c>
      <c r="N2912">
        <v>0</v>
      </c>
      <c r="O2912">
        <v>0</v>
      </c>
      <c r="P2912">
        <v>1</v>
      </c>
      <c r="Q2912">
        <v>1</v>
      </c>
      <c r="R2912" s="4">
        <v>15731.67</v>
      </c>
      <c r="S2912" t="str">
        <f t="shared" si="225"/>
        <v>PX: Baja Crit.</v>
      </c>
      <c r="T2912">
        <f t="shared" si="226"/>
        <v>0</v>
      </c>
      <c r="U2912">
        <f t="shared" si="227"/>
        <v>1</v>
      </c>
      <c r="V2912">
        <f t="shared" si="228"/>
        <v>0</v>
      </c>
      <c r="W2912">
        <f t="shared" si="229"/>
        <v>1</v>
      </c>
      <c r="X2912">
        <v>1</v>
      </c>
      <c r="Y2912" s="2">
        <v>45768</v>
      </c>
      <c r="Z2912" s="3" t="s">
        <v>70</v>
      </c>
      <c r="AA2912" t="s">
        <v>39</v>
      </c>
      <c r="AB2912" t="s">
        <v>40</v>
      </c>
      <c r="AC2912" t="s">
        <v>40</v>
      </c>
      <c r="AD2912" t="s">
        <v>391</v>
      </c>
    </row>
    <row r="2913" spans="2:30">
      <c r="B2913">
        <v>0</v>
      </c>
      <c r="C2913">
        <v>1020</v>
      </c>
      <c r="D2913" t="s">
        <v>388</v>
      </c>
      <c r="E2913">
        <v>14334462</v>
      </c>
      <c r="F2913" t="s">
        <v>2996</v>
      </c>
      <c r="G2913" t="s">
        <v>43</v>
      </c>
      <c r="H2913" t="s">
        <v>60</v>
      </c>
      <c r="I2913" t="s">
        <v>390</v>
      </c>
      <c r="J2913" t="s">
        <v>45</v>
      </c>
      <c r="K2913" t="s">
        <v>35</v>
      </c>
      <c r="L2913" t="s">
        <v>175</v>
      </c>
      <c r="M2913" t="s">
        <v>46</v>
      </c>
      <c r="N2913">
        <v>0</v>
      </c>
      <c r="O2913">
        <v>0</v>
      </c>
      <c r="P2913">
        <v>1</v>
      </c>
      <c r="Q2913">
        <v>0</v>
      </c>
      <c r="R2913">
        <v>0</v>
      </c>
      <c r="S2913" t="str">
        <f t="shared" si="225"/>
        <v>PY: Media Crit.</v>
      </c>
      <c r="T2913">
        <f t="shared" si="226"/>
        <v>1</v>
      </c>
      <c r="U2913">
        <f t="shared" si="227"/>
        <v>0</v>
      </c>
      <c r="V2913">
        <f t="shared" si="228"/>
        <v>0</v>
      </c>
      <c r="W2913">
        <f t="shared" si="229"/>
        <v>0</v>
      </c>
      <c r="X2913">
        <v>1</v>
      </c>
      <c r="Y2913" s="2">
        <v>45768</v>
      </c>
      <c r="Z2913" s="3" t="s">
        <v>47</v>
      </c>
      <c r="AA2913" t="s">
        <v>39</v>
      </c>
      <c r="AB2913" t="s">
        <v>49</v>
      </c>
      <c r="AC2913" s="5" t="s">
        <v>50</v>
      </c>
      <c r="AD2913" t="s">
        <v>391</v>
      </c>
    </row>
    <row r="2914" spans="2:30">
      <c r="B2914">
        <v>0</v>
      </c>
      <c r="C2914">
        <v>1020</v>
      </c>
      <c r="D2914" t="s">
        <v>181</v>
      </c>
      <c r="E2914">
        <v>14334735</v>
      </c>
      <c r="F2914" t="s">
        <v>2997</v>
      </c>
      <c r="G2914" t="s">
        <v>43</v>
      </c>
      <c r="H2914" t="s">
        <v>60</v>
      </c>
      <c r="I2914" t="s">
        <v>183</v>
      </c>
      <c r="J2914" t="s">
        <v>45</v>
      </c>
      <c r="K2914" t="s">
        <v>35</v>
      </c>
      <c r="L2914" t="s">
        <v>36</v>
      </c>
      <c r="M2914" t="s">
        <v>117</v>
      </c>
      <c r="N2914">
        <v>10</v>
      </c>
      <c r="O2914">
        <v>6</v>
      </c>
      <c r="P2914">
        <v>0</v>
      </c>
      <c r="Q2914">
        <v>10</v>
      </c>
      <c r="R2914" s="4">
        <v>20835.86</v>
      </c>
      <c r="S2914" t="str">
        <f t="shared" si="225"/>
        <v>PY: Media Crit.</v>
      </c>
      <c r="T2914">
        <f t="shared" si="226"/>
        <v>0</v>
      </c>
      <c r="U2914">
        <f t="shared" si="227"/>
        <v>0</v>
      </c>
      <c r="V2914">
        <f t="shared" si="228"/>
        <v>1</v>
      </c>
      <c r="W2914">
        <f t="shared" si="229"/>
        <v>0</v>
      </c>
      <c r="X2914">
        <v>1</v>
      </c>
      <c r="Y2914" s="2">
        <v>45768</v>
      </c>
      <c r="Z2914" s="3" t="s">
        <v>118</v>
      </c>
      <c r="AA2914" t="s">
        <v>39</v>
      </c>
      <c r="AB2914" t="s">
        <v>40</v>
      </c>
      <c r="AC2914" t="s">
        <v>40</v>
      </c>
      <c r="AD2914" t="s">
        <v>184</v>
      </c>
    </row>
    <row r="2915" spans="2:30">
      <c r="B2915">
        <v>0</v>
      </c>
      <c r="C2915">
        <v>1020</v>
      </c>
      <c r="D2915" t="s">
        <v>181</v>
      </c>
      <c r="E2915">
        <v>14334739</v>
      </c>
      <c r="F2915" t="s">
        <v>2998</v>
      </c>
      <c r="G2915" t="s">
        <v>43</v>
      </c>
      <c r="H2915" t="s">
        <v>60</v>
      </c>
      <c r="I2915" t="s">
        <v>183</v>
      </c>
      <c r="J2915" t="s">
        <v>45</v>
      </c>
      <c r="K2915" t="s">
        <v>35</v>
      </c>
      <c r="L2915" t="s">
        <v>36</v>
      </c>
      <c r="M2915" t="s">
        <v>117</v>
      </c>
      <c r="N2915">
        <v>10</v>
      </c>
      <c r="O2915">
        <v>6</v>
      </c>
      <c r="P2915">
        <v>0</v>
      </c>
      <c r="Q2915">
        <v>10</v>
      </c>
      <c r="R2915" s="4">
        <v>15026.37</v>
      </c>
      <c r="S2915" t="str">
        <f t="shared" si="225"/>
        <v>PY: Media Crit.</v>
      </c>
      <c r="T2915">
        <f t="shared" si="226"/>
        <v>0</v>
      </c>
      <c r="U2915">
        <f t="shared" si="227"/>
        <v>0</v>
      </c>
      <c r="V2915">
        <f t="shared" si="228"/>
        <v>1</v>
      </c>
      <c r="W2915">
        <f t="shared" si="229"/>
        <v>0</v>
      </c>
      <c r="X2915">
        <v>1</v>
      </c>
      <c r="Y2915" s="2">
        <v>45768</v>
      </c>
      <c r="Z2915" s="3" t="s">
        <v>118</v>
      </c>
      <c r="AA2915" t="s">
        <v>39</v>
      </c>
      <c r="AB2915" t="s">
        <v>40</v>
      </c>
      <c r="AC2915" t="s">
        <v>40</v>
      </c>
      <c r="AD2915" t="s">
        <v>184</v>
      </c>
    </row>
    <row r="2916" spans="2:30">
      <c r="B2916">
        <v>0</v>
      </c>
      <c r="C2916">
        <v>1020</v>
      </c>
      <c r="D2916" t="s">
        <v>181</v>
      </c>
      <c r="E2916">
        <v>14334742</v>
      </c>
      <c r="F2916" t="s">
        <v>2999</v>
      </c>
      <c r="G2916" t="s">
        <v>43</v>
      </c>
      <c r="H2916" t="s">
        <v>60</v>
      </c>
      <c r="I2916" t="s">
        <v>183</v>
      </c>
      <c r="J2916" t="s">
        <v>45</v>
      </c>
      <c r="K2916" t="s">
        <v>35</v>
      </c>
      <c r="L2916" t="s">
        <v>36</v>
      </c>
      <c r="M2916" t="s">
        <v>117</v>
      </c>
      <c r="N2916">
        <v>32</v>
      </c>
      <c r="O2916">
        <v>16</v>
      </c>
      <c r="P2916">
        <v>0</v>
      </c>
      <c r="Q2916">
        <v>32</v>
      </c>
      <c r="R2916" s="4">
        <v>17827.669999999998</v>
      </c>
      <c r="S2916" t="str">
        <f t="shared" si="225"/>
        <v>PY: Media Crit.</v>
      </c>
      <c r="T2916">
        <f t="shared" si="226"/>
        <v>0</v>
      </c>
      <c r="U2916">
        <f t="shared" si="227"/>
        <v>0</v>
      </c>
      <c r="V2916">
        <f t="shared" si="228"/>
        <v>1</v>
      </c>
      <c r="W2916">
        <f t="shared" si="229"/>
        <v>0</v>
      </c>
      <c r="X2916">
        <v>1</v>
      </c>
      <c r="Y2916" s="2">
        <v>45768</v>
      </c>
      <c r="Z2916" s="3" t="s">
        <v>118</v>
      </c>
      <c r="AA2916" t="s">
        <v>39</v>
      </c>
      <c r="AB2916" t="s">
        <v>40</v>
      </c>
      <c r="AC2916" t="s">
        <v>40</v>
      </c>
      <c r="AD2916" t="s">
        <v>184</v>
      </c>
    </row>
    <row r="2917" spans="2:30">
      <c r="B2917">
        <v>0</v>
      </c>
      <c r="C2917">
        <v>1020</v>
      </c>
      <c r="D2917" t="s">
        <v>181</v>
      </c>
      <c r="E2917">
        <v>14334745</v>
      </c>
      <c r="F2917" t="s">
        <v>3000</v>
      </c>
      <c r="G2917" t="s">
        <v>43</v>
      </c>
      <c r="H2917" t="s">
        <v>44</v>
      </c>
      <c r="I2917" t="s">
        <v>183</v>
      </c>
      <c r="J2917" t="s">
        <v>45</v>
      </c>
      <c r="K2917" t="s">
        <v>35</v>
      </c>
      <c r="L2917" t="s">
        <v>36</v>
      </c>
      <c r="M2917" t="s">
        <v>117</v>
      </c>
      <c r="N2917">
        <v>32</v>
      </c>
      <c r="O2917">
        <v>16</v>
      </c>
      <c r="P2917">
        <v>0</v>
      </c>
      <c r="Q2917">
        <v>32</v>
      </c>
      <c r="R2917" s="4">
        <v>17895.689999999999</v>
      </c>
      <c r="S2917" t="str">
        <f t="shared" si="225"/>
        <v>PY: Media Crit.</v>
      </c>
      <c r="T2917">
        <f t="shared" si="226"/>
        <v>0</v>
      </c>
      <c r="U2917">
        <f t="shared" si="227"/>
        <v>0</v>
      </c>
      <c r="V2917">
        <f t="shared" si="228"/>
        <v>1</v>
      </c>
      <c r="W2917">
        <f t="shared" si="229"/>
        <v>0</v>
      </c>
      <c r="X2917">
        <v>1</v>
      </c>
      <c r="Y2917" s="2">
        <v>45768</v>
      </c>
      <c r="Z2917" s="3" t="s">
        <v>118</v>
      </c>
      <c r="AA2917" t="s">
        <v>39</v>
      </c>
      <c r="AB2917" t="s">
        <v>40</v>
      </c>
      <c r="AC2917" t="s">
        <v>40</v>
      </c>
      <c r="AD2917" t="s">
        <v>184</v>
      </c>
    </row>
    <row r="2918" spans="2:30">
      <c r="B2918">
        <v>0</v>
      </c>
      <c r="C2918">
        <v>1020</v>
      </c>
      <c r="D2918" t="s">
        <v>181</v>
      </c>
      <c r="E2918">
        <v>14334748</v>
      </c>
      <c r="F2918" t="s">
        <v>3001</v>
      </c>
      <c r="G2918" t="s">
        <v>43</v>
      </c>
      <c r="H2918" t="s">
        <v>60</v>
      </c>
      <c r="I2918" t="s">
        <v>183</v>
      </c>
      <c r="J2918" t="s">
        <v>45</v>
      </c>
      <c r="K2918" t="s">
        <v>35</v>
      </c>
      <c r="L2918" t="s">
        <v>36</v>
      </c>
      <c r="M2918" t="s">
        <v>117</v>
      </c>
      <c r="N2918">
        <v>20</v>
      </c>
      <c r="O2918">
        <v>10</v>
      </c>
      <c r="P2918">
        <v>0</v>
      </c>
      <c r="Q2918">
        <v>0</v>
      </c>
      <c r="R2918">
        <v>0</v>
      </c>
      <c r="S2918" t="str">
        <f t="shared" si="225"/>
        <v>PY: Media Crit.</v>
      </c>
      <c r="T2918">
        <f t="shared" si="226"/>
        <v>1</v>
      </c>
      <c r="U2918">
        <f t="shared" si="227"/>
        <v>0</v>
      </c>
      <c r="V2918">
        <f t="shared" si="228"/>
        <v>0</v>
      </c>
      <c r="W2918">
        <f t="shared" si="229"/>
        <v>0</v>
      </c>
      <c r="X2918">
        <v>1</v>
      </c>
      <c r="Y2918" s="2">
        <v>45768</v>
      </c>
      <c r="Z2918" s="3" t="s">
        <v>118</v>
      </c>
      <c r="AA2918" t="s">
        <v>39</v>
      </c>
      <c r="AB2918" t="s">
        <v>49</v>
      </c>
      <c r="AC2918" s="5" t="s">
        <v>50</v>
      </c>
      <c r="AD2918" t="s">
        <v>184</v>
      </c>
    </row>
    <row r="2919" spans="2:30">
      <c r="B2919">
        <v>0</v>
      </c>
      <c r="C2919">
        <v>1020</v>
      </c>
      <c r="D2919" t="s">
        <v>181</v>
      </c>
      <c r="E2919">
        <v>14334749</v>
      </c>
      <c r="F2919" t="s">
        <v>3002</v>
      </c>
      <c r="G2919" t="s">
        <v>43</v>
      </c>
      <c r="H2919" t="s">
        <v>60</v>
      </c>
      <c r="I2919" t="s">
        <v>183</v>
      </c>
      <c r="J2919" t="s">
        <v>45</v>
      </c>
      <c r="K2919" t="s">
        <v>35</v>
      </c>
      <c r="L2919" t="s">
        <v>36</v>
      </c>
      <c r="M2919" t="s">
        <v>117</v>
      </c>
      <c r="N2919">
        <v>20</v>
      </c>
      <c r="O2919">
        <v>10</v>
      </c>
      <c r="P2919">
        <v>0</v>
      </c>
      <c r="Q2919">
        <v>12</v>
      </c>
      <c r="R2919" s="4">
        <v>5797.29</v>
      </c>
      <c r="S2919" t="str">
        <f t="shared" si="225"/>
        <v>PY: Media Crit.</v>
      </c>
      <c r="T2919">
        <f t="shared" si="226"/>
        <v>0</v>
      </c>
      <c r="U2919">
        <f t="shared" si="227"/>
        <v>0</v>
      </c>
      <c r="V2919">
        <f t="shared" si="228"/>
        <v>1</v>
      </c>
      <c r="W2919">
        <f t="shared" si="229"/>
        <v>0</v>
      </c>
      <c r="X2919">
        <v>1</v>
      </c>
      <c r="Y2919" s="2">
        <v>45768</v>
      </c>
      <c r="Z2919" s="3" t="s">
        <v>118</v>
      </c>
      <c r="AA2919" t="s">
        <v>39</v>
      </c>
      <c r="AB2919" t="s">
        <v>40</v>
      </c>
      <c r="AC2919" t="s">
        <v>40</v>
      </c>
      <c r="AD2919" t="s">
        <v>184</v>
      </c>
    </row>
    <row r="2920" spans="2:30">
      <c r="B2920">
        <v>0</v>
      </c>
      <c r="C2920">
        <v>1020</v>
      </c>
      <c r="D2920" t="s">
        <v>181</v>
      </c>
      <c r="E2920">
        <v>14335050</v>
      </c>
      <c r="F2920" t="s">
        <v>3003</v>
      </c>
      <c r="G2920" t="s">
        <v>43</v>
      </c>
      <c r="H2920" t="s">
        <v>60</v>
      </c>
      <c r="I2920" t="s">
        <v>183</v>
      </c>
      <c r="J2920" t="s">
        <v>45</v>
      </c>
      <c r="K2920" t="s">
        <v>35</v>
      </c>
      <c r="L2920" t="s">
        <v>36</v>
      </c>
      <c r="M2920" t="s">
        <v>117</v>
      </c>
      <c r="N2920">
        <v>24</v>
      </c>
      <c r="O2920">
        <v>12</v>
      </c>
      <c r="P2920">
        <v>0</v>
      </c>
      <c r="Q2920">
        <v>24</v>
      </c>
      <c r="R2920" s="4">
        <v>9614.77</v>
      </c>
      <c r="S2920" t="str">
        <f t="shared" si="225"/>
        <v>PY: Media Crit.</v>
      </c>
      <c r="T2920">
        <f t="shared" si="226"/>
        <v>0</v>
      </c>
      <c r="U2920">
        <f t="shared" si="227"/>
        <v>0</v>
      </c>
      <c r="V2920">
        <f t="shared" si="228"/>
        <v>1</v>
      </c>
      <c r="W2920">
        <f t="shared" si="229"/>
        <v>0</v>
      </c>
      <c r="X2920">
        <v>1</v>
      </c>
      <c r="Y2920" s="2">
        <v>45768</v>
      </c>
      <c r="Z2920" s="3" t="s">
        <v>118</v>
      </c>
      <c r="AA2920" t="s">
        <v>39</v>
      </c>
      <c r="AB2920" t="s">
        <v>40</v>
      </c>
      <c r="AC2920" t="s">
        <v>40</v>
      </c>
      <c r="AD2920" t="s">
        <v>184</v>
      </c>
    </row>
    <row r="2921" spans="2:30">
      <c r="B2921">
        <v>0</v>
      </c>
      <c r="C2921">
        <v>1020</v>
      </c>
      <c r="D2921" t="s">
        <v>181</v>
      </c>
      <c r="E2921">
        <v>14335052</v>
      </c>
      <c r="F2921" t="s">
        <v>3004</v>
      </c>
      <c r="G2921" t="s">
        <v>43</v>
      </c>
      <c r="H2921" t="s">
        <v>60</v>
      </c>
      <c r="I2921" t="s">
        <v>183</v>
      </c>
      <c r="J2921" t="s">
        <v>45</v>
      </c>
      <c r="K2921" t="s">
        <v>35</v>
      </c>
      <c r="L2921" t="s">
        <v>36</v>
      </c>
      <c r="M2921" t="s">
        <v>117</v>
      </c>
      <c r="N2921">
        <v>32</v>
      </c>
      <c r="O2921">
        <v>16</v>
      </c>
      <c r="P2921">
        <v>0</v>
      </c>
      <c r="Q2921">
        <v>32</v>
      </c>
      <c r="R2921" s="4">
        <v>12037.5</v>
      </c>
      <c r="S2921" t="str">
        <f t="shared" si="225"/>
        <v>PY: Media Crit.</v>
      </c>
      <c r="T2921">
        <f t="shared" si="226"/>
        <v>0</v>
      </c>
      <c r="U2921">
        <f t="shared" si="227"/>
        <v>0</v>
      </c>
      <c r="V2921">
        <f t="shared" si="228"/>
        <v>1</v>
      </c>
      <c r="W2921">
        <f t="shared" si="229"/>
        <v>0</v>
      </c>
      <c r="X2921">
        <v>1</v>
      </c>
      <c r="Y2921" s="2">
        <v>45768</v>
      </c>
      <c r="Z2921" s="3" t="s">
        <v>118</v>
      </c>
      <c r="AA2921" t="s">
        <v>39</v>
      </c>
      <c r="AB2921" t="s">
        <v>40</v>
      </c>
      <c r="AC2921" t="s">
        <v>40</v>
      </c>
      <c r="AD2921" t="s">
        <v>184</v>
      </c>
    </row>
    <row r="2922" spans="2:30">
      <c r="B2922">
        <v>0</v>
      </c>
      <c r="C2922">
        <v>1020</v>
      </c>
      <c r="D2922" t="s">
        <v>181</v>
      </c>
      <c r="E2922">
        <v>14335057</v>
      </c>
      <c r="F2922" t="s">
        <v>3005</v>
      </c>
      <c r="G2922" t="s">
        <v>43</v>
      </c>
      <c r="H2922" t="s">
        <v>60</v>
      </c>
      <c r="I2922" t="s">
        <v>183</v>
      </c>
      <c r="J2922" t="s">
        <v>45</v>
      </c>
      <c r="K2922" t="s">
        <v>62</v>
      </c>
      <c r="L2922" t="s">
        <v>36</v>
      </c>
      <c r="M2922" t="s">
        <v>117</v>
      </c>
      <c r="N2922">
        <v>8</v>
      </c>
      <c r="O2922">
        <v>4</v>
      </c>
      <c r="P2922">
        <v>0</v>
      </c>
      <c r="Q2922">
        <v>0</v>
      </c>
      <c r="R2922">
        <v>0</v>
      </c>
      <c r="S2922" t="str">
        <f t="shared" si="225"/>
        <v>PY: Media Crit.</v>
      </c>
      <c r="T2922">
        <f t="shared" si="226"/>
        <v>1</v>
      </c>
      <c r="U2922">
        <f t="shared" si="227"/>
        <v>0</v>
      </c>
      <c r="V2922">
        <f t="shared" si="228"/>
        <v>0</v>
      </c>
      <c r="W2922">
        <f t="shared" si="229"/>
        <v>0</v>
      </c>
      <c r="X2922">
        <v>1</v>
      </c>
      <c r="Y2922" s="2">
        <v>45768</v>
      </c>
      <c r="Z2922" s="3" t="s">
        <v>118</v>
      </c>
      <c r="AA2922" t="s">
        <v>39</v>
      </c>
      <c r="AB2922" t="s">
        <v>76</v>
      </c>
      <c r="AC2922" s="5" t="s">
        <v>77</v>
      </c>
      <c r="AD2922" t="s">
        <v>184</v>
      </c>
    </row>
    <row r="2923" spans="2:30">
      <c r="B2923">
        <v>0</v>
      </c>
      <c r="C2923">
        <v>1020</v>
      </c>
      <c r="D2923" t="s">
        <v>181</v>
      </c>
      <c r="E2923">
        <v>14335058</v>
      </c>
      <c r="F2923" t="s">
        <v>3006</v>
      </c>
      <c r="G2923" t="s">
        <v>43</v>
      </c>
      <c r="H2923" t="s">
        <v>60</v>
      </c>
      <c r="I2923" t="s">
        <v>183</v>
      </c>
      <c r="J2923" t="s">
        <v>45</v>
      </c>
      <c r="K2923" t="s">
        <v>62</v>
      </c>
      <c r="L2923" t="s">
        <v>36</v>
      </c>
      <c r="M2923" t="s">
        <v>117</v>
      </c>
      <c r="N2923">
        <v>8</v>
      </c>
      <c r="O2923">
        <v>4</v>
      </c>
      <c r="P2923">
        <v>0</v>
      </c>
      <c r="Q2923">
        <v>0</v>
      </c>
      <c r="R2923">
        <v>0</v>
      </c>
      <c r="S2923" t="str">
        <f t="shared" si="225"/>
        <v>PY: Media Crit.</v>
      </c>
      <c r="T2923">
        <f t="shared" si="226"/>
        <v>1</v>
      </c>
      <c r="U2923">
        <f t="shared" si="227"/>
        <v>0</v>
      </c>
      <c r="V2923">
        <f t="shared" si="228"/>
        <v>0</v>
      </c>
      <c r="W2923">
        <f t="shared" si="229"/>
        <v>0</v>
      </c>
      <c r="X2923">
        <v>1</v>
      </c>
      <c r="Y2923" s="2">
        <v>45768</v>
      </c>
      <c r="Z2923" s="3" t="s">
        <v>118</v>
      </c>
      <c r="AA2923" t="s">
        <v>39</v>
      </c>
      <c r="AB2923" t="s">
        <v>76</v>
      </c>
      <c r="AC2923" s="5" t="s">
        <v>77</v>
      </c>
      <c r="AD2923" t="s">
        <v>184</v>
      </c>
    </row>
    <row r="2924" spans="2:30">
      <c r="B2924">
        <v>0</v>
      </c>
      <c r="C2924">
        <v>1020</v>
      </c>
      <c r="D2924" t="s">
        <v>181</v>
      </c>
      <c r="E2924">
        <v>14335059</v>
      </c>
      <c r="F2924" t="s">
        <v>3007</v>
      </c>
      <c r="G2924" t="s">
        <v>43</v>
      </c>
      <c r="H2924" t="s">
        <v>60</v>
      </c>
      <c r="I2924" t="s">
        <v>183</v>
      </c>
      <c r="J2924" t="s">
        <v>45</v>
      </c>
      <c r="K2924" t="s">
        <v>62</v>
      </c>
      <c r="L2924" t="s">
        <v>36</v>
      </c>
      <c r="M2924" t="s">
        <v>117</v>
      </c>
      <c r="N2924">
        <v>8</v>
      </c>
      <c r="O2924">
        <v>4</v>
      </c>
      <c r="P2924">
        <v>0</v>
      </c>
      <c r="Q2924">
        <v>0</v>
      </c>
      <c r="R2924">
        <v>0</v>
      </c>
      <c r="S2924" t="str">
        <f t="shared" si="225"/>
        <v>PY: Media Crit.</v>
      </c>
      <c r="T2924">
        <f t="shared" si="226"/>
        <v>1</v>
      </c>
      <c r="U2924">
        <f t="shared" si="227"/>
        <v>0</v>
      </c>
      <c r="V2924">
        <f t="shared" si="228"/>
        <v>0</v>
      </c>
      <c r="W2924">
        <f t="shared" si="229"/>
        <v>0</v>
      </c>
      <c r="X2924">
        <v>1</v>
      </c>
      <c r="Y2924" s="2">
        <v>45768</v>
      </c>
      <c r="Z2924" s="3" t="s">
        <v>118</v>
      </c>
      <c r="AA2924" t="s">
        <v>39</v>
      </c>
      <c r="AB2924" t="s">
        <v>76</v>
      </c>
      <c r="AC2924" s="5" t="s">
        <v>77</v>
      </c>
      <c r="AD2924" t="s">
        <v>184</v>
      </c>
    </row>
    <row r="2925" spans="2:30">
      <c r="B2925">
        <v>0</v>
      </c>
      <c r="C2925">
        <v>1020</v>
      </c>
      <c r="D2925" t="s">
        <v>181</v>
      </c>
      <c r="E2925">
        <v>14335061</v>
      </c>
      <c r="F2925" t="s">
        <v>3008</v>
      </c>
      <c r="G2925" t="s">
        <v>43</v>
      </c>
      <c r="H2925" t="s">
        <v>60</v>
      </c>
      <c r="I2925" t="s">
        <v>183</v>
      </c>
      <c r="J2925" t="s">
        <v>45</v>
      </c>
      <c r="K2925" t="s">
        <v>35</v>
      </c>
      <c r="L2925" t="s">
        <v>36</v>
      </c>
      <c r="M2925" t="s">
        <v>117</v>
      </c>
      <c r="N2925">
        <v>20</v>
      </c>
      <c r="O2925">
        <v>10</v>
      </c>
      <c r="P2925">
        <v>0</v>
      </c>
      <c r="Q2925">
        <v>0</v>
      </c>
      <c r="R2925">
        <v>0</v>
      </c>
      <c r="S2925" t="str">
        <f t="shared" si="225"/>
        <v>PY: Media Crit.</v>
      </c>
      <c r="T2925">
        <f t="shared" si="226"/>
        <v>1</v>
      </c>
      <c r="U2925">
        <f t="shared" si="227"/>
        <v>0</v>
      </c>
      <c r="V2925">
        <f t="shared" si="228"/>
        <v>0</v>
      </c>
      <c r="W2925">
        <f t="shared" si="229"/>
        <v>0</v>
      </c>
      <c r="X2925">
        <v>1</v>
      </c>
      <c r="Y2925" s="2">
        <v>45768</v>
      </c>
      <c r="Z2925" s="3" t="s">
        <v>118</v>
      </c>
      <c r="AA2925" t="s">
        <v>39</v>
      </c>
      <c r="AB2925" t="s">
        <v>49</v>
      </c>
      <c r="AC2925" s="5" t="s">
        <v>50</v>
      </c>
      <c r="AD2925" t="s">
        <v>184</v>
      </c>
    </row>
    <row r="2926" spans="2:30">
      <c r="B2926">
        <v>0</v>
      </c>
      <c r="C2926">
        <v>1020</v>
      </c>
      <c r="D2926" t="s">
        <v>181</v>
      </c>
      <c r="E2926">
        <v>14335063</v>
      </c>
      <c r="F2926" t="s">
        <v>3009</v>
      </c>
      <c r="G2926" t="s">
        <v>43</v>
      </c>
      <c r="H2926" t="s">
        <v>60</v>
      </c>
      <c r="I2926" t="s">
        <v>183</v>
      </c>
      <c r="J2926" t="s">
        <v>45</v>
      </c>
      <c r="K2926" t="s">
        <v>35</v>
      </c>
      <c r="L2926" t="s">
        <v>36</v>
      </c>
      <c r="M2926" t="s">
        <v>117</v>
      </c>
      <c r="N2926">
        <v>20</v>
      </c>
      <c r="O2926">
        <v>10</v>
      </c>
      <c r="P2926">
        <v>0</v>
      </c>
      <c r="Q2926">
        <v>0</v>
      </c>
      <c r="R2926">
        <v>0</v>
      </c>
      <c r="S2926" t="str">
        <f t="shared" si="225"/>
        <v>PY: Media Crit.</v>
      </c>
      <c r="T2926">
        <f t="shared" si="226"/>
        <v>1</v>
      </c>
      <c r="U2926">
        <f t="shared" si="227"/>
        <v>0</v>
      </c>
      <c r="V2926">
        <f t="shared" si="228"/>
        <v>0</v>
      </c>
      <c r="W2926">
        <f t="shared" si="229"/>
        <v>0</v>
      </c>
      <c r="X2926">
        <v>1</v>
      </c>
      <c r="Y2926" s="2">
        <v>45768</v>
      </c>
      <c r="Z2926" s="3" t="s">
        <v>118</v>
      </c>
      <c r="AA2926" t="s">
        <v>39</v>
      </c>
      <c r="AB2926" t="s">
        <v>49</v>
      </c>
      <c r="AC2926" s="5" t="s">
        <v>50</v>
      </c>
      <c r="AD2926" t="s">
        <v>184</v>
      </c>
    </row>
    <row r="2927" spans="2:30">
      <c r="B2927">
        <v>0</v>
      </c>
      <c r="C2927">
        <v>1020</v>
      </c>
      <c r="D2927" t="s">
        <v>181</v>
      </c>
      <c r="E2927">
        <v>14335067</v>
      </c>
      <c r="F2927" t="s">
        <v>3010</v>
      </c>
      <c r="G2927" t="s">
        <v>43</v>
      </c>
      <c r="H2927" t="s">
        <v>60</v>
      </c>
      <c r="I2927" t="s">
        <v>183</v>
      </c>
      <c r="J2927" t="s">
        <v>45</v>
      </c>
      <c r="K2927" t="s">
        <v>35</v>
      </c>
      <c r="L2927" t="s">
        <v>36</v>
      </c>
      <c r="M2927" t="s">
        <v>117</v>
      </c>
      <c r="N2927">
        <v>8</v>
      </c>
      <c r="O2927">
        <v>4</v>
      </c>
      <c r="P2927">
        <v>0</v>
      </c>
      <c r="Q2927">
        <v>0</v>
      </c>
      <c r="R2927">
        <v>0</v>
      </c>
      <c r="S2927" t="str">
        <f t="shared" si="225"/>
        <v>PY: Media Crit.</v>
      </c>
      <c r="T2927">
        <f t="shared" si="226"/>
        <v>1</v>
      </c>
      <c r="U2927">
        <f t="shared" si="227"/>
        <v>0</v>
      </c>
      <c r="V2927">
        <f t="shared" si="228"/>
        <v>0</v>
      </c>
      <c r="W2927">
        <f t="shared" si="229"/>
        <v>0</v>
      </c>
      <c r="X2927">
        <v>1</v>
      </c>
      <c r="Y2927" s="2">
        <v>45768</v>
      </c>
      <c r="Z2927" s="3" t="s">
        <v>118</v>
      </c>
      <c r="AA2927" t="s">
        <v>39</v>
      </c>
      <c r="AB2927" t="s">
        <v>49</v>
      </c>
      <c r="AC2927" s="5" t="s">
        <v>50</v>
      </c>
      <c r="AD2927" t="s">
        <v>184</v>
      </c>
    </row>
    <row r="2928" spans="2:30">
      <c r="B2928">
        <v>0</v>
      </c>
      <c r="C2928">
        <v>1020</v>
      </c>
      <c r="D2928" t="s">
        <v>388</v>
      </c>
      <c r="E2928">
        <v>14335427</v>
      </c>
      <c r="F2928" t="s">
        <v>3011</v>
      </c>
      <c r="G2928" t="s">
        <v>31</v>
      </c>
      <c r="H2928" t="s">
        <v>44</v>
      </c>
      <c r="I2928" t="s">
        <v>390</v>
      </c>
      <c r="J2928" t="s">
        <v>45</v>
      </c>
      <c r="K2928" t="s">
        <v>35</v>
      </c>
      <c r="L2928" t="s">
        <v>175</v>
      </c>
      <c r="M2928" t="s">
        <v>117</v>
      </c>
      <c r="N2928">
        <v>0</v>
      </c>
      <c r="O2928">
        <v>0</v>
      </c>
      <c r="P2928">
        <v>1</v>
      </c>
      <c r="Q2928">
        <v>0</v>
      </c>
      <c r="R2928">
        <v>0</v>
      </c>
      <c r="S2928" t="str">
        <f t="shared" si="225"/>
        <v>PX: Baja Crit.</v>
      </c>
      <c r="T2928">
        <f t="shared" si="226"/>
        <v>1</v>
      </c>
      <c r="U2928">
        <f t="shared" si="227"/>
        <v>0</v>
      </c>
      <c r="V2928">
        <f t="shared" si="228"/>
        <v>0</v>
      </c>
      <c r="W2928">
        <f t="shared" si="229"/>
        <v>0</v>
      </c>
      <c r="X2928">
        <v>1</v>
      </c>
      <c r="Y2928" s="2">
        <v>45768</v>
      </c>
      <c r="Z2928" s="3" t="s">
        <v>118</v>
      </c>
      <c r="AA2928" t="s">
        <v>39</v>
      </c>
      <c r="AB2928" t="s">
        <v>49</v>
      </c>
      <c r="AC2928" s="5" t="s">
        <v>50</v>
      </c>
      <c r="AD2928" t="s">
        <v>391</v>
      </c>
    </row>
    <row r="2929" spans="2:30">
      <c r="B2929">
        <v>0</v>
      </c>
      <c r="C2929">
        <v>1020</v>
      </c>
      <c r="D2929" t="s">
        <v>181</v>
      </c>
      <c r="E2929">
        <v>14338587</v>
      </c>
      <c r="F2929" t="s">
        <v>3012</v>
      </c>
      <c r="G2929" t="s">
        <v>31</v>
      </c>
      <c r="H2929" t="s">
        <v>60</v>
      </c>
      <c r="I2929" t="s">
        <v>183</v>
      </c>
      <c r="J2929" t="s">
        <v>45</v>
      </c>
      <c r="K2929" t="s">
        <v>35</v>
      </c>
      <c r="L2929" t="s">
        <v>36</v>
      </c>
      <c r="M2929" t="s">
        <v>117</v>
      </c>
      <c r="N2929">
        <v>8</v>
      </c>
      <c r="O2929">
        <v>4</v>
      </c>
      <c r="P2929">
        <v>0</v>
      </c>
      <c r="Q2929">
        <v>8</v>
      </c>
      <c r="R2929" s="4">
        <v>11226.6</v>
      </c>
      <c r="S2929" t="str">
        <f t="shared" si="225"/>
        <v>PX: Baja Crit.</v>
      </c>
      <c r="T2929">
        <f t="shared" si="226"/>
        <v>0</v>
      </c>
      <c r="U2929">
        <f t="shared" si="227"/>
        <v>0</v>
      </c>
      <c r="V2929">
        <f t="shared" si="228"/>
        <v>1</v>
      </c>
      <c r="W2929">
        <f t="shared" si="229"/>
        <v>0</v>
      </c>
      <c r="X2929">
        <v>1</v>
      </c>
      <c r="Y2929" s="2">
        <v>45768</v>
      </c>
      <c r="Z2929" s="3" t="s">
        <v>118</v>
      </c>
      <c r="AA2929" t="s">
        <v>39</v>
      </c>
      <c r="AB2929" t="s">
        <v>40</v>
      </c>
      <c r="AC2929" t="s">
        <v>40</v>
      </c>
      <c r="AD2929" t="s">
        <v>184</v>
      </c>
    </row>
    <row r="2930" spans="2:30">
      <c r="B2930">
        <v>0</v>
      </c>
      <c r="C2930">
        <v>1020</v>
      </c>
      <c r="D2930" t="s">
        <v>181</v>
      </c>
      <c r="E2930">
        <v>14340699</v>
      </c>
      <c r="F2930" t="s">
        <v>3013</v>
      </c>
      <c r="G2930" t="s">
        <v>1533</v>
      </c>
      <c r="H2930" t="s">
        <v>60</v>
      </c>
      <c r="I2930" t="s">
        <v>183</v>
      </c>
      <c r="J2930" t="s">
        <v>45</v>
      </c>
      <c r="K2930" t="s">
        <v>35</v>
      </c>
      <c r="L2930" t="s">
        <v>36</v>
      </c>
      <c r="M2930" t="s">
        <v>117</v>
      </c>
      <c r="N2930">
        <v>4</v>
      </c>
      <c r="O2930">
        <v>2</v>
      </c>
      <c r="P2930">
        <v>0</v>
      </c>
      <c r="Q2930">
        <v>4</v>
      </c>
      <c r="R2930" s="4">
        <v>1290.08</v>
      </c>
      <c r="S2930" t="str">
        <f t="shared" si="225"/>
        <v>PX: Baja Crit.</v>
      </c>
      <c r="T2930">
        <f t="shared" si="226"/>
        <v>0</v>
      </c>
      <c r="U2930">
        <f t="shared" si="227"/>
        <v>0</v>
      </c>
      <c r="V2930">
        <f t="shared" si="228"/>
        <v>1</v>
      </c>
      <c r="W2930">
        <f t="shared" si="229"/>
        <v>0</v>
      </c>
      <c r="X2930">
        <v>1</v>
      </c>
      <c r="Y2930" s="2">
        <v>45768</v>
      </c>
      <c r="Z2930" s="3" t="s">
        <v>118</v>
      </c>
      <c r="AA2930" t="s">
        <v>39</v>
      </c>
      <c r="AB2930" t="s">
        <v>40</v>
      </c>
      <c r="AC2930" t="s">
        <v>40</v>
      </c>
      <c r="AD2930" t="s">
        <v>184</v>
      </c>
    </row>
    <row r="2931" spans="2:30">
      <c r="B2931">
        <v>0</v>
      </c>
      <c r="C2931">
        <v>1020</v>
      </c>
      <c r="D2931" t="s">
        <v>388</v>
      </c>
      <c r="E2931">
        <v>14345024</v>
      </c>
      <c r="F2931" t="s">
        <v>3014</v>
      </c>
      <c r="G2931" t="s">
        <v>43</v>
      </c>
      <c r="H2931" t="s">
        <v>44</v>
      </c>
      <c r="I2931" t="s">
        <v>390</v>
      </c>
      <c r="J2931" t="s">
        <v>45</v>
      </c>
      <c r="K2931" t="s">
        <v>35</v>
      </c>
      <c r="L2931" t="s">
        <v>175</v>
      </c>
      <c r="M2931" t="s">
        <v>117</v>
      </c>
      <c r="N2931">
        <v>0</v>
      </c>
      <c r="O2931">
        <v>0</v>
      </c>
      <c r="P2931">
        <v>1</v>
      </c>
      <c r="Q2931">
        <v>2</v>
      </c>
      <c r="R2931" s="4">
        <v>7538.21</v>
      </c>
      <c r="S2931" t="str">
        <f t="shared" si="225"/>
        <v>PY: Media Crit.</v>
      </c>
      <c r="T2931">
        <f t="shared" si="226"/>
        <v>0</v>
      </c>
      <c r="U2931">
        <f t="shared" si="227"/>
        <v>0</v>
      </c>
      <c r="V2931">
        <f t="shared" si="228"/>
        <v>0</v>
      </c>
      <c r="W2931">
        <f t="shared" si="229"/>
        <v>1</v>
      </c>
      <c r="X2931">
        <v>1</v>
      </c>
      <c r="Y2931" s="2">
        <v>45768</v>
      </c>
      <c r="Z2931" s="3" t="s">
        <v>118</v>
      </c>
      <c r="AA2931" t="s">
        <v>39</v>
      </c>
      <c r="AB2931" t="s">
        <v>40</v>
      </c>
      <c r="AC2931" t="s">
        <v>40</v>
      </c>
      <c r="AD2931" t="s">
        <v>391</v>
      </c>
    </row>
    <row r="2932" spans="2:30">
      <c r="B2932">
        <v>0</v>
      </c>
      <c r="C2932">
        <v>1020</v>
      </c>
      <c r="D2932" t="s">
        <v>388</v>
      </c>
      <c r="E2932">
        <v>14345025</v>
      </c>
      <c r="F2932" t="s">
        <v>3015</v>
      </c>
      <c r="G2932" t="s">
        <v>43</v>
      </c>
      <c r="H2932" t="s">
        <v>44</v>
      </c>
      <c r="I2932" t="s">
        <v>390</v>
      </c>
      <c r="J2932" t="s">
        <v>45</v>
      </c>
      <c r="K2932" t="s">
        <v>35</v>
      </c>
      <c r="L2932" t="s">
        <v>175</v>
      </c>
      <c r="M2932" t="s">
        <v>117</v>
      </c>
      <c r="N2932">
        <v>0</v>
      </c>
      <c r="O2932">
        <v>0</v>
      </c>
      <c r="P2932">
        <v>1</v>
      </c>
      <c r="Q2932">
        <v>2</v>
      </c>
      <c r="R2932" s="4">
        <v>7538.21</v>
      </c>
      <c r="S2932" t="str">
        <f t="shared" si="225"/>
        <v>PY: Media Crit.</v>
      </c>
      <c r="T2932">
        <f t="shared" si="226"/>
        <v>0</v>
      </c>
      <c r="U2932">
        <f t="shared" si="227"/>
        <v>0</v>
      </c>
      <c r="V2932">
        <f t="shared" si="228"/>
        <v>0</v>
      </c>
      <c r="W2932">
        <f t="shared" si="229"/>
        <v>1</v>
      </c>
      <c r="X2932">
        <v>1</v>
      </c>
      <c r="Y2932" s="2">
        <v>45768</v>
      </c>
      <c r="Z2932" s="3" t="s">
        <v>118</v>
      </c>
      <c r="AA2932" t="s">
        <v>39</v>
      </c>
      <c r="AB2932" t="s">
        <v>40</v>
      </c>
      <c r="AC2932" t="s">
        <v>40</v>
      </c>
      <c r="AD2932" t="s">
        <v>391</v>
      </c>
    </row>
    <row r="2933" spans="2:30">
      <c r="B2933">
        <v>0</v>
      </c>
      <c r="C2933">
        <v>1020</v>
      </c>
      <c r="D2933" t="s">
        <v>181</v>
      </c>
      <c r="E2933">
        <v>14346629</v>
      </c>
      <c r="F2933" t="s">
        <v>3016</v>
      </c>
      <c r="G2933" t="s">
        <v>43</v>
      </c>
      <c r="H2933" t="s">
        <v>44</v>
      </c>
      <c r="I2933" t="s">
        <v>183</v>
      </c>
      <c r="J2933" t="s">
        <v>45</v>
      </c>
      <c r="K2933" t="s">
        <v>35</v>
      </c>
      <c r="L2933" t="s">
        <v>36</v>
      </c>
      <c r="M2933" t="s">
        <v>37</v>
      </c>
      <c r="N2933">
        <v>2</v>
      </c>
      <c r="O2933">
        <v>1</v>
      </c>
      <c r="P2933">
        <v>0</v>
      </c>
      <c r="Q2933">
        <v>0</v>
      </c>
      <c r="R2933">
        <v>0</v>
      </c>
      <c r="S2933" t="str">
        <f t="shared" si="225"/>
        <v>PY: Media Crit.</v>
      </c>
      <c r="T2933">
        <f t="shared" si="226"/>
        <v>1</v>
      </c>
      <c r="U2933">
        <f t="shared" si="227"/>
        <v>0</v>
      </c>
      <c r="V2933">
        <f t="shared" si="228"/>
        <v>0</v>
      </c>
      <c r="W2933">
        <f t="shared" si="229"/>
        <v>0</v>
      </c>
      <c r="X2933">
        <v>1</v>
      </c>
      <c r="Y2933" s="2">
        <v>45768</v>
      </c>
      <c r="Z2933" s="3" t="s">
        <v>38</v>
      </c>
      <c r="AA2933" t="s">
        <v>39</v>
      </c>
      <c r="AB2933" t="s">
        <v>49</v>
      </c>
      <c r="AC2933" s="5" t="s">
        <v>50</v>
      </c>
      <c r="AD2933" t="s">
        <v>184</v>
      </c>
    </row>
    <row r="2934" spans="2:30">
      <c r="B2934">
        <v>0</v>
      </c>
      <c r="C2934">
        <v>1020</v>
      </c>
      <c r="D2934" t="s">
        <v>181</v>
      </c>
      <c r="E2934">
        <v>14346630</v>
      </c>
      <c r="F2934" t="s">
        <v>3017</v>
      </c>
      <c r="G2934" t="s">
        <v>43</v>
      </c>
      <c r="H2934" t="s">
        <v>44</v>
      </c>
      <c r="I2934" t="s">
        <v>183</v>
      </c>
      <c r="J2934" t="s">
        <v>45</v>
      </c>
      <c r="K2934" t="s">
        <v>35</v>
      </c>
      <c r="L2934" t="s">
        <v>36</v>
      </c>
      <c r="M2934" t="s">
        <v>37</v>
      </c>
      <c r="N2934">
        <v>2</v>
      </c>
      <c r="O2934">
        <v>1</v>
      </c>
      <c r="P2934">
        <v>0</v>
      </c>
      <c r="Q2934">
        <v>0</v>
      </c>
      <c r="R2934">
        <v>0</v>
      </c>
      <c r="S2934" t="str">
        <f t="shared" si="225"/>
        <v>PY: Media Crit.</v>
      </c>
      <c r="T2934">
        <f t="shared" si="226"/>
        <v>1</v>
      </c>
      <c r="U2934">
        <f t="shared" si="227"/>
        <v>0</v>
      </c>
      <c r="V2934">
        <f t="shared" si="228"/>
        <v>0</v>
      </c>
      <c r="W2934">
        <f t="shared" si="229"/>
        <v>0</v>
      </c>
      <c r="X2934">
        <v>1</v>
      </c>
      <c r="Y2934" s="2">
        <v>45768</v>
      </c>
      <c r="Z2934" s="3" t="s">
        <v>38</v>
      </c>
      <c r="AA2934" t="s">
        <v>39</v>
      </c>
      <c r="AB2934" t="s">
        <v>49</v>
      </c>
      <c r="AC2934" s="5" t="s">
        <v>50</v>
      </c>
      <c r="AD2934" t="s">
        <v>184</v>
      </c>
    </row>
    <row r="2935" spans="2:30">
      <c r="B2935">
        <v>0</v>
      </c>
      <c r="C2935">
        <v>1020</v>
      </c>
      <c r="D2935" t="s">
        <v>181</v>
      </c>
      <c r="E2935">
        <v>14346631</v>
      </c>
      <c r="F2935" t="s">
        <v>3018</v>
      </c>
      <c r="G2935" t="s">
        <v>43</v>
      </c>
      <c r="H2935" t="s">
        <v>44</v>
      </c>
      <c r="I2935" t="s">
        <v>183</v>
      </c>
      <c r="J2935" t="s">
        <v>45</v>
      </c>
      <c r="K2935" t="s">
        <v>35</v>
      </c>
      <c r="L2935" t="s">
        <v>36</v>
      </c>
      <c r="M2935" t="s">
        <v>37</v>
      </c>
      <c r="N2935">
        <v>2</v>
      </c>
      <c r="O2935">
        <v>1</v>
      </c>
      <c r="P2935">
        <v>0</v>
      </c>
      <c r="Q2935">
        <v>0</v>
      </c>
      <c r="R2935">
        <v>0</v>
      </c>
      <c r="S2935" t="str">
        <f t="shared" si="225"/>
        <v>PY: Media Crit.</v>
      </c>
      <c r="T2935">
        <f t="shared" si="226"/>
        <v>1</v>
      </c>
      <c r="U2935">
        <f t="shared" si="227"/>
        <v>0</v>
      </c>
      <c r="V2935">
        <f t="shared" si="228"/>
        <v>0</v>
      </c>
      <c r="W2935">
        <f t="shared" si="229"/>
        <v>0</v>
      </c>
      <c r="X2935">
        <v>1</v>
      </c>
      <c r="Y2935" s="2">
        <v>45768</v>
      </c>
      <c r="Z2935" s="3" t="s">
        <v>38</v>
      </c>
      <c r="AA2935" t="s">
        <v>39</v>
      </c>
      <c r="AB2935" t="s">
        <v>49</v>
      </c>
      <c r="AC2935" s="5" t="s">
        <v>50</v>
      </c>
      <c r="AD2935" t="s">
        <v>184</v>
      </c>
    </row>
    <row r="2936" spans="2:30">
      <c r="B2936">
        <v>0</v>
      </c>
      <c r="C2936">
        <v>1020</v>
      </c>
      <c r="D2936" t="s">
        <v>388</v>
      </c>
      <c r="E2936">
        <v>14348899</v>
      </c>
      <c r="F2936" t="s">
        <v>3019</v>
      </c>
      <c r="G2936" t="s">
        <v>43</v>
      </c>
      <c r="H2936" t="s">
        <v>60</v>
      </c>
      <c r="I2936" t="s">
        <v>390</v>
      </c>
      <c r="J2936" t="s">
        <v>45</v>
      </c>
      <c r="K2936" t="s">
        <v>35</v>
      </c>
      <c r="L2936" t="s">
        <v>175</v>
      </c>
      <c r="M2936" t="s">
        <v>69</v>
      </c>
      <c r="N2936">
        <v>0</v>
      </c>
      <c r="O2936">
        <v>0</v>
      </c>
      <c r="P2936">
        <v>1</v>
      </c>
      <c r="Q2936">
        <v>0</v>
      </c>
      <c r="R2936">
        <v>0</v>
      </c>
      <c r="S2936" t="str">
        <f t="shared" si="225"/>
        <v>PY: Media Crit.</v>
      </c>
      <c r="T2936">
        <f t="shared" si="226"/>
        <v>1</v>
      </c>
      <c r="U2936">
        <f t="shared" si="227"/>
        <v>0</v>
      </c>
      <c r="V2936">
        <f t="shared" si="228"/>
        <v>0</v>
      </c>
      <c r="W2936">
        <f t="shared" si="229"/>
        <v>0</v>
      </c>
      <c r="X2936">
        <v>1</v>
      </c>
      <c r="Y2936" s="2">
        <v>45768</v>
      </c>
      <c r="Z2936" s="3" t="s">
        <v>70</v>
      </c>
      <c r="AA2936" t="s">
        <v>39</v>
      </c>
      <c r="AB2936" t="s">
        <v>40</v>
      </c>
      <c r="AC2936" t="s">
        <v>40</v>
      </c>
      <c r="AD2936" t="s">
        <v>391</v>
      </c>
    </row>
    <row r="2937" spans="2:30">
      <c r="B2937">
        <v>0</v>
      </c>
      <c r="C2937">
        <v>1020</v>
      </c>
      <c r="D2937" t="s">
        <v>181</v>
      </c>
      <c r="E2937">
        <v>14349128</v>
      </c>
      <c r="F2937" t="s">
        <v>3020</v>
      </c>
      <c r="G2937" t="s">
        <v>43</v>
      </c>
      <c r="H2937" t="s">
        <v>60</v>
      </c>
      <c r="I2937" t="s">
        <v>183</v>
      </c>
      <c r="J2937" t="s">
        <v>45</v>
      </c>
      <c r="K2937" t="s">
        <v>62</v>
      </c>
      <c r="L2937" t="s">
        <v>36</v>
      </c>
      <c r="M2937" t="s">
        <v>117</v>
      </c>
      <c r="N2937">
        <v>40</v>
      </c>
      <c r="O2937">
        <v>21</v>
      </c>
      <c r="P2937">
        <v>0</v>
      </c>
      <c r="Q2937">
        <v>0</v>
      </c>
      <c r="R2937">
        <v>0</v>
      </c>
      <c r="S2937" t="str">
        <f t="shared" si="225"/>
        <v>PY: Media Crit.</v>
      </c>
      <c r="T2937">
        <f t="shared" si="226"/>
        <v>1</v>
      </c>
      <c r="U2937">
        <f t="shared" si="227"/>
        <v>0</v>
      </c>
      <c r="V2937">
        <f t="shared" si="228"/>
        <v>0</v>
      </c>
      <c r="W2937">
        <f t="shared" si="229"/>
        <v>0</v>
      </c>
      <c r="X2937">
        <v>1</v>
      </c>
      <c r="Y2937" s="2">
        <v>45768</v>
      </c>
      <c r="Z2937" s="3" t="s">
        <v>118</v>
      </c>
      <c r="AA2937" t="s">
        <v>39</v>
      </c>
      <c r="AB2937" t="s">
        <v>49</v>
      </c>
      <c r="AC2937" s="5" t="s">
        <v>50</v>
      </c>
      <c r="AD2937" t="s">
        <v>184</v>
      </c>
    </row>
    <row r="2938" spans="2:30">
      <c r="B2938">
        <v>0</v>
      </c>
      <c r="C2938">
        <v>1020</v>
      </c>
      <c r="D2938" t="s">
        <v>181</v>
      </c>
      <c r="E2938">
        <v>14349129</v>
      </c>
      <c r="F2938" t="s">
        <v>3021</v>
      </c>
      <c r="G2938" t="s">
        <v>43</v>
      </c>
      <c r="H2938" t="s">
        <v>60</v>
      </c>
      <c r="I2938" t="s">
        <v>183</v>
      </c>
      <c r="J2938" t="s">
        <v>45</v>
      </c>
      <c r="K2938" t="s">
        <v>35</v>
      </c>
      <c r="L2938" t="s">
        <v>36</v>
      </c>
      <c r="M2938" t="s">
        <v>117</v>
      </c>
      <c r="N2938">
        <v>15</v>
      </c>
      <c r="O2938">
        <v>10</v>
      </c>
      <c r="P2938">
        <v>0</v>
      </c>
      <c r="Q2938">
        <v>15</v>
      </c>
      <c r="R2938">
        <v>900</v>
      </c>
      <c r="S2938" t="str">
        <f t="shared" si="225"/>
        <v>PY: Media Crit.</v>
      </c>
      <c r="T2938">
        <f t="shared" si="226"/>
        <v>0</v>
      </c>
      <c r="U2938">
        <f t="shared" si="227"/>
        <v>0</v>
      </c>
      <c r="V2938">
        <f t="shared" si="228"/>
        <v>1</v>
      </c>
      <c r="W2938">
        <f t="shared" si="229"/>
        <v>0</v>
      </c>
      <c r="X2938">
        <v>1</v>
      </c>
      <c r="Y2938" s="2">
        <v>45768</v>
      </c>
      <c r="Z2938" s="3" t="s">
        <v>118</v>
      </c>
      <c r="AA2938" t="s">
        <v>39</v>
      </c>
      <c r="AB2938" t="s">
        <v>40</v>
      </c>
      <c r="AC2938" t="s">
        <v>40</v>
      </c>
      <c r="AD2938" t="s">
        <v>184</v>
      </c>
    </row>
    <row r="2939" spans="2:30">
      <c r="B2939">
        <v>0</v>
      </c>
      <c r="C2939">
        <v>1020</v>
      </c>
      <c r="D2939" t="s">
        <v>384</v>
      </c>
      <c r="E2939">
        <v>14353936</v>
      </c>
      <c r="F2939" t="s">
        <v>3022</v>
      </c>
      <c r="G2939" t="s">
        <v>43</v>
      </c>
      <c r="H2939" t="s">
        <v>44</v>
      </c>
      <c r="I2939" t="s">
        <v>386</v>
      </c>
      <c r="J2939" t="s">
        <v>45</v>
      </c>
      <c r="K2939" t="s">
        <v>35</v>
      </c>
      <c r="L2939" t="s">
        <v>175</v>
      </c>
      <c r="M2939" t="s">
        <v>46</v>
      </c>
      <c r="N2939">
        <v>0</v>
      </c>
      <c r="O2939">
        <v>0</v>
      </c>
      <c r="P2939">
        <v>0</v>
      </c>
      <c r="Q2939">
        <v>0</v>
      </c>
      <c r="R2939">
        <v>0</v>
      </c>
      <c r="S2939" t="str">
        <f t="shared" si="225"/>
        <v>PY: Media Crit.</v>
      </c>
      <c r="T2939">
        <f t="shared" si="226"/>
        <v>1</v>
      </c>
      <c r="U2939">
        <f t="shared" si="227"/>
        <v>0</v>
      </c>
      <c r="V2939">
        <f t="shared" si="228"/>
        <v>0</v>
      </c>
      <c r="W2939">
        <f t="shared" si="229"/>
        <v>0</v>
      </c>
      <c r="X2939">
        <v>1</v>
      </c>
      <c r="Y2939" s="2">
        <v>45768</v>
      </c>
      <c r="Z2939" s="3" t="s">
        <v>47</v>
      </c>
      <c r="AA2939" t="s">
        <v>39</v>
      </c>
      <c r="AB2939" t="s">
        <v>49</v>
      </c>
      <c r="AC2939" s="5" t="s">
        <v>50</v>
      </c>
      <c r="AD2939" t="s">
        <v>387</v>
      </c>
    </row>
    <row r="2940" spans="2:30">
      <c r="B2940">
        <v>0</v>
      </c>
      <c r="C2940">
        <v>1020</v>
      </c>
      <c r="D2940" t="s">
        <v>384</v>
      </c>
      <c r="E2940">
        <v>14353937</v>
      </c>
      <c r="F2940" t="s">
        <v>3023</v>
      </c>
      <c r="G2940" t="s">
        <v>43</v>
      </c>
      <c r="H2940" t="s">
        <v>44</v>
      </c>
      <c r="I2940" t="s">
        <v>386</v>
      </c>
      <c r="J2940" t="s">
        <v>45</v>
      </c>
      <c r="K2940" t="s">
        <v>35</v>
      </c>
      <c r="L2940" t="s">
        <v>175</v>
      </c>
      <c r="M2940" t="s">
        <v>46</v>
      </c>
      <c r="N2940">
        <v>0</v>
      </c>
      <c r="O2940">
        <v>0</v>
      </c>
      <c r="P2940">
        <v>0</v>
      </c>
      <c r="Q2940">
        <v>0</v>
      </c>
      <c r="R2940">
        <v>0</v>
      </c>
      <c r="S2940" t="str">
        <f t="shared" si="225"/>
        <v>PY: Media Crit.</v>
      </c>
      <c r="T2940">
        <f t="shared" si="226"/>
        <v>1</v>
      </c>
      <c r="U2940">
        <f t="shared" si="227"/>
        <v>0</v>
      </c>
      <c r="V2940">
        <f t="shared" si="228"/>
        <v>0</v>
      </c>
      <c r="W2940">
        <f t="shared" si="229"/>
        <v>0</v>
      </c>
      <c r="X2940">
        <v>1</v>
      </c>
      <c r="Y2940" s="2">
        <v>45768</v>
      </c>
      <c r="Z2940" s="3" t="s">
        <v>47</v>
      </c>
      <c r="AA2940" t="s">
        <v>39</v>
      </c>
      <c r="AB2940" t="s">
        <v>49</v>
      </c>
      <c r="AC2940" s="5" t="s">
        <v>50</v>
      </c>
      <c r="AD2940" t="s">
        <v>387</v>
      </c>
    </row>
    <row r="2941" spans="2:30">
      <c r="B2941">
        <v>0</v>
      </c>
      <c r="C2941">
        <v>1020</v>
      </c>
      <c r="D2941" t="s">
        <v>384</v>
      </c>
      <c r="E2941">
        <v>14353938</v>
      </c>
      <c r="F2941" t="s">
        <v>3024</v>
      </c>
      <c r="G2941" t="s">
        <v>43</v>
      </c>
      <c r="H2941" t="s">
        <v>44</v>
      </c>
      <c r="I2941" t="s">
        <v>386</v>
      </c>
      <c r="J2941" t="s">
        <v>45</v>
      </c>
      <c r="K2941" t="s">
        <v>35</v>
      </c>
      <c r="L2941" t="s">
        <v>175</v>
      </c>
      <c r="M2941" t="s">
        <v>46</v>
      </c>
      <c r="N2941">
        <v>0</v>
      </c>
      <c r="O2941">
        <v>0</v>
      </c>
      <c r="P2941">
        <v>0</v>
      </c>
      <c r="Q2941">
        <v>0</v>
      </c>
      <c r="R2941">
        <v>0</v>
      </c>
      <c r="S2941" t="str">
        <f t="shared" si="225"/>
        <v>PY: Media Crit.</v>
      </c>
      <c r="T2941">
        <f t="shared" si="226"/>
        <v>1</v>
      </c>
      <c r="U2941">
        <f t="shared" si="227"/>
        <v>0</v>
      </c>
      <c r="V2941">
        <f t="shared" si="228"/>
        <v>0</v>
      </c>
      <c r="W2941">
        <f t="shared" si="229"/>
        <v>0</v>
      </c>
      <c r="X2941">
        <v>1</v>
      </c>
      <c r="Y2941" s="2">
        <v>45768</v>
      </c>
      <c r="Z2941" s="3" t="s">
        <v>47</v>
      </c>
      <c r="AA2941" t="s">
        <v>39</v>
      </c>
      <c r="AB2941" t="s">
        <v>49</v>
      </c>
      <c r="AC2941" s="5" t="s">
        <v>50</v>
      </c>
      <c r="AD2941" t="s">
        <v>387</v>
      </c>
    </row>
    <row r="2942" spans="2:30">
      <c r="B2942">
        <v>0</v>
      </c>
      <c r="C2942">
        <v>1020</v>
      </c>
      <c r="D2942" t="s">
        <v>384</v>
      </c>
      <c r="E2942">
        <v>14353939</v>
      </c>
      <c r="F2942" t="s">
        <v>3025</v>
      </c>
      <c r="G2942" t="s">
        <v>43</v>
      </c>
      <c r="H2942" t="s">
        <v>44</v>
      </c>
      <c r="I2942" t="s">
        <v>386</v>
      </c>
      <c r="J2942" t="s">
        <v>45</v>
      </c>
      <c r="K2942" t="s">
        <v>35</v>
      </c>
      <c r="L2942" t="s">
        <v>175</v>
      </c>
      <c r="M2942" t="s">
        <v>46</v>
      </c>
      <c r="N2942">
        <v>0</v>
      </c>
      <c r="O2942">
        <v>0</v>
      </c>
      <c r="P2942">
        <v>0</v>
      </c>
      <c r="Q2942">
        <v>0</v>
      </c>
      <c r="R2942">
        <v>0</v>
      </c>
      <c r="S2942" t="str">
        <f t="shared" si="225"/>
        <v>PY: Media Crit.</v>
      </c>
      <c r="T2942">
        <f t="shared" si="226"/>
        <v>1</v>
      </c>
      <c r="U2942">
        <f t="shared" si="227"/>
        <v>0</v>
      </c>
      <c r="V2942">
        <f t="shared" si="228"/>
        <v>0</v>
      </c>
      <c r="W2942">
        <f t="shared" si="229"/>
        <v>0</v>
      </c>
      <c r="X2942">
        <v>1</v>
      </c>
      <c r="Y2942" s="2">
        <v>45768</v>
      </c>
      <c r="Z2942" s="3" t="s">
        <v>47</v>
      </c>
      <c r="AA2942" t="s">
        <v>39</v>
      </c>
      <c r="AB2942" t="s">
        <v>49</v>
      </c>
      <c r="AC2942" s="5" t="s">
        <v>50</v>
      </c>
      <c r="AD2942" t="s">
        <v>387</v>
      </c>
    </row>
    <row r="2943" spans="2:30">
      <c r="B2943">
        <v>0</v>
      </c>
      <c r="C2943">
        <v>1020</v>
      </c>
      <c r="D2943" t="s">
        <v>388</v>
      </c>
      <c r="E2943">
        <v>14354134</v>
      </c>
      <c r="F2943" t="s">
        <v>3026</v>
      </c>
      <c r="G2943" t="s">
        <v>43</v>
      </c>
      <c r="H2943" t="s">
        <v>44</v>
      </c>
      <c r="I2943" t="s">
        <v>390</v>
      </c>
      <c r="J2943" t="s">
        <v>45</v>
      </c>
      <c r="K2943" t="s">
        <v>260</v>
      </c>
      <c r="L2943" t="s">
        <v>175</v>
      </c>
      <c r="M2943" t="s">
        <v>117</v>
      </c>
      <c r="N2943">
        <v>0</v>
      </c>
      <c r="O2943">
        <v>0</v>
      </c>
      <c r="P2943">
        <v>1</v>
      </c>
      <c r="Q2943">
        <v>0</v>
      </c>
      <c r="R2943">
        <v>0</v>
      </c>
      <c r="S2943" t="str">
        <f t="shared" si="225"/>
        <v>PY: Media Crit.</v>
      </c>
      <c r="T2943">
        <f t="shared" si="226"/>
        <v>1</v>
      </c>
      <c r="U2943">
        <f t="shared" si="227"/>
        <v>0</v>
      </c>
      <c r="V2943">
        <f t="shared" si="228"/>
        <v>0</v>
      </c>
      <c r="W2943">
        <f t="shared" si="229"/>
        <v>0</v>
      </c>
      <c r="X2943">
        <v>1</v>
      </c>
      <c r="Y2943" s="2">
        <v>45768</v>
      </c>
      <c r="Z2943" s="3" t="s">
        <v>118</v>
      </c>
      <c r="AA2943" t="s">
        <v>39</v>
      </c>
      <c r="AB2943" t="s">
        <v>49</v>
      </c>
      <c r="AC2943" s="5" t="s">
        <v>50</v>
      </c>
      <c r="AD2943" t="s">
        <v>391</v>
      </c>
    </row>
    <row r="2944" spans="2:30">
      <c r="B2944">
        <v>0</v>
      </c>
      <c r="C2944">
        <v>1020</v>
      </c>
      <c r="D2944" t="s">
        <v>181</v>
      </c>
      <c r="E2944">
        <v>14354359</v>
      </c>
      <c r="F2944" t="s">
        <v>3027</v>
      </c>
      <c r="G2944" t="s">
        <v>43</v>
      </c>
      <c r="H2944" t="s">
        <v>60</v>
      </c>
      <c r="I2944" t="s">
        <v>183</v>
      </c>
      <c r="J2944" t="s">
        <v>45</v>
      </c>
      <c r="K2944" t="s">
        <v>260</v>
      </c>
      <c r="L2944" t="s">
        <v>36</v>
      </c>
      <c r="M2944" t="s">
        <v>117</v>
      </c>
      <c r="N2944">
        <v>2</v>
      </c>
      <c r="O2944">
        <v>2</v>
      </c>
      <c r="P2944">
        <v>1</v>
      </c>
      <c r="Q2944">
        <v>2</v>
      </c>
      <c r="R2944" s="4">
        <v>3400</v>
      </c>
      <c r="S2944" t="str">
        <f t="shared" si="225"/>
        <v>PY: Media Crit.</v>
      </c>
      <c r="T2944">
        <f t="shared" si="226"/>
        <v>0</v>
      </c>
      <c r="U2944">
        <f t="shared" si="227"/>
        <v>0</v>
      </c>
      <c r="V2944">
        <f t="shared" si="228"/>
        <v>1</v>
      </c>
      <c r="W2944">
        <f t="shared" si="229"/>
        <v>0</v>
      </c>
      <c r="X2944">
        <v>1</v>
      </c>
      <c r="Y2944" s="2">
        <v>45768</v>
      </c>
      <c r="Z2944" s="3" t="s">
        <v>118</v>
      </c>
      <c r="AA2944" t="s">
        <v>39</v>
      </c>
      <c r="AB2944" t="s">
        <v>40</v>
      </c>
      <c r="AC2944" t="s">
        <v>40</v>
      </c>
      <c r="AD2944" t="s">
        <v>184</v>
      </c>
    </row>
    <row r="2945" spans="2:30">
      <c r="B2945">
        <v>0</v>
      </c>
      <c r="C2945">
        <v>1020</v>
      </c>
      <c r="D2945" t="s">
        <v>388</v>
      </c>
      <c r="E2945">
        <v>14354713</v>
      </c>
      <c r="F2945" t="s">
        <v>3028</v>
      </c>
      <c r="G2945" t="s">
        <v>43</v>
      </c>
      <c r="H2945" t="s">
        <v>44</v>
      </c>
      <c r="I2945" t="s">
        <v>390</v>
      </c>
      <c r="J2945" t="s">
        <v>45</v>
      </c>
      <c r="K2945" t="s">
        <v>260</v>
      </c>
      <c r="L2945" t="s">
        <v>175</v>
      </c>
      <c r="M2945" t="s">
        <v>37</v>
      </c>
      <c r="N2945">
        <v>0</v>
      </c>
      <c r="O2945">
        <v>0</v>
      </c>
      <c r="P2945">
        <v>2</v>
      </c>
      <c r="Q2945">
        <v>0</v>
      </c>
      <c r="R2945">
        <v>0</v>
      </c>
      <c r="S2945" t="str">
        <f t="shared" si="225"/>
        <v>PY: Media Crit.</v>
      </c>
      <c r="T2945">
        <f t="shared" si="226"/>
        <v>1</v>
      </c>
      <c r="U2945">
        <f t="shared" si="227"/>
        <v>0</v>
      </c>
      <c r="V2945">
        <f t="shared" si="228"/>
        <v>0</v>
      </c>
      <c r="W2945">
        <f t="shared" si="229"/>
        <v>0</v>
      </c>
      <c r="X2945">
        <v>1</v>
      </c>
      <c r="Y2945" s="2">
        <v>45768</v>
      </c>
      <c r="Z2945" s="3" t="s">
        <v>38</v>
      </c>
      <c r="AA2945" t="s">
        <v>39</v>
      </c>
      <c r="AB2945" t="s">
        <v>49</v>
      </c>
      <c r="AC2945" s="5" t="s">
        <v>50</v>
      </c>
      <c r="AD2945" t="s">
        <v>391</v>
      </c>
    </row>
    <row r="2946" spans="2:30">
      <c r="B2946">
        <v>0</v>
      </c>
      <c r="C2946">
        <v>1020</v>
      </c>
      <c r="D2946" t="s">
        <v>181</v>
      </c>
      <c r="E2946">
        <v>14354838</v>
      </c>
      <c r="F2946" t="s">
        <v>3029</v>
      </c>
      <c r="G2946" t="s">
        <v>43</v>
      </c>
      <c r="H2946" t="s">
        <v>60</v>
      </c>
      <c r="I2946" t="s">
        <v>183</v>
      </c>
      <c r="J2946" t="s">
        <v>45</v>
      </c>
      <c r="K2946" t="s">
        <v>35</v>
      </c>
      <c r="L2946" t="s">
        <v>36</v>
      </c>
      <c r="M2946" t="s">
        <v>117</v>
      </c>
      <c r="N2946">
        <v>8</v>
      </c>
      <c r="O2946">
        <v>6</v>
      </c>
      <c r="P2946">
        <v>2</v>
      </c>
      <c r="Q2946">
        <v>16</v>
      </c>
      <c r="R2946" s="4">
        <v>18400</v>
      </c>
      <c r="S2946" t="str">
        <f t="shared" ref="S2946:S2959" si="230">+IF(G2946="PZ", "PZ: Alta Crit.",IF(G2946="PY","PY: Media Crit.", "PX: Baja Crit."))</f>
        <v>PY: Media Crit.</v>
      </c>
      <c r="T2946">
        <f t="shared" ref="T2946:T2959" si="231">+IF(Q2946=0,1,0)</f>
        <v>0</v>
      </c>
      <c r="U2946">
        <f t="shared" ref="U2946:U2959" si="232">+IF(AND(Q2946&lt;=P2946,Q2946&gt;0),1,0)</f>
        <v>0</v>
      </c>
      <c r="V2946">
        <f t="shared" ref="V2946:V2959" si="233">+IF(AND(Q2946&gt;P2946,Q2946&lt;=N2946),1,0)</f>
        <v>0</v>
      </c>
      <c r="W2946">
        <f t="shared" ref="W2946:W2959" si="234">+IF(Q2946&gt;N2946,1,0)</f>
        <v>1</v>
      </c>
      <c r="X2946">
        <v>1</v>
      </c>
      <c r="Y2946" s="2">
        <v>45768</v>
      </c>
      <c r="Z2946" s="3" t="s">
        <v>118</v>
      </c>
      <c r="AA2946" t="s">
        <v>39</v>
      </c>
      <c r="AB2946" t="s">
        <v>76</v>
      </c>
      <c r="AC2946" s="5" t="s">
        <v>77</v>
      </c>
      <c r="AD2946" t="s">
        <v>184</v>
      </c>
    </row>
    <row r="2947" spans="2:30">
      <c r="B2947">
        <v>0</v>
      </c>
      <c r="C2947">
        <v>1020</v>
      </c>
      <c r="D2947" t="s">
        <v>388</v>
      </c>
      <c r="E2947">
        <v>14355281</v>
      </c>
      <c r="F2947" t="s">
        <v>3030</v>
      </c>
      <c r="G2947" t="s">
        <v>43</v>
      </c>
      <c r="H2947" t="s">
        <v>60</v>
      </c>
      <c r="I2947" t="s">
        <v>390</v>
      </c>
      <c r="J2947" t="s">
        <v>45</v>
      </c>
      <c r="K2947" t="s">
        <v>35</v>
      </c>
      <c r="L2947" t="s">
        <v>175</v>
      </c>
      <c r="M2947" t="s">
        <v>117</v>
      </c>
      <c r="N2947">
        <v>0</v>
      </c>
      <c r="O2947">
        <v>0</v>
      </c>
      <c r="P2947">
        <v>10</v>
      </c>
      <c r="Q2947">
        <v>0</v>
      </c>
      <c r="R2947">
        <v>0</v>
      </c>
      <c r="S2947" t="str">
        <f t="shared" si="230"/>
        <v>PY: Media Crit.</v>
      </c>
      <c r="T2947">
        <f t="shared" si="231"/>
        <v>1</v>
      </c>
      <c r="U2947">
        <f t="shared" si="232"/>
        <v>0</v>
      </c>
      <c r="V2947">
        <f t="shared" si="233"/>
        <v>0</v>
      </c>
      <c r="W2947">
        <f t="shared" si="234"/>
        <v>0</v>
      </c>
      <c r="X2947">
        <v>1</v>
      </c>
      <c r="Y2947" s="2">
        <v>45768</v>
      </c>
      <c r="Z2947" s="3" t="s">
        <v>118</v>
      </c>
      <c r="AA2947" t="s">
        <v>39</v>
      </c>
      <c r="AB2947" t="s">
        <v>49</v>
      </c>
      <c r="AC2947" s="5" t="s">
        <v>50</v>
      </c>
      <c r="AD2947" t="s">
        <v>391</v>
      </c>
    </row>
    <row r="2948" spans="2:30">
      <c r="B2948">
        <v>0</v>
      </c>
      <c r="C2948">
        <v>1020</v>
      </c>
      <c r="D2948" t="s">
        <v>388</v>
      </c>
      <c r="E2948">
        <v>14355292</v>
      </c>
      <c r="F2948" t="s">
        <v>3031</v>
      </c>
      <c r="G2948" t="s">
        <v>43</v>
      </c>
      <c r="H2948" t="s">
        <v>60</v>
      </c>
      <c r="I2948" t="s">
        <v>390</v>
      </c>
      <c r="J2948" t="s">
        <v>45</v>
      </c>
      <c r="K2948" t="s">
        <v>35</v>
      </c>
      <c r="L2948" t="s">
        <v>175</v>
      </c>
      <c r="M2948" t="s">
        <v>117</v>
      </c>
      <c r="N2948">
        <v>0</v>
      </c>
      <c r="O2948">
        <v>0</v>
      </c>
      <c r="P2948">
        <v>10</v>
      </c>
      <c r="Q2948">
        <v>0</v>
      </c>
      <c r="R2948">
        <v>0</v>
      </c>
      <c r="S2948" t="str">
        <f t="shared" si="230"/>
        <v>PY: Media Crit.</v>
      </c>
      <c r="T2948">
        <f t="shared" si="231"/>
        <v>1</v>
      </c>
      <c r="U2948">
        <f t="shared" si="232"/>
        <v>0</v>
      </c>
      <c r="V2948">
        <f t="shared" si="233"/>
        <v>0</v>
      </c>
      <c r="W2948">
        <f t="shared" si="234"/>
        <v>0</v>
      </c>
      <c r="X2948">
        <v>1</v>
      </c>
      <c r="Y2948" s="2">
        <v>45768</v>
      </c>
      <c r="Z2948" s="3" t="s">
        <v>118</v>
      </c>
      <c r="AA2948" t="s">
        <v>39</v>
      </c>
      <c r="AB2948" t="s">
        <v>49</v>
      </c>
      <c r="AC2948" s="5" t="s">
        <v>50</v>
      </c>
      <c r="AD2948" t="s">
        <v>391</v>
      </c>
    </row>
    <row r="2949" spans="2:30">
      <c r="B2949">
        <v>0</v>
      </c>
      <c r="C2949">
        <v>1020</v>
      </c>
      <c r="D2949" t="s">
        <v>181</v>
      </c>
      <c r="E2949">
        <v>14356401</v>
      </c>
      <c r="F2949" t="s">
        <v>3032</v>
      </c>
      <c r="G2949" t="s">
        <v>52</v>
      </c>
      <c r="H2949" t="s">
        <v>60</v>
      </c>
      <c r="I2949" t="s">
        <v>183</v>
      </c>
      <c r="J2949" t="s">
        <v>45</v>
      </c>
      <c r="K2949" t="s">
        <v>35</v>
      </c>
      <c r="L2949" t="s">
        <v>36</v>
      </c>
      <c r="M2949" t="s">
        <v>117</v>
      </c>
      <c r="N2949">
        <v>8</v>
      </c>
      <c r="O2949">
        <v>5</v>
      </c>
      <c r="P2949">
        <v>0</v>
      </c>
      <c r="Q2949">
        <v>0</v>
      </c>
      <c r="R2949">
        <v>0</v>
      </c>
      <c r="S2949" t="str">
        <f t="shared" si="230"/>
        <v>PZ: Alta Crit.</v>
      </c>
      <c r="T2949">
        <f t="shared" si="231"/>
        <v>1</v>
      </c>
      <c r="U2949">
        <f t="shared" si="232"/>
        <v>0</v>
      </c>
      <c r="V2949">
        <f t="shared" si="233"/>
        <v>0</v>
      </c>
      <c r="W2949">
        <f t="shared" si="234"/>
        <v>0</v>
      </c>
      <c r="X2949">
        <v>1</v>
      </c>
      <c r="Y2949" s="2">
        <v>45768</v>
      </c>
      <c r="Z2949" s="3" t="s">
        <v>118</v>
      </c>
      <c r="AA2949" t="s">
        <v>39</v>
      </c>
      <c r="AB2949" t="s">
        <v>76</v>
      </c>
      <c r="AC2949" s="5" t="s">
        <v>77</v>
      </c>
      <c r="AD2949" t="s">
        <v>184</v>
      </c>
    </row>
    <row r="2950" spans="2:30">
      <c r="B2950">
        <v>0</v>
      </c>
      <c r="C2950">
        <v>1020</v>
      </c>
      <c r="D2950" t="s">
        <v>181</v>
      </c>
      <c r="E2950">
        <v>14356406</v>
      </c>
      <c r="F2950" t="s">
        <v>3033</v>
      </c>
      <c r="G2950" t="s">
        <v>52</v>
      </c>
      <c r="H2950" t="s">
        <v>60</v>
      </c>
      <c r="I2950" t="s">
        <v>183</v>
      </c>
      <c r="J2950" t="s">
        <v>45</v>
      </c>
      <c r="K2950" t="s">
        <v>35</v>
      </c>
      <c r="L2950" t="s">
        <v>36</v>
      </c>
      <c r="M2950" t="s">
        <v>117</v>
      </c>
      <c r="N2950">
        <v>4</v>
      </c>
      <c r="O2950">
        <v>3</v>
      </c>
      <c r="P2950">
        <v>0</v>
      </c>
      <c r="Q2950">
        <v>0</v>
      </c>
      <c r="R2950">
        <v>0</v>
      </c>
      <c r="S2950" t="str">
        <f t="shared" si="230"/>
        <v>PZ: Alta Crit.</v>
      </c>
      <c r="T2950">
        <f t="shared" si="231"/>
        <v>1</v>
      </c>
      <c r="U2950">
        <f t="shared" si="232"/>
        <v>0</v>
      </c>
      <c r="V2950">
        <f t="shared" si="233"/>
        <v>0</v>
      </c>
      <c r="W2950">
        <f t="shared" si="234"/>
        <v>0</v>
      </c>
      <c r="X2950">
        <v>1</v>
      </c>
      <c r="Y2950" s="2">
        <v>45768</v>
      </c>
      <c r="Z2950" s="3" t="s">
        <v>118</v>
      </c>
      <c r="AA2950" t="s">
        <v>39</v>
      </c>
      <c r="AB2950" t="s">
        <v>76</v>
      </c>
      <c r="AC2950" s="5" t="s">
        <v>77</v>
      </c>
      <c r="AD2950" t="s">
        <v>184</v>
      </c>
    </row>
    <row r="2951" spans="2:30">
      <c r="B2951">
        <v>0</v>
      </c>
      <c r="C2951">
        <v>1020</v>
      </c>
      <c r="D2951" t="s">
        <v>388</v>
      </c>
      <c r="E2951">
        <v>14357629</v>
      </c>
      <c r="F2951" t="s">
        <v>3034</v>
      </c>
      <c r="G2951" t="s">
        <v>52</v>
      </c>
      <c r="H2951" t="s">
        <v>44</v>
      </c>
      <c r="I2951" t="s">
        <v>390</v>
      </c>
      <c r="J2951" t="s">
        <v>45</v>
      </c>
      <c r="K2951" t="s">
        <v>35</v>
      </c>
      <c r="L2951" t="s">
        <v>175</v>
      </c>
      <c r="M2951" t="s">
        <v>117</v>
      </c>
      <c r="N2951">
        <v>0</v>
      </c>
      <c r="O2951">
        <v>0</v>
      </c>
      <c r="P2951">
        <v>8</v>
      </c>
      <c r="Q2951">
        <v>8</v>
      </c>
      <c r="R2951" s="4">
        <v>29279.360000000001</v>
      </c>
      <c r="S2951" t="str">
        <f t="shared" si="230"/>
        <v>PZ: Alta Crit.</v>
      </c>
      <c r="T2951">
        <f t="shared" si="231"/>
        <v>0</v>
      </c>
      <c r="U2951">
        <f t="shared" si="232"/>
        <v>1</v>
      </c>
      <c r="V2951">
        <f t="shared" si="233"/>
        <v>0</v>
      </c>
      <c r="W2951">
        <f t="shared" si="234"/>
        <v>1</v>
      </c>
      <c r="X2951">
        <v>1</v>
      </c>
      <c r="Y2951" s="2">
        <v>45768</v>
      </c>
      <c r="Z2951" s="3" t="s">
        <v>118</v>
      </c>
      <c r="AA2951" t="s">
        <v>39</v>
      </c>
      <c r="AB2951" t="s">
        <v>40</v>
      </c>
      <c r="AC2951" t="s">
        <v>40</v>
      </c>
      <c r="AD2951" t="s">
        <v>391</v>
      </c>
    </row>
    <row r="2952" spans="2:30">
      <c r="B2952">
        <v>0</v>
      </c>
      <c r="C2952">
        <v>1020</v>
      </c>
      <c r="D2952" t="s">
        <v>388</v>
      </c>
      <c r="E2952">
        <v>14357637</v>
      </c>
      <c r="F2952" t="s">
        <v>3035</v>
      </c>
      <c r="G2952" t="s">
        <v>52</v>
      </c>
      <c r="H2952" t="s">
        <v>44</v>
      </c>
      <c r="I2952" t="s">
        <v>390</v>
      </c>
      <c r="J2952" t="s">
        <v>45</v>
      </c>
      <c r="K2952" t="s">
        <v>35</v>
      </c>
      <c r="L2952" t="s">
        <v>175</v>
      </c>
      <c r="M2952" t="s">
        <v>117</v>
      </c>
      <c r="N2952">
        <v>0</v>
      </c>
      <c r="O2952">
        <v>0</v>
      </c>
      <c r="P2952">
        <v>4</v>
      </c>
      <c r="Q2952">
        <v>4</v>
      </c>
      <c r="R2952" s="4">
        <v>20594.8</v>
      </c>
      <c r="S2952" t="str">
        <f t="shared" si="230"/>
        <v>PZ: Alta Crit.</v>
      </c>
      <c r="T2952">
        <f t="shared" si="231"/>
        <v>0</v>
      </c>
      <c r="U2952">
        <f t="shared" si="232"/>
        <v>1</v>
      </c>
      <c r="V2952">
        <f t="shared" si="233"/>
        <v>0</v>
      </c>
      <c r="W2952">
        <f t="shared" si="234"/>
        <v>1</v>
      </c>
      <c r="X2952">
        <v>1</v>
      </c>
      <c r="Y2952" s="2">
        <v>45768</v>
      </c>
      <c r="Z2952" s="3" t="s">
        <v>118</v>
      </c>
      <c r="AA2952" t="s">
        <v>39</v>
      </c>
      <c r="AB2952" t="s">
        <v>40</v>
      </c>
      <c r="AC2952" t="s">
        <v>40</v>
      </c>
      <c r="AD2952" t="s">
        <v>391</v>
      </c>
    </row>
    <row r="2953" spans="2:30">
      <c r="B2953">
        <v>0</v>
      </c>
      <c r="C2953">
        <v>1020</v>
      </c>
      <c r="D2953" t="s">
        <v>388</v>
      </c>
      <c r="E2953">
        <v>14357642</v>
      </c>
      <c r="F2953" t="s">
        <v>3036</v>
      </c>
      <c r="G2953" t="s">
        <v>43</v>
      </c>
      <c r="H2953" t="s">
        <v>44</v>
      </c>
      <c r="I2953" t="s">
        <v>390</v>
      </c>
      <c r="J2953" t="s">
        <v>45</v>
      </c>
      <c r="K2953" t="s">
        <v>35</v>
      </c>
      <c r="L2953" t="s">
        <v>175</v>
      </c>
      <c r="M2953" t="s">
        <v>117</v>
      </c>
      <c r="N2953">
        <v>0</v>
      </c>
      <c r="O2953">
        <v>0</v>
      </c>
      <c r="P2953">
        <v>4</v>
      </c>
      <c r="Q2953">
        <v>4</v>
      </c>
      <c r="R2953" s="4">
        <v>22359.279999999999</v>
      </c>
      <c r="S2953" t="str">
        <f t="shared" si="230"/>
        <v>PY: Media Crit.</v>
      </c>
      <c r="T2953">
        <f t="shared" si="231"/>
        <v>0</v>
      </c>
      <c r="U2953">
        <f t="shared" si="232"/>
        <v>1</v>
      </c>
      <c r="V2953">
        <f t="shared" si="233"/>
        <v>0</v>
      </c>
      <c r="W2953">
        <f t="shared" si="234"/>
        <v>1</v>
      </c>
      <c r="X2953">
        <v>1</v>
      </c>
      <c r="Y2953" s="2">
        <v>45768</v>
      </c>
      <c r="Z2953" s="3" t="s">
        <v>118</v>
      </c>
      <c r="AA2953" t="s">
        <v>39</v>
      </c>
      <c r="AB2953" t="s">
        <v>40</v>
      </c>
      <c r="AC2953" t="s">
        <v>40</v>
      </c>
      <c r="AD2953" t="s">
        <v>391</v>
      </c>
    </row>
    <row r="2954" spans="2:30">
      <c r="B2954">
        <v>0</v>
      </c>
      <c r="C2954">
        <v>1020</v>
      </c>
      <c r="D2954" t="s">
        <v>388</v>
      </c>
      <c r="E2954">
        <v>14357664</v>
      </c>
      <c r="F2954" t="s">
        <v>3037</v>
      </c>
      <c r="G2954" t="s">
        <v>52</v>
      </c>
      <c r="H2954" t="s">
        <v>44</v>
      </c>
      <c r="I2954" t="s">
        <v>390</v>
      </c>
      <c r="J2954" t="s">
        <v>45</v>
      </c>
      <c r="K2954" t="s">
        <v>35</v>
      </c>
      <c r="L2954" t="s">
        <v>175</v>
      </c>
      <c r="M2954" t="s">
        <v>117</v>
      </c>
      <c r="N2954">
        <v>0</v>
      </c>
      <c r="O2954">
        <v>0</v>
      </c>
      <c r="P2954">
        <v>2</v>
      </c>
      <c r="Q2954">
        <v>2</v>
      </c>
      <c r="R2954" s="4">
        <v>13270.4</v>
      </c>
      <c r="S2954" t="str">
        <f t="shared" si="230"/>
        <v>PZ: Alta Crit.</v>
      </c>
      <c r="T2954">
        <f t="shared" si="231"/>
        <v>0</v>
      </c>
      <c r="U2954">
        <f t="shared" si="232"/>
        <v>1</v>
      </c>
      <c r="V2954">
        <f t="shared" si="233"/>
        <v>0</v>
      </c>
      <c r="W2954">
        <f t="shared" si="234"/>
        <v>1</v>
      </c>
      <c r="X2954">
        <v>1</v>
      </c>
      <c r="Y2954" s="2">
        <v>45768</v>
      </c>
      <c r="Z2954" s="3" t="s">
        <v>118</v>
      </c>
      <c r="AA2954" t="s">
        <v>39</v>
      </c>
      <c r="AB2954" t="s">
        <v>40</v>
      </c>
      <c r="AC2954" t="s">
        <v>40</v>
      </c>
      <c r="AD2954" t="s">
        <v>391</v>
      </c>
    </row>
    <row r="2955" spans="2:30">
      <c r="B2955">
        <v>0</v>
      </c>
      <c r="C2955">
        <v>1020</v>
      </c>
      <c r="D2955" t="s">
        <v>388</v>
      </c>
      <c r="E2955">
        <v>14357789</v>
      </c>
      <c r="F2955" t="s">
        <v>3038</v>
      </c>
      <c r="G2955" t="s">
        <v>43</v>
      </c>
      <c r="H2955" t="s">
        <v>44</v>
      </c>
      <c r="I2955" t="s">
        <v>390</v>
      </c>
      <c r="J2955" t="s">
        <v>45</v>
      </c>
      <c r="K2955" t="s">
        <v>35</v>
      </c>
      <c r="L2955" t="s">
        <v>175</v>
      </c>
      <c r="M2955" t="s">
        <v>117</v>
      </c>
      <c r="N2955">
        <v>0</v>
      </c>
      <c r="O2955">
        <v>0</v>
      </c>
      <c r="P2955">
        <v>16</v>
      </c>
      <c r="Q2955">
        <v>0</v>
      </c>
      <c r="R2955">
        <v>0</v>
      </c>
      <c r="S2955" t="str">
        <f t="shared" si="230"/>
        <v>PY: Media Crit.</v>
      </c>
      <c r="T2955">
        <f t="shared" si="231"/>
        <v>1</v>
      </c>
      <c r="U2955">
        <f t="shared" si="232"/>
        <v>0</v>
      </c>
      <c r="V2955">
        <f t="shared" si="233"/>
        <v>0</v>
      </c>
      <c r="W2955">
        <f t="shared" si="234"/>
        <v>0</v>
      </c>
      <c r="X2955">
        <v>1</v>
      </c>
      <c r="Y2955" s="2">
        <v>45768</v>
      </c>
      <c r="Z2955" s="3" t="s">
        <v>118</v>
      </c>
      <c r="AA2955" t="s">
        <v>39</v>
      </c>
      <c r="AB2955" t="s">
        <v>49</v>
      </c>
      <c r="AC2955" s="5" t="s">
        <v>50</v>
      </c>
      <c r="AD2955" t="s">
        <v>391</v>
      </c>
    </row>
    <row r="2956" spans="2:30">
      <c r="B2956">
        <v>0</v>
      </c>
      <c r="C2956">
        <v>1020</v>
      </c>
      <c r="D2956" t="s">
        <v>388</v>
      </c>
      <c r="E2956">
        <v>14357791</v>
      </c>
      <c r="F2956" t="s">
        <v>3039</v>
      </c>
      <c r="G2956" t="s">
        <v>52</v>
      </c>
      <c r="H2956" t="s">
        <v>44</v>
      </c>
      <c r="I2956" t="s">
        <v>390</v>
      </c>
      <c r="J2956" t="s">
        <v>45</v>
      </c>
      <c r="K2956" t="s">
        <v>35</v>
      </c>
      <c r="L2956" t="s">
        <v>175</v>
      </c>
      <c r="M2956" t="s">
        <v>117</v>
      </c>
      <c r="N2956">
        <v>0</v>
      </c>
      <c r="O2956">
        <v>0</v>
      </c>
      <c r="P2956">
        <v>8</v>
      </c>
      <c r="Q2956">
        <v>0</v>
      </c>
      <c r="R2956">
        <v>0</v>
      </c>
      <c r="S2956" t="str">
        <f t="shared" si="230"/>
        <v>PZ: Alta Crit.</v>
      </c>
      <c r="T2956">
        <f t="shared" si="231"/>
        <v>1</v>
      </c>
      <c r="U2956">
        <f t="shared" si="232"/>
        <v>0</v>
      </c>
      <c r="V2956">
        <f t="shared" si="233"/>
        <v>0</v>
      </c>
      <c r="W2956">
        <f t="shared" si="234"/>
        <v>0</v>
      </c>
      <c r="X2956">
        <v>1</v>
      </c>
      <c r="Y2956" s="2">
        <v>45768</v>
      </c>
      <c r="Z2956" s="3" t="s">
        <v>118</v>
      </c>
      <c r="AA2956" t="s">
        <v>39</v>
      </c>
      <c r="AB2956" t="s">
        <v>49</v>
      </c>
      <c r="AC2956" s="5" t="s">
        <v>50</v>
      </c>
      <c r="AD2956" t="s">
        <v>391</v>
      </c>
    </row>
    <row r="2957" spans="2:30">
      <c r="B2957">
        <v>0</v>
      </c>
      <c r="C2957">
        <v>1020</v>
      </c>
      <c r="D2957" t="s">
        <v>388</v>
      </c>
      <c r="E2957">
        <v>14357792</v>
      </c>
      <c r="F2957" t="s">
        <v>3040</v>
      </c>
      <c r="G2957" t="s">
        <v>43</v>
      </c>
      <c r="H2957" t="s">
        <v>44</v>
      </c>
      <c r="I2957" t="s">
        <v>390</v>
      </c>
      <c r="J2957" t="s">
        <v>45</v>
      </c>
      <c r="K2957" t="s">
        <v>35</v>
      </c>
      <c r="L2957" t="s">
        <v>175</v>
      </c>
      <c r="M2957" t="s">
        <v>117</v>
      </c>
      <c r="N2957">
        <v>0</v>
      </c>
      <c r="O2957">
        <v>0</v>
      </c>
      <c r="P2957">
        <v>8</v>
      </c>
      <c r="Q2957">
        <v>0</v>
      </c>
      <c r="R2957">
        <v>0</v>
      </c>
      <c r="S2957" t="str">
        <f t="shared" si="230"/>
        <v>PY: Media Crit.</v>
      </c>
      <c r="T2957">
        <f t="shared" si="231"/>
        <v>1</v>
      </c>
      <c r="U2957">
        <f t="shared" si="232"/>
        <v>0</v>
      </c>
      <c r="V2957">
        <f t="shared" si="233"/>
        <v>0</v>
      </c>
      <c r="W2957">
        <f t="shared" si="234"/>
        <v>0</v>
      </c>
      <c r="X2957">
        <v>1</v>
      </c>
      <c r="Y2957" s="2">
        <v>45768</v>
      </c>
      <c r="Z2957" s="3" t="s">
        <v>118</v>
      </c>
      <c r="AA2957" t="s">
        <v>39</v>
      </c>
      <c r="AB2957" t="s">
        <v>49</v>
      </c>
      <c r="AC2957" s="5" t="s">
        <v>50</v>
      </c>
      <c r="AD2957" t="s">
        <v>391</v>
      </c>
    </row>
    <row r="2958" spans="2:30">
      <c r="B2958">
        <v>0</v>
      </c>
      <c r="C2958">
        <v>1020</v>
      </c>
      <c r="D2958" t="s">
        <v>388</v>
      </c>
      <c r="E2958">
        <v>14357793</v>
      </c>
      <c r="F2958" t="s">
        <v>3039</v>
      </c>
      <c r="G2958" t="s">
        <v>43</v>
      </c>
      <c r="H2958" t="s">
        <v>44</v>
      </c>
      <c r="I2958" t="s">
        <v>390</v>
      </c>
      <c r="J2958" t="s">
        <v>45</v>
      </c>
      <c r="K2958" t="s">
        <v>35</v>
      </c>
      <c r="L2958" t="s">
        <v>175</v>
      </c>
      <c r="M2958" t="s">
        <v>117</v>
      </c>
      <c r="N2958">
        <v>0</v>
      </c>
      <c r="O2958">
        <v>0</v>
      </c>
      <c r="P2958">
        <v>4</v>
      </c>
      <c r="Q2958">
        <v>0</v>
      </c>
      <c r="R2958">
        <v>0</v>
      </c>
      <c r="S2958" t="str">
        <f t="shared" si="230"/>
        <v>PY: Media Crit.</v>
      </c>
      <c r="T2958">
        <f t="shared" si="231"/>
        <v>1</v>
      </c>
      <c r="U2958">
        <f t="shared" si="232"/>
        <v>0</v>
      </c>
      <c r="V2958">
        <f t="shared" si="233"/>
        <v>0</v>
      </c>
      <c r="W2958">
        <f t="shared" si="234"/>
        <v>0</v>
      </c>
      <c r="X2958">
        <v>1</v>
      </c>
      <c r="Y2958" s="2">
        <v>45768</v>
      </c>
      <c r="Z2958" s="3" t="s">
        <v>118</v>
      </c>
      <c r="AA2958" t="s">
        <v>39</v>
      </c>
      <c r="AB2958" t="s">
        <v>49</v>
      </c>
      <c r="AC2958" s="5" t="s">
        <v>50</v>
      </c>
      <c r="AD2958" t="s">
        <v>391</v>
      </c>
    </row>
    <row r="2959" spans="2:30">
      <c r="B2959">
        <v>0</v>
      </c>
      <c r="C2959">
        <v>1020</v>
      </c>
      <c r="D2959" t="s">
        <v>181</v>
      </c>
      <c r="E2959">
        <v>14358269</v>
      </c>
      <c r="F2959" s="6" t="s">
        <v>3041</v>
      </c>
      <c r="G2959" t="s">
        <v>52</v>
      </c>
      <c r="H2959" t="s">
        <v>44</v>
      </c>
      <c r="I2959" t="s">
        <v>183</v>
      </c>
      <c r="J2959" t="s">
        <v>45</v>
      </c>
      <c r="K2959" t="s">
        <v>35</v>
      </c>
      <c r="L2959" t="s">
        <v>36</v>
      </c>
      <c r="M2959" t="s">
        <v>37</v>
      </c>
      <c r="N2959">
        <v>2</v>
      </c>
      <c r="O2959">
        <v>2</v>
      </c>
      <c r="P2959">
        <v>1</v>
      </c>
      <c r="Q2959">
        <v>1</v>
      </c>
      <c r="R2959" s="4">
        <v>10818.36</v>
      </c>
      <c r="S2959" t="str">
        <f t="shared" si="230"/>
        <v>PZ: Alta Crit.</v>
      </c>
      <c r="T2959">
        <f t="shared" si="231"/>
        <v>0</v>
      </c>
      <c r="U2959">
        <f t="shared" si="232"/>
        <v>1</v>
      </c>
      <c r="V2959">
        <f t="shared" si="233"/>
        <v>0</v>
      </c>
      <c r="W2959">
        <f t="shared" si="234"/>
        <v>0</v>
      </c>
      <c r="X2959">
        <v>1</v>
      </c>
      <c r="Y2959" s="2">
        <v>45768</v>
      </c>
      <c r="Z2959" s="3" t="s">
        <v>38</v>
      </c>
      <c r="AA2959" t="s">
        <v>39</v>
      </c>
      <c r="AB2959" t="s">
        <v>49</v>
      </c>
      <c r="AC2959" s="5" t="s">
        <v>50</v>
      </c>
      <c r="AD2959" t="s">
        <v>184</v>
      </c>
    </row>
  </sheetData>
  <pageMargins left="0.7" right="0.7" top="0.75" bottom="0.75" header="0.3" footer="0.3"/>
  <pageSetup orientation="portrait" r:id="rId1"/>
  <headerFooter>
    <oddFooter>&amp;C&amp;1#&amp;"Calibri"&amp;10&amp;K008000This content is Public.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Segundo Cristian Alaya Ortega</dc:creator>
  <cp:lastModifiedBy>Jose Castillo Velasquez</cp:lastModifiedBy>
  <dcterms:created xsi:type="dcterms:W3CDTF">2025-04-24T19:56:25Z</dcterms:created>
  <dcterms:modified xsi:type="dcterms:W3CDTF">2025-09-04T17:02:24Z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6ab210-8ca5-4e5f-bb43-11d2981960e3_Enabled">
    <vt:lpwstr>true</vt:lpwstr>
  </property>
  <property fmtid="{D5CDD505-2E9C-101B-9397-08002B2CF9AE}" pid="3" name="MSIP_Label_e56ab210-8ca5-4e5f-bb43-11d2981960e3_SetDate">
    <vt:lpwstr>2025-09-04T17:02:24Z</vt:lpwstr>
  </property>
  <property fmtid="{D5CDD505-2E9C-101B-9397-08002B2CF9AE}" pid="4" name="MSIP_Label_e56ab210-8ca5-4e5f-bb43-11d2981960e3_Method">
    <vt:lpwstr>Privileged</vt:lpwstr>
  </property>
  <property fmtid="{D5CDD505-2E9C-101B-9397-08002B2CF9AE}" pid="5" name="MSIP_Label_e56ab210-8ca5-4e5f-bb43-11d2981960e3_Name">
    <vt:lpwstr>e56ab210-8ca5-4e5f-bb43-11d2981960e3</vt:lpwstr>
  </property>
  <property fmtid="{D5CDD505-2E9C-101B-9397-08002B2CF9AE}" pid="6" name="MSIP_Label_e56ab210-8ca5-4e5f-bb43-11d2981960e3_SiteId">
    <vt:lpwstr>461fd7ef-0eb3-4420-b044-310dc2914d64</vt:lpwstr>
  </property>
  <property fmtid="{D5CDD505-2E9C-101B-9397-08002B2CF9AE}" pid="7" name="MSIP_Label_e56ab210-8ca5-4e5f-bb43-11d2981960e3_ActionId">
    <vt:lpwstr>c81606d7-e62f-47c6-b681-84745de8384b</vt:lpwstr>
  </property>
  <property fmtid="{D5CDD505-2E9C-101B-9397-08002B2CF9AE}" pid="8" name="MSIP_Label_e56ab210-8ca5-4e5f-bb43-11d2981960e3_ContentBits">
    <vt:lpwstr>2</vt:lpwstr>
  </property>
</Properties>
</file>